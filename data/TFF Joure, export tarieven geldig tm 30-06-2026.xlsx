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Z:\11_XPO_NL_Sales\Klanten\TFF - in FO\2026\"/>
    </mc:Choice>
  </mc:AlternateContent>
  <xr:revisionPtr revIDLastSave="0" documentId="13_ncr:1_{2FF00AEA-E905-4735-835C-B3C75DA2B574}" xr6:coauthVersionLast="47" xr6:coauthVersionMax="47" xr10:uidLastSave="{00000000-0000-0000-0000-000000000000}"/>
  <bookViews>
    <workbookView xWindow="28680" yWindow="-120" windowWidth="29040" windowHeight="15720" tabRatio="837" xr2:uid="{7448443B-DE98-4B94-9904-7C74BDC23B83}"/>
  </bookViews>
  <sheets>
    <sheet name="Voorblad" sheetId="5" r:id="rId1"/>
    <sheet name="AT" sheetId="20" r:id="rId2"/>
    <sheet name="BE" sheetId="23" r:id="rId3"/>
    <sheet name="BG" sheetId="24" r:id="rId4"/>
    <sheet name="CH" sheetId="26" r:id="rId5"/>
    <sheet name="CZ" sheetId="27" r:id="rId6"/>
    <sheet name="DE" sheetId="29" r:id="rId7"/>
    <sheet name="DK" sheetId="30" r:id="rId8"/>
    <sheet name="EE" sheetId="31" r:id="rId9"/>
    <sheet name="ES" sheetId="32" r:id="rId10"/>
    <sheet name="FI" sheetId="33" r:id="rId11"/>
    <sheet name="FR" sheetId="34" r:id="rId12"/>
    <sheet name="GB" sheetId="35" r:id="rId13"/>
    <sheet name="GR" sheetId="36" r:id="rId14"/>
    <sheet name="HR" sheetId="37" r:id="rId15"/>
    <sheet name="HU" sheetId="38" r:id="rId16"/>
    <sheet name="IT" sheetId="39" r:id="rId17"/>
    <sheet name="LT" sheetId="40" r:id="rId18"/>
    <sheet name="LV" sheetId="41" r:id="rId19"/>
    <sheet name="NO" sheetId="42" r:id="rId20"/>
    <sheet name="PL" sheetId="43" r:id="rId21"/>
    <sheet name="PT" sheetId="44" r:id="rId22"/>
    <sheet name="RO" sheetId="45" r:id="rId23"/>
    <sheet name="SE" sheetId="47" r:id="rId24"/>
    <sheet name="SI" sheetId="48" r:id="rId25"/>
    <sheet name="SK" sheetId="49" r:id="rId26"/>
    <sheet name="Algemene Voorwaarden" sheetId="54" r:id="rId27"/>
    <sheet name="Toeslagen en condities" sheetId="55" r:id="rId28"/>
    <sheet name="Contacts" sheetId="56" r:id="rId29"/>
  </sheets>
  <externalReferences>
    <externalReference r:id="rId30"/>
  </externalReferences>
  <definedNames>
    <definedName name="_xlnm.Print_Area" localSheetId="26">'Algemene Voorwaarden'!$B$2:$P$248</definedName>
    <definedName name="_xlnm.Print_Area" localSheetId="28">Contacts!$A$1:$L$108</definedName>
    <definedName name="_xlnm.Print_Area" localSheetId="27">'Toeslagen en condities'!$A$1:$Q$116</definedName>
    <definedName name="_xlnm.Print_Titles" localSheetId="26">'Algemene Voorwaarden'!$2:$3</definedName>
    <definedName name="Laadmeters">#REF!</definedName>
    <definedName name="Postcode">#REF!</definedName>
    <definedName name="Tariev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35" l="1"/>
  <c r="G7" i="35"/>
  <c r="H7" i="35"/>
  <c r="I7" i="35"/>
  <c r="J7" i="35"/>
  <c r="K7" i="35"/>
  <c r="L7" i="35"/>
  <c r="M7" i="35"/>
  <c r="N7" i="35"/>
  <c r="O7" i="35"/>
  <c r="P7" i="35"/>
  <c r="Q7" i="35"/>
  <c r="R7" i="35"/>
  <c r="S7" i="35"/>
  <c r="T7" i="35"/>
  <c r="U7" i="35"/>
  <c r="V7" i="35"/>
  <c r="W7" i="35"/>
  <c r="X7" i="35"/>
  <c r="Y7" i="35"/>
  <c r="Z7" i="35"/>
  <c r="AB7" i="35"/>
  <c r="AC7" i="35"/>
  <c r="AD7" i="35"/>
  <c r="AE7" i="35"/>
  <c r="AF7" i="35"/>
  <c r="AG7" i="35"/>
  <c r="AH7" i="35"/>
  <c r="AI7" i="35"/>
  <c r="AJ7" i="35"/>
  <c r="AK7" i="35"/>
  <c r="AL7" i="35"/>
  <c r="AM7" i="35"/>
  <c r="AN7" i="35"/>
  <c r="AO7" i="35"/>
  <c r="AP7" i="35"/>
  <c r="AQ7" i="35"/>
  <c r="AR7" i="35"/>
  <c r="AS7" i="35"/>
  <c r="AT7" i="35"/>
  <c r="AU7" i="35"/>
  <c r="AV7" i="35"/>
  <c r="AW7" i="35"/>
  <c r="AX7" i="35"/>
  <c r="AY7" i="35"/>
  <c r="AZ7" i="35"/>
  <c r="BA7" i="35"/>
  <c r="BC7" i="35"/>
  <c r="BD7" i="35"/>
  <c r="BG7" i="35"/>
  <c r="BH7" i="35"/>
  <c r="BI7" i="35"/>
  <c r="BJ7" i="35"/>
  <c r="BK7" i="35"/>
  <c r="BL7" i="35"/>
  <c r="BM7" i="35"/>
  <c r="BN7" i="35"/>
  <c r="BO7" i="35"/>
  <c r="BP7" i="35"/>
  <c r="BQ7" i="35"/>
  <c r="BR7" i="35"/>
  <c r="BS7" i="35"/>
  <c r="BT7" i="35"/>
  <c r="BU7" i="35"/>
  <c r="BV7" i="35"/>
  <c r="BW7" i="35"/>
  <c r="BX7" i="35"/>
  <c r="BY7" i="35"/>
  <c r="BZ7" i="35"/>
  <c r="CA7" i="35"/>
  <c r="CC7" i="35"/>
  <c r="CE7" i="35"/>
  <c r="CF7" i="35"/>
  <c r="CG7" i="35"/>
  <c r="CH7" i="35"/>
  <c r="CI7" i="35"/>
  <c r="CJ7" i="35"/>
  <c r="CK7" i="35"/>
  <c r="CL7" i="35"/>
  <c r="CM7" i="35"/>
  <c r="CN7" i="35"/>
  <c r="CO7" i="35"/>
  <c r="CP7" i="35"/>
  <c r="CQ7" i="35"/>
  <c r="CR7" i="35"/>
  <c r="CS7" i="35"/>
  <c r="CT7" i="35"/>
  <c r="CU7" i="35"/>
  <c r="CV7" i="35"/>
  <c r="CW7" i="35"/>
  <c r="CX7" i="35"/>
  <c r="CY7" i="35"/>
  <c r="CZ7" i="35"/>
  <c r="DA7" i="35"/>
  <c r="DB7" i="35"/>
  <c r="DC7" i="35"/>
  <c r="DD7" i="35"/>
  <c r="DF7" i="35"/>
  <c r="DG7" i="35"/>
  <c r="DH7" i="35"/>
  <c r="DI7" i="35"/>
  <c r="DJ7" i="35"/>
  <c r="DK7" i="35"/>
  <c r="DL7" i="35"/>
  <c r="DM7" i="35"/>
  <c r="DN7" i="35"/>
  <c r="DO7" i="35"/>
  <c r="DP7" i="35"/>
  <c r="DQ7" i="35"/>
  <c r="DR7" i="35"/>
  <c r="F8" i="35"/>
  <c r="G8" i="35"/>
  <c r="H8" i="35"/>
  <c r="I8" i="35"/>
  <c r="J8" i="35"/>
  <c r="K8" i="35"/>
  <c r="L8" i="35"/>
  <c r="M8" i="35"/>
  <c r="N8" i="35"/>
  <c r="O8" i="35"/>
  <c r="P8" i="35"/>
  <c r="Q8" i="35"/>
  <c r="R8" i="35"/>
  <c r="S8" i="35"/>
  <c r="T8" i="35"/>
  <c r="U8" i="35"/>
  <c r="V8" i="35"/>
  <c r="W8" i="35"/>
  <c r="X8" i="35"/>
  <c r="Y8" i="35"/>
  <c r="Z8" i="35"/>
  <c r="AB8" i="35"/>
  <c r="AC8" i="35"/>
  <c r="AD8" i="35"/>
  <c r="AE8" i="35"/>
  <c r="AF8" i="35"/>
  <c r="AG8" i="35"/>
  <c r="AH8" i="35"/>
  <c r="AI8" i="35"/>
  <c r="AJ8" i="35"/>
  <c r="AK8" i="35"/>
  <c r="AL8" i="35"/>
  <c r="AM8" i="35"/>
  <c r="AN8" i="35"/>
  <c r="AO8" i="35"/>
  <c r="AP8" i="35"/>
  <c r="AQ8" i="35"/>
  <c r="AR8" i="35"/>
  <c r="AS8" i="35"/>
  <c r="AT8" i="35"/>
  <c r="AU8" i="35"/>
  <c r="AV8" i="35"/>
  <c r="AW8" i="35"/>
  <c r="AX8" i="35"/>
  <c r="AY8" i="35"/>
  <c r="AZ8" i="35"/>
  <c r="BA8" i="35"/>
  <c r="BC8" i="35"/>
  <c r="BD8" i="35"/>
  <c r="BG8" i="35"/>
  <c r="BH8" i="35"/>
  <c r="BI8" i="35"/>
  <c r="BJ8" i="35"/>
  <c r="BK8" i="35"/>
  <c r="BL8" i="35"/>
  <c r="BM8" i="35"/>
  <c r="BN8" i="35"/>
  <c r="BO8" i="35"/>
  <c r="BP8" i="35"/>
  <c r="BQ8" i="35"/>
  <c r="BR8" i="35"/>
  <c r="BS8" i="35"/>
  <c r="BT8" i="35"/>
  <c r="BU8" i="35"/>
  <c r="BV8" i="35"/>
  <c r="BW8" i="35"/>
  <c r="BX8" i="35"/>
  <c r="BY8" i="35"/>
  <c r="BZ8" i="35"/>
  <c r="CA8" i="35"/>
  <c r="CC8" i="35"/>
  <c r="CE8" i="35"/>
  <c r="CF8" i="35"/>
  <c r="CG8" i="35"/>
  <c r="CH8" i="35"/>
  <c r="CI8" i="35"/>
  <c r="CJ8" i="35"/>
  <c r="CK8" i="35"/>
  <c r="CL8" i="35"/>
  <c r="CM8" i="35"/>
  <c r="CN8" i="35"/>
  <c r="CO8" i="35"/>
  <c r="CP8" i="35"/>
  <c r="CQ8" i="35"/>
  <c r="CR8" i="35"/>
  <c r="CS8" i="35"/>
  <c r="CT8" i="35"/>
  <c r="CU8" i="35"/>
  <c r="CV8" i="35"/>
  <c r="CW8" i="35"/>
  <c r="CX8" i="35"/>
  <c r="CY8" i="35"/>
  <c r="CZ8" i="35"/>
  <c r="DA8" i="35"/>
  <c r="DB8" i="35"/>
  <c r="DC8" i="35"/>
  <c r="DD8" i="35"/>
  <c r="DF8" i="35"/>
  <c r="DG8" i="35"/>
  <c r="DH8" i="35"/>
  <c r="DI8" i="35"/>
  <c r="DJ8" i="35"/>
  <c r="DK8" i="35"/>
  <c r="DL8" i="35"/>
  <c r="DM8" i="35"/>
  <c r="DN8" i="35"/>
  <c r="DO8" i="35"/>
  <c r="DP8" i="35"/>
  <c r="DQ8" i="35"/>
  <c r="DR8" i="35"/>
  <c r="F9" i="35"/>
  <c r="G9" i="35"/>
  <c r="H9" i="35"/>
  <c r="I9" i="35"/>
  <c r="J9" i="35"/>
  <c r="K9" i="35"/>
  <c r="L9" i="35"/>
  <c r="M9" i="35"/>
  <c r="N9" i="35"/>
  <c r="O9" i="35"/>
  <c r="P9" i="35"/>
  <c r="Q9" i="35"/>
  <c r="R9" i="35"/>
  <c r="S9" i="35"/>
  <c r="T9" i="35"/>
  <c r="U9" i="35"/>
  <c r="V9" i="35"/>
  <c r="W9" i="35"/>
  <c r="X9" i="35"/>
  <c r="Y9" i="35"/>
  <c r="Z9" i="35"/>
  <c r="AB9" i="35"/>
  <c r="AC9" i="35"/>
  <c r="AD9" i="35"/>
  <c r="AE9" i="35"/>
  <c r="AF9" i="35"/>
  <c r="AG9" i="35"/>
  <c r="AH9" i="35"/>
  <c r="AI9" i="35"/>
  <c r="AJ9" i="35"/>
  <c r="AK9" i="35"/>
  <c r="AL9" i="35"/>
  <c r="AM9" i="35"/>
  <c r="AN9" i="35"/>
  <c r="AO9" i="35"/>
  <c r="AP9" i="35"/>
  <c r="AQ9" i="35"/>
  <c r="AR9" i="35"/>
  <c r="AS9" i="35"/>
  <c r="AT9" i="35"/>
  <c r="AU9" i="35"/>
  <c r="AV9" i="35"/>
  <c r="AW9" i="35"/>
  <c r="AX9" i="35"/>
  <c r="AY9" i="35"/>
  <c r="AZ9" i="35"/>
  <c r="BA9" i="35"/>
  <c r="BC9" i="35"/>
  <c r="BD9" i="35"/>
  <c r="BG9" i="35"/>
  <c r="BH9" i="35"/>
  <c r="BI9" i="35"/>
  <c r="BJ9" i="35"/>
  <c r="BK9" i="35"/>
  <c r="BL9" i="35"/>
  <c r="BM9" i="35"/>
  <c r="BN9" i="35"/>
  <c r="BO9" i="35"/>
  <c r="BP9" i="35"/>
  <c r="BQ9" i="35"/>
  <c r="BR9" i="35"/>
  <c r="BS9" i="35"/>
  <c r="BT9" i="35"/>
  <c r="BU9" i="35"/>
  <c r="BV9" i="35"/>
  <c r="BW9" i="35"/>
  <c r="BX9" i="35"/>
  <c r="BY9" i="35"/>
  <c r="BZ9" i="35"/>
  <c r="CA9" i="35"/>
  <c r="CC9" i="35"/>
  <c r="CE9" i="35"/>
  <c r="CF9" i="35"/>
  <c r="CG9" i="35"/>
  <c r="CH9" i="35"/>
  <c r="CI9" i="35"/>
  <c r="CJ9" i="35"/>
  <c r="CK9" i="35"/>
  <c r="CL9" i="35"/>
  <c r="CM9" i="35"/>
  <c r="CN9" i="35"/>
  <c r="CO9" i="35"/>
  <c r="CP9" i="35"/>
  <c r="CQ9" i="35"/>
  <c r="CR9" i="35"/>
  <c r="CS9" i="35"/>
  <c r="CT9" i="35"/>
  <c r="CU9" i="35"/>
  <c r="CV9" i="35"/>
  <c r="CW9" i="35"/>
  <c r="CX9" i="35"/>
  <c r="CY9" i="35"/>
  <c r="CZ9" i="35"/>
  <c r="DA9" i="35"/>
  <c r="DB9" i="35"/>
  <c r="DC9" i="35"/>
  <c r="DD9" i="35"/>
  <c r="DF9" i="35"/>
  <c r="DG9" i="35"/>
  <c r="DH9" i="35"/>
  <c r="DI9" i="35"/>
  <c r="DJ9" i="35"/>
  <c r="DK9" i="35"/>
  <c r="DL9" i="35"/>
  <c r="DM9" i="35"/>
  <c r="DN9" i="35"/>
  <c r="DO9" i="35"/>
  <c r="DP9" i="35"/>
  <c r="DQ9" i="35"/>
  <c r="DR9" i="35"/>
  <c r="F10" i="35"/>
  <c r="G10" i="35"/>
  <c r="H10" i="35"/>
  <c r="I10" i="35"/>
  <c r="J10" i="35"/>
  <c r="K10" i="35"/>
  <c r="L10" i="35"/>
  <c r="M10" i="35"/>
  <c r="N10" i="35"/>
  <c r="O10" i="35"/>
  <c r="P10" i="35"/>
  <c r="Q10" i="35"/>
  <c r="R10" i="35"/>
  <c r="S10" i="35"/>
  <c r="T10" i="35"/>
  <c r="U10" i="35"/>
  <c r="V10" i="35"/>
  <c r="W10" i="35"/>
  <c r="X10" i="35"/>
  <c r="Y10" i="35"/>
  <c r="Z10" i="35"/>
  <c r="AB10" i="35"/>
  <c r="AC10" i="35"/>
  <c r="AD10" i="35"/>
  <c r="AE10" i="35"/>
  <c r="AF10" i="35"/>
  <c r="AG10" i="35"/>
  <c r="AH10" i="35"/>
  <c r="AI10" i="35"/>
  <c r="AJ10" i="35"/>
  <c r="AK10" i="35"/>
  <c r="AL10" i="35"/>
  <c r="AM10" i="35"/>
  <c r="AN10" i="35"/>
  <c r="AO10" i="35"/>
  <c r="AP10" i="35"/>
  <c r="AQ10" i="35"/>
  <c r="AR10" i="35"/>
  <c r="AS10" i="35"/>
  <c r="AT10" i="35"/>
  <c r="AU10" i="35"/>
  <c r="AV10" i="35"/>
  <c r="AW10" i="35"/>
  <c r="AX10" i="35"/>
  <c r="AY10" i="35"/>
  <c r="AZ10" i="35"/>
  <c r="BA10" i="35"/>
  <c r="BC10" i="35"/>
  <c r="BD10" i="35"/>
  <c r="BG10" i="35"/>
  <c r="BH10" i="35"/>
  <c r="BI10" i="35"/>
  <c r="BJ10" i="35"/>
  <c r="BK10" i="35"/>
  <c r="BL10" i="35"/>
  <c r="BM10" i="35"/>
  <c r="BN10" i="35"/>
  <c r="BO10" i="35"/>
  <c r="BP10" i="35"/>
  <c r="BQ10" i="35"/>
  <c r="BR10" i="35"/>
  <c r="BS10" i="35"/>
  <c r="BT10" i="35"/>
  <c r="BU10" i="35"/>
  <c r="BV10" i="35"/>
  <c r="BW10" i="35"/>
  <c r="BX10" i="35"/>
  <c r="BY10" i="35"/>
  <c r="BZ10" i="35"/>
  <c r="CA10" i="35"/>
  <c r="CC10" i="35"/>
  <c r="CE10" i="35"/>
  <c r="CF10" i="35"/>
  <c r="CG10" i="35"/>
  <c r="CH10" i="35"/>
  <c r="CI10" i="35"/>
  <c r="CJ10" i="35"/>
  <c r="CK10" i="35"/>
  <c r="CL10" i="35"/>
  <c r="CM10" i="35"/>
  <c r="CN10" i="35"/>
  <c r="CO10" i="35"/>
  <c r="CP10" i="35"/>
  <c r="CQ10" i="35"/>
  <c r="CR10" i="35"/>
  <c r="CS10" i="35"/>
  <c r="CT10" i="35"/>
  <c r="CU10" i="35"/>
  <c r="CV10" i="35"/>
  <c r="CW10" i="35"/>
  <c r="CX10" i="35"/>
  <c r="CY10" i="35"/>
  <c r="CZ10" i="35"/>
  <c r="DA10" i="35"/>
  <c r="DB10" i="35"/>
  <c r="DC10" i="35"/>
  <c r="DD10" i="35"/>
  <c r="DF10" i="35"/>
  <c r="DG10" i="35"/>
  <c r="DH10" i="35"/>
  <c r="DI10" i="35"/>
  <c r="DJ10" i="35"/>
  <c r="DK10" i="35"/>
  <c r="DL10" i="35"/>
  <c r="DM10" i="35"/>
  <c r="DN10" i="35"/>
  <c r="DO10" i="35"/>
  <c r="DP10" i="35"/>
  <c r="DQ10" i="35"/>
  <c r="DR10" i="35"/>
  <c r="F11" i="35"/>
  <c r="G11" i="35"/>
  <c r="H11" i="35"/>
  <c r="I11" i="35"/>
  <c r="J11" i="35"/>
  <c r="K11" i="35"/>
  <c r="L11" i="35"/>
  <c r="M11" i="35"/>
  <c r="N11" i="35"/>
  <c r="O11" i="35"/>
  <c r="P11" i="35"/>
  <c r="Q11" i="35"/>
  <c r="R11" i="35"/>
  <c r="S11" i="35"/>
  <c r="T11" i="35"/>
  <c r="U11" i="35"/>
  <c r="V11" i="35"/>
  <c r="W11" i="35"/>
  <c r="X11" i="35"/>
  <c r="Y11" i="35"/>
  <c r="Z11" i="35"/>
  <c r="AB11" i="35"/>
  <c r="AC11" i="35"/>
  <c r="AD11" i="35"/>
  <c r="AE11" i="35"/>
  <c r="AF11" i="35"/>
  <c r="AG11" i="35"/>
  <c r="AH11" i="35"/>
  <c r="AI11" i="35"/>
  <c r="AJ11" i="35"/>
  <c r="AK11" i="35"/>
  <c r="AL11" i="35"/>
  <c r="AM11" i="35"/>
  <c r="AN11" i="35"/>
  <c r="AO11" i="35"/>
  <c r="AP11" i="35"/>
  <c r="AQ11" i="35"/>
  <c r="AR11" i="35"/>
  <c r="AS11" i="35"/>
  <c r="AT11" i="35"/>
  <c r="AU11" i="35"/>
  <c r="AV11" i="35"/>
  <c r="AW11" i="35"/>
  <c r="AX11" i="35"/>
  <c r="AY11" i="35"/>
  <c r="AZ11" i="35"/>
  <c r="BA11" i="35"/>
  <c r="BC11" i="35"/>
  <c r="BD11" i="35"/>
  <c r="BG11" i="35"/>
  <c r="BH11" i="35"/>
  <c r="BI11" i="35"/>
  <c r="BJ11" i="35"/>
  <c r="BK11" i="35"/>
  <c r="BL11" i="35"/>
  <c r="BM11" i="35"/>
  <c r="BN11" i="35"/>
  <c r="BO11" i="35"/>
  <c r="BP11" i="35"/>
  <c r="BQ11" i="35"/>
  <c r="BR11" i="35"/>
  <c r="BS11" i="35"/>
  <c r="BT11" i="35"/>
  <c r="BU11" i="35"/>
  <c r="BV11" i="35"/>
  <c r="BW11" i="35"/>
  <c r="BX11" i="35"/>
  <c r="BY11" i="35"/>
  <c r="BZ11" i="35"/>
  <c r="CA11" i="35"/>
  <c r="CC11" i="35"/>
  <c r="CE11" i="35"/>
  <c r="CF11" i="35"/>
  <c r="CG11" i="35"/>
  <c r="CH11" i="35"/>
  <c r="CI11" i="35"/>
  <c r="CJ11" i="35"/>
  <c r="CK11" i="35"/>
  <c r="CL11" i="35"/>
  <c r="CM11" i="35"/>
  <c r="CN11" i="35"/>
  <c r="CO11" i="35"/>
  <c r="CP11" i="35"/>
  <c r="CQ11" i="35"/>
  <c r="CR11" i="35"/>
  <c r="CS11" i="35"/>
  <c r="CT11" i="35"/>
  <c r="CU11" i="35"/>
  <c r="CV11" i="35"/>
  <c r="CW11" i="35"/>
  <c r="CX11" i="35"/>
  <c r="CY11" i="35"/>
  <c r="CZ11" i="35"/>
  <c r="DA11" i="35"/>
  <c r="DB11" i="35"/>
  <c r="DC11" i="35"/>
  <c r="DD11" i="35"/>
  <c r="DF11" i="35"/>
  <c r="DG11" i="35"/>
  <c r="DH11" i="35"/>
  <c r="DI11" i="35"/>
  <c r="DJ11" i="35"/>
  <c r="DK11" i="35"/>
  <c r="DL11" i="35"/>
  <c r="DM11" i="35"/>
  <c r="DN11" i="35"/>
  <c r="DO11" i="35"/>
  <c r="DP11" i="35"/>
  <c r="DQ11" i="35"/>
  <c r="DR11" i="35"/>
  <c r="F12" i="35"/>
  <c r="G12" i="35"/>
  <c r="H12" i="35"/>
  <c r="I12" i="35"/>
  <c r="J12" i="35"/>
  <c r="K12" i="35"/>
  <c r="L12" i="35"/>
  <c r="M12" i="35"/>
  <c r="N12" i="35"/>
  <c r="O12" i="35"/>
  <c r="P12" i="35"/>
  <c r="Q12" i="35"/>
  <c r="R12" i="35"/>
  <c r="S12" i="35"/>
  <c r="T12" i="35"/>
  <c r="U12" i="35"/>
  <c r="V12" i="35"/>
  <c r="W12" i="35"/>
  <c r="X12" i="35"/>
  <c r="Y12" i="35"/>
  <c r="Z12" i="35"/>
  <c r="AB12" i="35"/>
  <c r="AC12" i="35"/>
  <c r="AD12" i="35"/>
  <c r="AE12" i="35"/>
  <c r="AF12" i="35"/>
  <c r="AG12" i="35"/>
  <c r="AH12" i="35"/>
  <c r="AI12" i="35"/>
  <c r="AJ12" i="35"/>
  <c r="AK12" i="35"/>
  <c r="AL12" i="35"/>
  <c r="AM12" i="35"/>
  <c r="AN12" i="35"/>
  <c r="AO12" i="35"/>
  <c r="AP12" i="35"/>
  <c r="AQ12" i="35"/>
  <c r="AR12" i="35"/>
  <c r="AS12" i="35"/>
  <c r="AT12" i="35"/>
  <c r="AU12" i="35"/>
  <c r="AV12" i="35"/>
  <c r="AW12" i="35"/>
  <c r="AX12" i="35"/>
  <c r="AY12" i="35"/>
  <c r="AZ12" i="35"/>
  <c r="BA12" i="35"/>
  <c r="BC12" i="35"/>
  <c r="BD12" i="35"/>
  <c r="BG12" i="35"/>
  <c r="BH12" i="35"/>
  <c r="BI12" i="35"/>
  <c r="BJ12" i="35"/>
  <c r="BK12" i="35"/>
  <c r="BL12" i="35"/>
  <c r="BM12" i="35"/>
  <c r="BN12" i="35"/>
  <c r="BO12" i="35"/>
  <c r="BP12" i="35"/>
  <c r="BQ12" i="35"/>
  <c r="BR12" i="35"/>
  <c r="BS12" i="35"/>
  <c r="BT12" i="35"/>
  <c r="BU12" i="35"/>
  <c r="BV12" i="35"/>
  <c r="BW12" i="35"/>
  <c r="BX12" i="35"/>
  <c r="BY12" i="35"/>
  <c r="BZ12" i="35"/>
  <c r="CA12" i="35"/>
  <c r="CC12" i="35"/>
  <c r="CE12" i="35"/>
  <c r="CF12" i="35"/>
  <c r="CG12" i="35"/>
  <c r="CH12" i="35"/>
  <c r="CI12" i="35"/>
  <c r="CJ12" i="35"/>
  <c r="CK12" i="35"/>
  <c r="CL12" i="35"/>
  <c r="CM12" i="35"/>
  <c r="CN12" i="35"/>
  <c r="CO12" i="35"/>
  <c r="CP12" i="35"/>
  <c r="CQ12" i="35"/>
  <c r="CR12" i="35"/>
  <c r="CS12" i="35"/>
  <c r="CT12" i="35"/>
  <c r="CU12" i="35"/>
  <c r="CV12" i="35"/>
  <c r="CW12" i="35"/>
  <c r="CX12" i="35"/>
  <c r="CY12" i="35"/>
  <c r="CZ12" i="35"/>
  <c r="DA12" i="35"/>
  <c r="DB12" i="35"/>
  <c r="DC12" i="35"/>
  <c r="DD12" i="35"/>
  <c r="DF12" i="35"/>
  <c r="DG12" i="35"/>
  <c r="DH12" i="35"/>
  <c r="DI12" i="35"/>
  <c r="DJ12" i="35"/>
  <c r="DK12" i="35"/>
  <c r="DL12" i="35"/>
  <c r="DM12" i="35"/>
  <c r="DN12" i="35"/>
  <c r="DO12" i="35"/>
  <c r="DP12" i="35"/>
  <c r="DQ12" i="35"/>
  <c r="DR12" i="35"/>
  <c r="F13" i="35"/>
  <c r="G13" i="35"/>
  <c r="H13" i="35"/>
  <c r="I13" i="35"/>
  <c r="J13" i="35"/>
  <c r="K13" i="35"/>
  <c r="L13" i="35"/>
  <c r="M13" i="35"/>
  <c r="N13" i="35"/>
  <c r="O13" i="35"/>
  <c r="P13" i="35"/>
  <c r="Q13" i="35"/>
  <c r="R13" i="35"/>
  <c r="S13" i="35"/>
  <c r="T13" i="35"/>
  <c r="U13" i="35"/>
  <c r="V13" i="35"/>
  <c r="W13" i="35"/>
  <c r="X13" i="35"/>
  <c r="Y13" i="35"/>
  <c r="Z13" i="35"/>
  <c r="AB13" i="35"/>
  <c r="AC13" i="35"/>
  <c r="AD13" i="35"/>
  <c r="AE13" i="35"/>
  <c r="AF13" i="35"/>
  <c r="AG13" i="35"/>
  <c r="AH13" i="35"/>
  <c r="AI13" i="35"/>
  <c r="AJ13" i="35"/>
  <c r="AK13" i="35"/>
  <c r="AL13" i="35"/>
  <c r="AM13" i="35"/>
  <c r="AN13" i="35"/>
  <c r="AO13" i="35"/>
  <c r="AP13" i="35"/>
  <c r="AQ13" i="35"/>
  <c r="AR13" i="35"/>
  <c r="AS13" i="35"/>
  <c r="AT13" i="35"/>
  <c r="AU13" i="35"/>
  <c r="AV13" i="35"/>
  <c r="AW13" i="35"/>
  <c r="AX13" i="35"/>
  <c r="AY13" i="35"/>
  <c r="AZ13" i="35"/>
  <c r="BA13" i="35"/>
  <c r="BC13" i="35"/>
  <c r="BD13" i="35"/>
  <c r="BG13" i="35"/>
  <c r="BH13" i="35"/>
  <c r="BI13" i="35"/>
  <c r="BJ13" i="35"/>
  <c r="BK13" i="35"/>
  <c r="BL13" i="35"/>
  <c r="BM13" i="35"/>
  <c r="BN13" i="35"/>
  <c r="BO13" i="35"/>
  <c r="BP13" i="35"/>
  <c r="BQ13" i="35"/>
  <c r="BR13" i="35"/>
  <c r="BS13" i="35"/>
  <c r="BT13" i="35"/>
  <c r="BU13" i="35"/>
  <c r="BV13" i="35"/>
  <c r="BW13" i="35"/>
  <c r="BX13" i="35"/>
  <c r="BY13" i="35"/>
  <c r="BZ13" i="35"/>
  <c r="CA13" i="35"/>
  <c r="CC13" i="35"/>
  <c r="CE13" i="35"/>
  <c r="CF13" i="35"/>
  <c r="CG13" i="35"/>
  <c r="CH13" i="35"/>
  <c r="CI13" i="35"/>
  <c r="CJ13" i="35"/>
  <c r="CK13" i="35"/>
  <c r="CL13" i="35"/>
  <c r="CM13" i="35"/>
  <c r="CN13" i="35"/>
  <c r="CO13" i="35"/>
  <c r="CP13" i="35"/>
  <c r="CQ13" i="35"/>
  <c r="CR13" i="35"/>
  <c r="CS13" i="35"/>
  <c r="CT13" i="35"/>
  <c r="CU13" i="35"/>
  <c r="CV13" i="35"/>
  <c r="CW13" i="35"/>
  <c r="CX13" i="35"/>
  <c r="CY13" i="35"/>
  <c r="CZ13" i="35"/>
  <c r="DA13" i="35"/>
  <c r="DB13" i="35"/>
  <c r="DC13" i="35"/>
  <c r="DD13" i="35"/>
  <c r="DF13" i="35"/>
  <c r="DG13" i="35"/>
  <c r="DH13" i="35"/>
  <c r="DI13" i="35"/>
  <c r="DJ13" i="35"/>
  <c r="DK13" i="35"/>
  <c r="DL13" i="35"/>
  <c r="DM13" i="35"/>
  <c r="DN13" i="35"/>
  <c r="DO13" i="35"/>
  <c r="DP13" i="35"/>
  <c r="DQ13" i="35"/>
  <c r="DR13" i="35"/>
  <c r="F14" i="35"/>
  <c r="G14" i="35"/>
  <c r="H14" i="35"/>
  <c r="I14" i="35"/>
  <c r="J14" i="35"/>
  <c r="K14" i="35"/>
  <c r="L14" i="35"/>
  <c r="M14" i="35"/>
  <c r="N14" i="35"/>
  <c r="O14" i="35"/>
  <c r="P14" i="35"/>
  <c r="Q14" i="35"/>
  <c r="R14" i="35"/>
  <c r="S14" i="35"/>
  <c r="T14" i="35"/>
  <c r="U14" i="35"/>
  <c r="V14" i="35"/>
  <c r="W14" i="35"/>
  <c r="X14" i="35"/>
  <c r="Y14" i="35"/>
  <c r="Z14" i="35"/>
  <c r="AB14" i="35"/>
  <c r="AC14" i="35"/>
  <c r="AD14" i="35"/>
  <c r="AE14" i="35"/>
  <c r="AF14" i="35"/>
  <c r="AG14" i="35"/>
  <c r="AH14" i="35"/>
  <c r="AI14" i="35"/>
  <c r="AJ14" i="35"/>
  <c r="AK14" i="35"/>
  <c r="AL14" i="35"/>
  <c r="AM14" i="35"/>
  <c r="AN14" i="35"/>
  <c r="AO14" i="35"/>
  <c r="AP14" i="35"/>
  <c r="AQ14" i="35"/>
  <c r="AR14" i="35"/>
  <c r="AS14" i="35"/>
  <c r="AT14" i="35"/>
  <c r="AU14" i="35"/>
  <c r="AV14" i="35"/>
  <c r="AW14" i="35"/>
  <c r="AX14" i="35"/>
  <c r="AY14" i="35"/>
  <c r="AZ14" i="35"/>
  <c r="BA14" i="35"/>
  <c r="BC14" i="35"/>
  <c r="BD14" i="35"/>
  <c r="BG14" i="35"/>
  <c r="BH14" i="35"/>
  <c r="BI14" i="35"/>
  <c r="BJ14" i="35"/>
  <c r="BK14" i="35"/>
  <c r="BL14" i="35"/>
  <c r="BM14" i="35"/>
  <c r="BN14" i="35"/>
  <c r="BO14" i="35"/>
  <c r="BP14" i="35"/>
  <c r="BQ14" i="35"/>
  <c r="BR14" i="35"/>
  <c r="BS14" i="35"/>
  <c r="BT14" i="35"/>
  <c r="BU14" i="35"/>
  <c r="BV14" i="35"/>
  <c r="BW14" i="35"/>
  <c r="BX14" i="35"/>
  <c r="BY14" i="35"/>
  <c r="BZ14" i="35"/>
  <c r="CA14" i="35"/>
  <c r="CC14" i="35"/>
  <c r="CE14" i="35"/>
  <c r="CF14" i="35"/>
  <c r="CG14" i="35"/>
  <c r="CH14" i="35"/>
  <c r="CI14" i="35"/>
  <c r="CJ14" i="35"/>
  <c r="CK14" i="35"/>
  <c r="CL14" i="35"/>
  <c r="CM14" i="35"/>
  <c r="CN14" i="35"/>
  <c r="CO14" i="35"/>
  <c r="CP14" i="35"/>
  <c r="CQ14" i="35"/>
  <c r="CR14" i="35"/>
  <c r="CS14" i="35"/>
  <c r="CT14" i="35"/>
  <c r="CU14" i="35"/>
  <c r="CV14" i="35"/>
  <c r="CW14" i="35"/>
  <c r="CX14" i="35"/>
  <c r="CY14" i="35"/>
  <c r="CZ14" i="35"/>
  <c r="DA14" i="35"/>
  <c r="DB14" i="35"/>
  <c r="DC14" i="35"/>
  <c r="DD14" i="35"/>
  <c r="DF14" i="35"/>
  <c r="DG14" i="35"/>
  <c r="DH14" i="35"/>
  <c r="DI14" i="35"/>
  <c r="DJ14" i="35"/>
  <c r="DK14" i="35"/>
  <c r="DL14" i="35"/>
  <c r="DM14" i="35"/>
  <c r="DN14" i="35"/>
  <c r="DO14" i="35"/>
  <c r="DP14" i="35"/>
  <c r="DQ14" i="35"/>
  <c r="DR14" i="35"/>
  <c r="F15" i="35"/>
  <c r="G15" i="35"/>
  <c r="H15" i="35"/>
  <c r="I15" i="35"/>
  <c r="J15" i="35"/>
  <c r="K15" i="35"/>
  <c r="L15" i="35"/>
  <c r="M15" i="35"/>
  <c r="N15" i="35"/>
  <c r="O15" i="35"/>
  <c r="P15" i="35"/>
  <c r="Q15" i="35"/>
  <c r="R15" i="35"/>
  <c r="S15" i="35"/>
  <c r="T15" i="35"/>
  <c r="U15" i="35"/>
  <c r="V15" i="35"/>
  <c r="W15" i="35"/>
  <c r="X15" i="35"/>
  <c r="Y15" i="35"/>
  <c r="Z15" i="35"/>
  <c r="AB15" i="35"/>
  <c r="AC15" i="35"/>
  <c r="AD15" i="35"/>
  <c r="AE15" i="35"/>
  <c r="AF15" i="35"/>
  <c r="AG15" i="35"/>
  <c r="AH15" i="35"/>
  <c r="AI15" i="35"/>
  <c r="AJ15" i="35"/>
  <c r="AK15" i="35"/>
  <c r="AL15" i="35"/>
  <c r="AM15" i="35"/>
  <c r="AN15" i="35"/>
  <c r="AO15" i="35"/>
  <c r="AP15" i="35"/>
  <c r="AQ15" i="35"/>
  <c r="AR15" i="35"/>
  <c r="AS15" i="35"/>
  <c r="AT15" i="35"/>
  <c r="AU15" i="35"/>
  <c r="AV15" i="35"/>
  <c r="AW15" i="35"/>
  <c r="AX15" i="35"/>
  <c r="AY15" i="35"/>
  <c r="AZ15" i="35"/>
  <c r="BA15" i="35"/>
  <c r="BC15" i="35"/>
  <c r="BD15" i="35"/>
  <c r="BG15" i="35"/>
  <c r="BH15" i="35"/>
  <c r="BI15" i="35"/>
  <c r="BJ15" i="35"/>
  <c r="BK15" i="35"/>
  <c r="BL15" i="35"/>
  <c r="BM15" i="35"/>
  <c r="BN15" i="35"/>
  <c r="BO15" i="35"/>
  <c r="BP15" i="35"/>
  <c r="BQ15" i="35"/>
  <c r="BR15" i="35"/>
  <c r="BS15" i="35"/>
  <c r="BT15" i="35"/>
  <c r="BU15" i="35"/>
  <c r="BV15" i="35"/>
  <c r="BW15" i="35"/>
  <c r="BX15" i="35"/>
  <c r="BY15" i="35"/>
  <c r="BZ15" i="35"/>
  <c r="CA15" i="35"/>
  <c r="CC15" i="35"/>
  <c r="CE15" i="35"/>
  <c r="CF15" i="35"/>
  <c r="CG15" i="35"/>
  <c r="CH15" i="35"/>
  <c r="CI15" i="35"/>
  <c r="CJ15" i="35"/>
  <c r="CK15" i="35"/>
  <c r="CL15" i="35"/>
  <c r="CM15" i="35"/>
  <c r="CN15" i="35"/>
  <c r="CO15" i="35"/>
  <c r="CP15" i="35"/>
  <c r="CQ15" i="35"/>
  <c r="CR15" i="35"/>
  <c r="CS15" i="35"/>
  <c r="CT15" i="35"/>
  <c r="CU15" i="35"/>
  <c r="CV15" i="35"/>
  <c r="CW15" i="35"/>
  <c r="CX15" i="35"/>
  <c r="CY15" i="35"/>
  <c r="CZ15" i="35"/>
  <c r="DA15" i="35"/>
  <c r="DB15" i="35"/>
  <c r="DC15" i="35"/>
  <c r="DD15" i="35"/>
  <c r="DF15" i="35"/>
  <c r="DG15" i="35"/>
  <c r="DH15" i="35"/>
  <c r="DI15" i="35"/>
  <c r="DJ15" i="35"/>
  <c r="DK15" i="35"/>
  <c r="DL15" i="35"/>
  <c r="DM15" i="35"/>
  <c r="DN15" i="35"/>
  <c r="DO15" i="35"/>
  <c r="DP15" i="35"/>
  <c r="DQ15" i="35"/>
  <c r="DR15" i="35"/>
  <c r="F16" i="35"/>
  <c r="G16" i="35"/>
  <c r="H16" i="35"/>
  <c r="I16" i="35"/>
  <c r="J16" i="35"/>
  <c r="K16" i="35"/>
  <c r="L16" i="35"/>
  <c r="M16" i="35"/>
  <c r="N16" i="35"/>
  <c r="O16" i="35"/>
  <c r="P16" i="35"/>
  <c r="Q16" i="35"/>
  <c r="R16" i="35"/>
  <c r="S16" i="35"/>
  <c r="T16" i="35"/>
  <c r="U16" i="35"/>
  <c r="V16" i="35"/>
  <c r="W16" i="35"/>
  <c r="X16" i="35"/>
  <c r="Y16" i="35"/>
  <c r="Z16" i="35"/>
  <c r="AB16" i="35"/>
  <c r="AC16" i="35"/>
  <c r="AD16" i="35"/>
  <c r="AE16" i="35"/>
  <c r="AF16" i="35"/>
  <c r="AG16" i="35"/>
  <c r="AH16" i="35"/>
  <c r="AI16" i="35"/>
  <c r="AJ16" i="35"/>
  <c r="AK16" i="35"/>
  <c r="AL16" i="35"/>
  <c r="AM16" i="35"/>
  <c r="AN16" i="35"/>
  <c r="AO16" i="35"/>
  <c r="AP16" i="35"/>
  <c r="AQ16" i="35"/>
  <c r="AR16" i="35"/>
  <c r="AS16" i="35"/>
  <c r="AT16" i="35"/>
  <c r="AU16" i="35"/>
  <c r="AV16" i="35"/>
  <c r="AW16" i="35"/>
  <c r="AX16" i="35"/>
  <c r="AY16" i="35"/>
  <c r="AZ16" i="35"/>
  <c r="BA16" i="35"/>
  <c r="BC16" i="35"/>
  <c r="BD16" i="35"/>
  <c r="BG16" i="35"/>
  <c r="BH16" i="35"/>
  <c r="BI16" i="35"/>
  <c r="BJ16" i="35"/>
  <c r="BK16" i="35"/>
  <c r="BL16" i="35"/>
  <c r="BM16" i="35"/>
  <c r="BN16" i="35"/>
  <c r="BO16" i="35"/>
  <c r="BP16" i="35"/>
  <c r="BQ16" i="35"/>
  <c r="BR16" i="35"/>
  <c r="BS16" i="35"/>
  <c r="BT16" i="35"/>
  <c r="BU16" i="35"/>
  <c r="BV16" i="35"/>
  <c r="BW16" i="35"/>
  <c r="BX16" i="35"/>
  <c r="BY16" i="35"/>
  <c r="BZ16" i="35"/>
  <c r="CA16" i="35"/>
  <c r="CC16" i="35"/>
  <c r="CE16" i="35"/>
  <c r="CF16" i="35"/>
  <c r="CG16" i="35"/>
  <c r="CH16" i="35"/>
  <c r="CI16" i="35"/>
  <c r="CJ16" i="35"/>
  <c r="CK16" i="35"/>
  <c r="CL16" i="35"/>
  <c r="CM16" i="35"/>
  <c r="CN16" i="35"/>
  <c r="CO16" i="35"/>
  <c r="CP16" i="35"/>
  <c r="CQ16" i="35"/>
  <c r="CR16" i="35"/>
  <c r="CS16" i="35"/>
  <c r="CT16" i="35"/>
  <c r="CU16" i="35"/>
  <c r="CV16" i="35"/>
  <c r="CW16" i="35"/>
  <c r="CX16" i="35"/>
  <c r="CY16" i="35"/>
  <c r="CZ16" i="35"/>
  <c r="DA16" i="35"/>
  <c r="DB16" i="35"/>
  <c r="DC16" i="35"/>
  <c r="DD16" i="35"/>
  <c r="DF16" i="35"/>
  <c r="DG16" i="35"/>
  <c r="DH16" i="35"/>
  <c r="DI16" i="35"/>
  <c r="DJ16" i="35"/>
  <c r="DK16" i="35"/>
  <c r="DL16" i="35"/>
  <c r="DM16" i="35"/>
  <c r="DN16" i="35"/>
  <c r="DO16" i="35"/>
  <c r="DP16" i="35"/>
  <c r="DQ16" i="35"/>
  <c r="DR16" i="35"/>
  <c r="F17" i="35"/>
  <c r="G17" i="35"/>
  <c r="H17" i="35"/>
  <c r="I17" i="35"/>
  <c r="J17" i="35"/>
  <c r="K17" i="35"/>
  <c r="L17" i="35"/>
  <c r="M17" i="35"/>
  <c r="N17" i="35"/>
  <c r="O17" i="35"/>
  <c r="P17" i="35"/>
  <c r="Q17" i="35"/>
  <c r="R17" i="35"/>
  <c r="S17" i="35"/>
  <c r="T17" i="35"/>
  <c r="U17" i="35"/>
  <c r="V17" i="35"/>
  <c r="W17" i="35"/>
  <c r="X17" i="35"/>
  <c r="Y17" i="35"/>
  <c r="Z17" i="35"/>
  <c r="AB17" i="35"/>
  <c r="AC17" i="35"/>
  <c r="AD17" i="35"/>
  <c r="AE17" i="35"/>
  <c r="AF17" i="35"/>
  <c r="AG17" i="35"/>
  <c r="AH17" i="35"/>
  <c r="AI17" i="35"/>
  <c r="AJ17" i="35"/>
  <c r="AK17" i="35"/>
  <c r="AL17" i="35"/>
  <c r="AM17" i="35"/>
  <c r="AN17" i="35"/>
  <c r="AO17" i="35"/>
  <c r="AP17" i="35"/>
  <c r="AQ17" i="35"/>
  <c r="AR17" i="35"/>
  <c r="AS17" i="35"/>
  <c r="AT17" i="35"/>
  <c r="AU17" i="35"/>
  <c r="AV17" i="35"/>
  <c r="AW17" i="35"/>
  <c r="AX17" i="35"/>
  <c r="AY17" i="35"/>
  <c r="AZ17" i="35"/>
  <c r="BA17" i="35"/>
  <c r="BC17" i="35"/>
  <c r="BD17" i="35"/>
  <c r="BG17" i="35"/>
  <c r="BH17" i="35"/>
  <c r="BI17" i="35"/>
  <c r="BJ17" i="35"/>
  <c r="BK17" i="35"/>
  <c r="BL17" i="35"/>
  <c r="BM17" i="35"/>
  <c r="BN17" i="35"/>
  <c r="BO17" i="35"/>
  <c r="BP17" i="35"/>
  <c r="BQ17" i="35"/>
  <c r="BR17" i="35"/>
  <c r="BS17" i="35"/>
  <c r="BT17" i="35"/>
  <c r="BU17" i="35"/>
  <c r="BV17" i="35"/>
  <c r="BW17" i="35"/>
  <c r="BX17" i="35"/>
  <c r="BY17" i="35"/>
  <c r="BZ17" i="35"/>
  <c r="CA17" i="35"/>
  <c r="CC17" i="35"/>
  <c r="CE17" i="35"/>
  <c r="CF17" i="35"/>
  <c r="CG17" i="35"/>
  <c r="CH17" i="35"/>
  <c r="CI17" i="35"/>
  <c r="CJ17" i="35"/>
  <c r="CK17" i="35"/>
  <c r="CL17" i="35"/>
  <c r="CM17" i="35"/>
  <c r="CN17" i="35"/>
  <c r="CO17" i="35"/>
  <c r="CP17" i="35"/>
  <c r="CQ17" i="35"/>
  <c r="CR17" i="35"/>
  <c r="CS17" i="35"/>
  <c r="CT17" i="35"/>
  <c r="CU17" i="35"/>
  <c r="CV17" i="35"/>
  <c r="CW17" i="35"/>
  <c r="CX17" i="35"/>
  <c r="CY17" i="35"/>
  <c r="CZ17" i="35"/>
  <c r="DA17" i="35"/>
  <c r="DB17" i="35"/>
  <c r="DC17" i="35"/>
  <c r="DD17" i="35"/>
  <c r="DF17" i="35"/>
  <c r="DG17" i="35"/>
  <c r="DH17" i="35"/>
  <c r="DI17" i="35"/>
  <c r="DJ17" i="35"/>
  <c r="DK17" i="35"/>
  <c r="DL17" i="35"/>
  <c r="DM17" i="35"/>
  <c r="DN17" i="35"/>
  <c r="DO17" i="35"/>
  <c r="DP17" i="35"/>
  <c r="DQ17" i="35"/>
  <c r="DR17" i="35"/>
  <c r="F18" i="35"/>
  <c r="G18" i="35"/>
  <c r="H18" i="35"/>
  <c r="I18" i="35"/>
  <c r="J18" i="35"/>
  <c r="K18" i="35"/>
  <c r="L18" i="35"/>
  <c r="M18" i="35"/>
  <c r="N18" i="35"/>
  <c r="O18" i="35"/>
  <c r="P18" i="35"/>
  <c r="Q18" i="35"/>
  <c r="R18" i="35"/>
  <c r="S18" i="35"/>
  <c r="T18" i="35"/>
  <c r="U18" i="35"/>
  <c r="V18" i="35"/>
  <c r="W18" i="35"/>
  <c r="X18" i="35"/>
  <c r="Y18" i="35"/>
  <c r="Z18" i="35"/>
  <c r="AB18" i="35"/>
  <c r="AC18" i="35"/>
  <c r="AD18" i="35"/>
  <c r="AE18" i="35"/>
  <c r="AF18" i="35"/>
  <c r="AG18" i="35"/>
  <c r="AH18" i="35"/>
  <c r="AI18" i="35"/>
  <c r="AJ18" i="35"/>
  <c r="AK18" i="35"/>
  <c r="AL18" i="35"/>
  <c r="AM18" i="35"/>
  <c r="AN18" i="35"/>
  <c r="AO18" i="35"/>
  <c r="AP18" i="35"/>
  <c r="AQ18" i="35"/>
  <c r="AR18" i="35"/>
  <c r="AS18" i="35"/>
  <c r="AT18" i="35"/>
  <c r="AU18" i="35"/>
  <c r="AV18" i="35"/>
  <c r="AW18" i="35"/>
  <c r="AX18" i="35"/>
  <c r="AY18" i="35"/>
  <c r="AZ18" i="35"/>
  <c r="BA18" i="35"/>
  <c r="BC18" i="35"/>
  <c r="BD18" i="35"/>
  <c r="BG18" i="35"/>
  <c r="BH18" i="35"/>
  <c r="BI18" i="35"/>
  <c r="BJ18" i="35"/>
  <c r="BK18" i="35"/>
  <c r="BL18" i="35"/>
  <c r="BM18" i="35"/>
  <c r="BN18" i="35"/>
  <c r="BO18" i="35"/>
  <c r="BP18" i="35"/>
  <c r="BQ18" i="35"/>
  <c r="BR18" i="35"/>
  <c r="BS18" i="35"/>
  <c r="BT18" i="35"/>
  <c r="BU18" i="35"/>
  <c r="BV18" i="35"/>
  <c r="BW18" i="35"/>
  <c r="BX18" i="35"/>
  <c r="BY18" i="35"/>
  <c r="BZ18" i="35"/>
  <c r="CA18" i="35"/>
  <c r="CC18" i="35"/>
  <c r="CE18" i="35"/>
  <c r="CF18" i="35"/>
  <c r="CG18" i="35"/>
  <c r="CH18" i="35"/>
  <c r="CI18" i="35"/>
  <c r="CJ18" i="35"/>
  <c r="CK18" i="35"/>
  <c r="CL18" i="35"/>
  <c r="CM18" i="35"/>
  <c r="CN18" i="35"/>
  <c r="CO18" i="35"/>
  <c r="CP18" i="35"/>
  <c r="CQ18" i="35"/>
  <c r="CR18" i="35"/>
  <c r="CS18" i="35"/>
  <c r="CT18" i="35"/>
  <c r="CU18" i="35"/>
  <c r="CV18" i="35"/>
  <c r="CW18" i="35"/>
  <c r="CX18" i="35"/>
  <c r="CY18" i="35"/>
  <c r="CZ18" i="35"/>
  <c r="DA18" i="35"/>
  <c r="DB18" i="35"/>
  <c r="DC18" i="35"/>
  <c r="DD18" i="35"/>
  <c r="DF18" i="35"/>
  <c r="DG18" i="35"/>
  <c r="DH18" i="35"/>
  <c r="DI18" i="35"/>
  <c r="DJ18" i="35"/>
  <c r="DK18" i="35"/>
  <c r="DL18" i="35"/>
  <c r="DM18" i="35"/>
  <c r="DN18" i="35"/>
  <c r="DO18" i="35"/>
  <c r="DP18" i="35"/>
  <c r="DQ18" i="35"/>
  <c r="DR18" i="35"/>
  <c r="F19" i="35"/>
  <c r="G19" i="35"/>
  <c r="H19" i="35"/>
  <c r="I19" i="35"/>
  <c r="J19" i="35"/>
  <c r="K19" i="35"/>
  <c r="L19" i="35"/>
  <c r="M19" i="35"/>
  <c r="N19" i="35"/>
  <c r="O19" i="35"/>
  <c r="P19" i="35"/>
  <c r="Q19" i="35"/>
  <c r="R19" i="35"/>
  <c r="S19" i="35"/>
  <c r="T19" i="35"/>
  <c r="U19" i="35"/>
  <c r="V19" i="35"/>
  <c r="W19" i="35"/>
  <c r="X19" i="35"/>
  <c r="Y19" i="35"/>
  <c r="Z19" i="35"/>
  <c r="AB19" i="35"/>
  <c r="AC19" i="35"/>
  <c r="AD19" i="35"/>
  <c r="AE19" i="35"/>
  <c r="AF19" i="35"/>
  <c r="AG19" i="35"/>
  <c r="AH19" i="35"/>
  <c r="AI19" i="35"/>
  <c r="AJ19" i="35"/>
  <c r="AK19" i="35"/>
  <c r="AL19" i="35"/>
  <c r="AM19" i="35"/>
  <c r="AN19" i="35"/>
  <c r="AO19" i="35"/>
  <c r="AP19" i="35"/>
  <c r="AQ19" i="35"/>
  <c r="AR19" i="35"/>
  <c r="AS19" i="35"/>
  <c r="AT19" i="35"/>
  <c r="AU19" i="35"/>
  <c r="AV19" i="35"/>
  <c r="AW19" i="35"/>
  <c r="AX19" i="35"/>
  <c r="AY19" i="35"/>
  <c r="AZ19" i="35"/>
  <c r="BA19" i="35"/>
  <c r="BC19" i="35"/>
  <c r="BD19" i="35"/>
  <c r="BG19" i="35"/>
  <c r="BH19" i="35"/>
  <c r="BI19" i="35"/>
  <c r="BJ19" i="35"/>
  <c r="BK19" i="35"/>
  <c r="BL19" i="35"/>
  <c r="BM19" i="35"/>
  <c r="BN19" i="35"/>
  <c r="BO19" i="35"/>
  <c r="BP19" i="35"/>
  <c r="BQ19" i="35"/>
  <c r="BR19" i="35"/>
  <c r="BS19" i="35"/>
  <c r="BT19" i="35"/>
  <c r="BU19" i="35"/>
  <c r="BV19" i="35"/>
  <c r="BW19" i="35"/>
  <c r="BX19" i="35"/>
  <c r="BY19" i="35"/>
  <c r="BZ19" i="35"/>
  <c r="CA19" i="35"/>
  <c r="CC19" i="35"/>
  <c r="CE19" i="35"/>
  <c r="CF19" i="35"/>
  <c r="CG19" i="35"/>
  <c r="CH19" i="35"/>
  <c r="CI19" i="35"/>
  <c r="CJ19" i="35"/>
  <c r="CK19" i="35"/>
  <c r="CL19" i="35"/>
  <c r="CM19" i="35"/>
  <c r="CN19" i="35"/>
  <c r="CO19" i="35"/>
  <c r="CP19" i="35"/>
  <c r="CQ19" i="35"/>
  <c r="CR19" i="35"/>
  <c r="CS19" i="35"/>
  <c r="CT19" i="35"/>
  <c r="CU19" i="35"/>
  <c r="CV19" i="35"/>
  <c r="CW19" i="35"/>
  <c r="CX19" i="35"/>
  <c r="CY19" i="35"/>
  <c r="CZ19" i="35"/>
  <c r="DA19" i="35"/>
  <c r="DB19" i="35"/>
  <c r="DC19" i="35"/>
  <c r="DD19" i="35"/>
  <c r="DF19" i="35"/>
  <c r="DG19" i="35"/>
  <c r="DH19" i="35"/>
  <c r="DI19" i="35"/>
  <c r="DJ19" i="35"/>
  <c r="DK19" i="35"/>
  <c r="DL19" i="35"/>
  <c r="DM19" i="35"/>
  <c r="DN19" i="35"/>
  <c r="DO19" i="35"/>
  <c r="DP19" i="35"/>
  <c r="DQ19" i="35"/>
  <c r="DR19" i="35"/>
  <c r="F20" i="35"/>
  <c r="G20" i="35"/>
  <c r="H20" i="35"/>
  <c r="I20" i="35"/>
  <c r="J20" i="35"/>
  <c r="K20" i="35"/>
  <c r="L20" i="35"/>
  <c r="M20" i="35"/>
  <c r="N20" i="35"/>
  <c r="O20" i="35"/>
  <c r="P20" i="35"/>
  <c r="Q20" i="35"/>
  <c r="R20" i="35"/>
  <c r="S20" i="35"/>
  <c r="T20" i="35"/>
  <c r="U20" i="35"/>
  <c r="V20" i="35"/>
  <c r="W20" i="35"/>
  <c r="X20" i="35"/>
  <c r="Y20" i="35"/>
  <c r="Z20" i="35"/>
  <c r="AB20" i="35"/>
  <c r="AC20" i="35"/>
  <c r="AD20" i="35"/>
  <c r="AE20" i="35"/>
  <c r="AF20" i="35"/>
  <c r="AG20" i="35"/>
  <c r="AH20" i="35"/>
  <c r="AI20" i="35"/>
  <c r="AJ20" i="35"/>
  <c r="AK20" i="35"/>
  <c r="AL20" i="35"/>
  <c r="AM20" i="35"/>
  <c r="AN20" i="35"/>
  <c r="AO20" i="35"/>
  <c r="AP20" i="35"/>
  <c r="AQ20" i="35"/>
  <c r="AR20" i="35"/>
  <c r="AS20" i="35"/>
  <c r="AT20" i="35"/>
  <c r="AU20" i="35"/>
  <c r="AV20" i="35"/>
  <c r="AW20" i="35"/>
  <c r="AX20" i="35"/>
  <c r="AY20" i="35"/>
  <c r="AZ20" i="35"/>
  <c r="BA20" i="35"/>
  <c r="BC20" i="35"/>
  <c r="BD20" i="35"/>
  <c r="BG20" i="35"/>
  <c r="BH20" i="35"/>
  <c r="BI20" i="35"/>
  <c r="BJ20" i="35"/>
  <c r="BK20" i="35"/>
  <c r="BL20" i="35"/>
  <c r="BM20" i="35"/>
  <c r="BN20" i="35"/>
  <c r="BO20" i="35"/>
  <c r="BP20" i="35"/>
  <c r="BQ20" i="35"/>
  <c r="BR20" i="35"/>
  <c r="BS20" i="35"/>
  <c r="BT20" i="35"/>
  <c r="BU20" i="35"/>
  <c r="BV20" i="35"/>
  <c r="BW20" i="35"/>
  <c r="BX20" i="35"/>
  <c r="BY20" i="35"/>
  <c r="BZ20" i="35"/>
  <c r="CA20" i="35"/>
  <c r="CC20" i="35"/>
  <c r="CE20" i="35"/>
  <c r="CF20" i="35"/>
  <c r="CG20" i="35"/>
  <c r="CH20" i="35"/>
  <c r="CI20" i="35"/>
  <c r="CJ20" i="35"/>
  <c r="CK20" i="35"/>
  <c r="CL20" i="35"/>
  <c r="CM20" i="35"/>
  <c r="CN20" i="35"/>
  <c r="CO20" i="35"/>
  <c r="CP20" i="35"/>
  <c r="CQ20" i="35"/>
  <c r="CR20" i="35"/>
  <c r="CS20" i="35"/>
  <c r="CT20" i="35"/>
  <c r="CU20" i="35"/>
  <c r="CV20" i="35"/>
  <c r="CW20" i="35"/>
  <c r="CX20" i="35"/>
  <c r="CY20" i="35"/>
  <c r="CZ20" i="35"/>
  <c r="DA20" i="35"/>
  <c r="DB20" i="35"/>
  <c r="DC20" i="35"/>
  <c r="DD20" i="35"/>
  <c r="DF20" i="35"/>
  <c r="DG20" i="35"/>
  <c r="DH20" i="35"/>
  <c r="DI20" i="35"/>
  <c r="DJ20" i="35"/>
  <c r="DK20" i="35"/>
  <c r="DL20" i="35"/>
  <c r="DM20" i="35"/>
  <c r="DN20" i="35"/>
  <c r="DO20" i="35"/>
  <c r="DP20" i="35"/>
  <c r="DQ20" i="35"/>
  <c r="DR20" i="35"/>
  <c r="F21" i="35"/>
  <c r="G21" i="35"/>
  <c r="H21" i="35"/>
  <c r="I21" i="35"/>
  <c r="J21" i="35"/>
  <c r="K21" i="35"/>
  <c r="L21" i="35"/>
  <c r="M21" i="35"/>
  <c r="N21" i="35"/>
  <c r="O21" i="35"/>
  <c r="P21" i="35"/>
  <c r="Q21" i="35"/>
  <c r="R21" i="35"/>
  <c r="S21" i="35"/>
  <c r="T21" i="35"/>
  <c r="U21" i="35"/>
  <c r="V21" i="35"/>
  <c r="W21" i="35"/>
  <c r="X21" i="35"/>
  <c r="Y21" i="35"/>
  <c r="Z21" i="35"/>
  <c r="AB21" i="35"/>
  <c r="AC21" i="35"/>
  <c r="AD21" i="35"/>
  <c r="AE21" i="35"/>
  <c r="AF21" i="35"/>
  <c r="AG21" i="35"/>
  <c r="AH21" i="35"/>
  <c r="AI21" i="35"/>
  <c r="AJ21" i="35"/>
  <c r="AK21" i="35"/>
  <c r="AL21" i="35"/>
  <c r="AM21" i="35"/>
  <c r="AN21" i="35"/>
  <c r="AO21" i="35"/>
  <c r="AP21" i="35"/>
  <c r="AQ21" i="35"/>
  <c r="AR21" i="35"/>
  <c r="AS21" i="35"/>
  <c r="AT21" i="35"/>
  <c r="AU21" i="35"/>
  <c r="AV21" i="35"/>
  <c r="AW21" i="35"/>
  <c r="AX21" i="35"/>
  <c r="AY21" i="35"/>
  <c r="AZ21" i="35"/>
  <c r="BA21" i="35"/>
  <c r="BC21" i="35"/>
  <c r="BD21" i="35"/>
  <c r="BG21" i="35"/>
  <c r="BH21" i="35"/>
  <c r="BI21" i="35"/>
  <c r="BJ21" i="35"/>
  <c r="BK21" i="35"/>
  <c r="BL21" i="35"/>
  <c r="BM21" i="35"/>
  <c r="BN21" i="35"/>
  <c r="BO21" i="35"/>
  <c r="BP21" i="35"/>
  <c r="BQ21" i="35"/>
  <c r="BR21" i="35"/>
  <c r="BS21" i="35"/>
  <c r="BT21" i="35"/>
  <c r="BU21" i="35"/>
  <c r="BV21" i="35"/>
  <c r="BW21" i="35"/>
  <c r="BX21" i="35"/>
  <c r="BY21" i="35"/>
  <c r="BZ21" i="35"/>
  <c r="CA21" i="35"/>
  <c r="CC21" i="35"/>
  <c r="CE21" i="35"/>
  <c r="CF21" i="35"/>
  <c r="CG21" i="35"/>
  <c r="CH21" i="35"/>
  <c r="CI21" i="35"/>
  <c r="CJ21" i="35"/>
  <c r="CK21" i="35"/>
  <c r="CL21" i="35"/>
  <c r="CM21" i="35"/>
  <c r="CN21" i="35"/>
  <c r="CO21" i="35"/>
  <c r="CP21" i="35"/>
  <c r="CQ21" i="35"/>
  <c r="CR21" i="35"/>
  <c r="CS21" i="35"/>
  <c r="CT21" i="35"/>
  <c r="CU21" i="35"/>
  <c r="CV21" i="35"/>
  <c r="CW21" i="35"/>
  <c r="CX21" i="35"/>
  <c r="CY21" i="35"/>
  <c r="CZ21" i="35"/>
  <c r="DA21" i="35"/>
  <c r="DB21" i="35"/>
  <c r="DC21" i="35"/>
  <c r="DD21" i="35"/>
  <c r="DF21" i="35"/>
  <c r="DG21" i="35"/>
  <c r="DH21" i="35"/>
  <c r="DI21" i="35"/>
  <c r="DJ21" i="35"/>
  <c r="DK21" i="35"/>
  <c r="DL21" i="35"/>
  <c r="DM21" i="35"/>
  <c r="DN21" i="35"/>
  <c r="DO21" i="35"/>
  <c r="DP21" i="35"/>
  <c r="DQ21" i="35"/>
  <c r="DR21" i="35"/>
  <c r="F22" i="35"/>
  <c r="G22" i="35"/>
  <c r="H22" i="35"/>
  <c r="I22" i="35"/>
  <c r="J22" i="35"/>
  <c r="K22" i="35"/>
  <c r="L22" i="35"/>
  <c r="M22" i="35"/>
  <c r="N22" i="35"/>
  <c r="O22" i="35"/>
  <c r="P22" i="35"/>
  <c r="Q22" i="35"/>
  <c r="R22" i="35"/>
  <c r="S22" i="35"/>
  <c r="T22" i="35"/>
  <c r="U22" i="35"/>
  <c r="V22" i="35"/>
  <c r="W22" i="35"/>
  <c r="X22" i="35"/>
  <c r="Y22" i="35"/>
  <c r="Z22" i="35"/>
  <c r="AB22" i="35"/>
  <c r="AC22" i="35"/>
  <c r="AD22" i="35"/>
  <c r="AE22" i="35"/>
  <c r="AF22" i="35"/>
  <c r="AG22" i="35"/>
  <c r="AH22" i="35"/>
  <c r="AI22" i="35"/>
  <c r="AJ22" i="35"/>
  <c r="AK22" i="35"/>
  <c r="AL22" i="35"/>
  <c r="AM22" i="35"/>
  <c r="AN22" i="35"/>
  <c r="AO22" i="35"/>
  <c r="AP22" i="35"/>
  <c r="AQ22" i="35"/>
  <c r="AR22" i="35"/>
  <c r="AS22" i="35"/>
  <c r="AT22" i="35"/>
  <c r="AU22" i="35"/>
  <c r="AV22" i="35"/>
  <c r="AW22" i="35"/>
  <c r="AX22" i="35"/>
  <c r="AY22" i="35"/>
  <c r="AZ22" i="35"/>
  <c r="BA22" i="35"/>
  <c r="BC22" i="35"/>
  <c r="BD22" i="35"/>
  <c r="BG22" i="35"/>
  <c r="BH22" i="35"/>
  <c r="BI22" i="35"/>
  <c r="BJ22" i="35"/>
  <c r="BK22" i="35"/>
  <c r="BL22" i="35"/>
  <c r="BM22" i="35"/>
  <c r="BN22" i="35"/>
  <c r="BO22" i="35"/>
  <c r="BP22" i="35"/>
  <c r="BQ22" i="35"/>
  <c r="BR22" i="35"/>
  <c r="BS22" i="35"/>
  <c r="BT22" i="35"/>
  <c r="BU22" i="35"/>
  <c r="BV22" i="35"/>
  <c r="BW22" i="35"/>
  <c r="BX22" i="35"/>
  <c r="BY22" i="35"/>
  <c r="BZ22" i="35"/>
  <c r="CA22" i="35"/>
  <c r="CC22" i="35"/>
  <c r="CE22" i="35"/>
  <c r="CF22" i="35"/>
  <c r="CG22" i="35"/>
  <c r="CH22" i="35"/>
  <c r="CI22" i="35"/>
  <c r="CJ22" i="35"/>
  <c r="CK22" i="35"/>
  <c r="CL22" i="35"/>
  <c r="CM22" i="35"/>
  <c r="CN22" i="35"/>
  <c r="CO22" i="35"/>
  <c r="CP22" i="35"/>
  <c r="CQ22" i="35"/>
  <c r="CR22" i="35"/>
  <c r="CS22" i="35"/>
  <c r="CT22" i="35"/>
  <c r="CU22" i="35"/>
  <c r="CV22" i="35"/>
  <c r="CW22" i="35"/>
  <c r="CX22" i="35"/>
  <c r="CY22" i="35"/>
  <c r="CZ22" i="35"/>
  <c r="DA22" i="35"/>
  <c r="DB22" i="35"/>
  <c r="DC22" i="35"/>
  <c r="DD22" i="35"/>
  <c r="DF22" i="35"/>
  <c r="DG22" i="35"/>
  <c r="DH22" i="35"/>
  <c r="DI22" i="35"/>
  <c r="DJ22" i="35"/>
  <c r="DK22" i="35"/>
  <c r="DL22" i="35"/>
  <c r="DM22" i="35"/>
  <c r="DN22" i="35"/>
  <c r="DO22" i="35"/>
  <c r="DP22" i="35"/>
  <c r="DQ22" i="35"/>
  <c r="DR22" i="35"/>
  <c r="F23" i="35"/>
  <c r="G23" i="35"/>
  <c r="H23" i="35"/>
  <c r="I23" i="35"/>
  <c r="J23" i="35"/>
  <c r="K23" i="35"/>
  <c r="L23" i="35"/>
  <c r="M23" i="35"/>
  <c r="N23" i="35"/>
  <c r="O23" i="35"/>
  <c r="P23" i="35"/>
  <c r="Q23" i="35"/>
  <c r="R23" i="35"/>
  <c r="S23" i="35"/>
  <c r="T23" i="35"/>
  <c r="U23" i="35"/>
  <c r="V23" i="35"/>
  <c r="W23" i="35"/>
  <c r="X23" i="35"/>
  <c r="Y23" i="35"/>
  <c r="Z23" i="35"/>
  <c r="AB23" i="35"/>
  <c r="AC23" i="35"/>
  <c r="AD23" i="35"/>
  <c r="AE23" i="35"/>
  <c r="AF23" i="35"/>
  <c r="AG23" i="35"/>
  <c r="AH23" i="35"/>
  <c r="AI23" i="35"/>
  <c r="AJ23" i="35"/>
  <c r="AK23" i="35"/>
  <c r="AL23" i="35"/>
  <c r="AM23" i="35"/>
  <c r="AN23" i="35"/>
  <c r="AO23" i="35"/>
  <c r="AP23" i="35"/>
  <c r="AQ23" i="35"/>
  <c r="AR23" i="35"/>
  <c r="AS23" i="35"/>
  <c r="AT23" i="35"/>
  <c r="AU23" i="35"/>
  <c r="AV23" i="35"/>
  <c r="AW23" i="35"/>
  <c r="AX23" i="35"/>
  <c r="AY23" i="35"/>
  <c r="AZ23" i="35"/>
  <c r="BA23" i="35"/>
  <c r="BC23" i="35"/>
  <c r="BD23" i="35"/>
  <c r="BG23" i="35"/>
  <c r="BH23" i="35"/>
  <c r="BI23" i="35"/>
  <c r="BJ23" i="35"/>
  <c r="BK23" i="35"/>
  <c r="BL23" i="35"/>
  <c r="BM23" i="35"/>
  <c r="BN23" i="35"/>
  <c r="BO23" i="35"/>
  <c r="BP23" i="35"/>
  <c r="BQ23" i="35"/>
  <c r="BR23" i="35"/>
  <c r="BS23" i="35"/>
  <c r="BT23" i="35"/>
  <c r="BU23" i="35"/>
  <c r="BV23" i="35"/>
  <c r="BW23" i="35"/>
  <c r="BX23" i="35"/>
  <c r="BY23" i="35"/>
  <c r="BZ23" i="35"/>
  <c r="CA23" i="35"/>
  <c r="CC23" i="35"/>
  <c r="CE23" i="35"/>
  <c r="CF23" i="35"/>
  <c r="CG23" i="35"/>
  <c r="CH23" i="35"/>
  <c r="CI23" i="35"/>
  <c r="CJ23" i="35"/>
  <c r="CK23" i="35"/>
  <c r="CL23" i="35"/>
  <c r="CM23" i="35"/>
  <c r="CN23" i="35"/>
  <c r="CO23" i="35"/>
  <c r="CP23" i="35"/>
  <c r="CQ23" i="35"/>
  <c r="CR23" i="35"/>
  <c r="CS23" i="35"/>
  <c r="CT23" i="35"/>
  <c r="CU23" i="35"/>
  <c r="CV23" i="35"/>
  <c r="CW23" i="35"/>
  <c r="CX23" i="35"/>
  <c r="CY23" i="35"/>
  <c r="CZ23" i="35"/>
  <c r="DA23" i="35"/>
  <c r="DB23" i="35"/>
  <c r="DC23" i="35"/>
  <c r="DD23" i="35"/>
  <c r="DF23" i="35"/>
  <c r="DG23" i="35"/>
  <c r="DH23" i="35"/>
  <c r="DI23" i="35"/>
  <c r="DJ23" i="35"/>
  <c r="DK23" i="35"/>
  <c r="DL23" i="35"/>
  <c r="DM23" i="35"/>
  <c r="DN23" i="35"/>
  <c r="DO23" i="35"/>
  <c r="DP23" i="35"/>
  <c r="DQ23" i="35"/>
  <c r="DR23" i="35"/>
  <c r="F24" i="35"/>
  <c r="G24" i="35"/>
  <c r="H24" i="35"/>
  <c r="I24" i="35"/>
  <c r="J24" i="35"/>
  <c r="K24" i="35"/>
  <c r="L24" i="35"/>
  <c r="M24" i="35"/>
  <c r="N24" i="35"/>
  <c r="O24" i="35"/>
  <c r="P24" i="35"/>
  <c r="Q24" i="35"/>
  <c r="R24" i="35"/>
  <c r="S24" i="35"/>
  <c r="T24" i="35"/>
  <c r="U24" i="35"/>
  <c r="V24" i="35"/>
  <c r="W24" i="35"/>
  <c r="X24" i="35"/>
  <c r="Y24" i="35"/>
  <c r="Z24" i="35"/>
  <c r="AB24" i="35"/>
  <c r="AC24" i="35"/>
  <c r="AD24" i="35"/>
  <c r="AE24" i="35"/>
  <c r="AF24" i="35"/>
  <c r="AG24" i="35"/>
  <c r="AH24" i="35"/>
  <c r="AI24" i="35"/>
  <c r="AJ24" i="35"/>
  <c r="AK24" i="35"/>
  <c r="AL24" i="35"/>
  <c r="AM24" i="35"/>
  <c r="AN24" i="35"/>
  <c r="AO24" i="35"/>
  <c r="AP24" i="35"/>
  <c r="AQ24" i="35"/>
  <c r="AR24" i="35"/>
  <c r="AS24" i="35"/>
  <c r="AT24" i="35"/>
  <c r="AU24" i="35"/>
  <c r="AV24" i="35"/>
  <c r="AW24" i="35"/>
  <c r="AX24" i="35"/>
  <c r="AY24" i="35"/>
  <c r="AZ24" i="35"/>
  <c r="BA24" i="35"/>
  <c r="BC24" i="35"/>
  <c r="BD24" i="35"/>
  <c r="BG24" i="35"/>
  <c r="BH24" i="35"/>
  <c r="BI24" i="35"/>
  <c r="BJ24" i="35"/>
  <c r="BK24" i="35"/>
  <c r="BL24" i="35"/>
  <c r="BM24" i="35"/>
  <c r="BN24" i="35"/>
  <c r="BO24" i="35"/>
  <c r="BP24" i="35"/>
  <c r="BQ24" i="35"/>
  <c r="BR24" i="35"/>
  <c r="BS24" i="35"/>
  <c r="BT24" i="35"/>
  <c r="BU24" i="35"/>
  <c r="BV24" i="35"/>
  <c r="BW24" i="35"/>
  <c r="BX24" i="35"/>
  <c r="BY24" i="35"/>
  <c r="BZ24" i="35"/>
  <c r="CA24" i="35"/>
  <c r="CC24" i="35"/>
  <c r="CE24" i="35"/>
  <c r="CF24" i="35"/>
  <c r="CG24" i="35"/>
  <c r="CH24" i="35"/>
  <c r="CI24" i="35"/>
  <c r="CJ24" i="35"/>
  <c r="CK24" i="35"/>
  <c r="CL24" i="35"/>
  <c r="CM24" i="35"/>
  <c r="CN24" i="35"/>
  <c r="CO24" i="35"/>
  <c r="CP24" i="35"/>
  <c r="CQ24" i="35"/>
  <c r="CR24" i="35"/>
  <c r="CS24" i="35"/>
  <c r="CT24" i="35"/>
  <c r="CU24" i="35"/>
  <c r="CV24" i="35"/>
  <c r="CW24" i="35"/>
  <c r="CX24" i="35"/>
  <c r="CY24" i="35"/>
  <c r="CZ24" i="35"/>
  <c r="DA24" i="35"/>
  <c r="DB24" i="35"/>
  <c r="DC24" i="35"/>
  <c r="DD24" i="35"/>
  <c r="DF24" i="35"/>
  <c r="DG24" i="35"/>
  <c r="DH24" i="35"/>
  <c r="DI24" i="35"/>
  <c r="DJ24" i="35"/>
  <c r="DK24" i="35"/>
  <c r="DL24" i="35"/>
  <c r="DM24" i="35"/>
  <c r="DN24" i="35"/>
  <c r="DO24" i="35"/>
  <c r="DP24" i="35"/>
  <c r="DQ24" i="35"/>
  <c r="DR24" i="35"/>
  <c r="BX13" i="29" l="1"/>
  <c r="BW13" i="29"/>
  <c r="BV13" i="29"/>
  <c r="BK13" i="29"/>
  <c r="BJ13" i="29"/>
  <c r="BQ13" i="29"/>
  <c r="BP13" i="29"/>
  <c r="BO13" i="29"/>
  <c r="BN13" i="29"/>
  <c r="BM13" i="29"/>
  <c r="BL13" i="29"/>
  <c r="BI13" i="29"/>
  <c r="BH13" i="29"/>
  <c r="BG13" i="29"/>
  <c r="BF13" i="29"/>
  <c r="BE13" i="29"/>
  <c r="BD13" i="29"/>
  <c r="BC13" i="29"/>
  <c r="BB13" i="29"/>
  <c r="BA13" i="29"/>
  <c r="AZ13" i="29"/>
  <c r="AY13" i="29"/>
  <c r="AQ13" i="29"/>
  <c r="AP13" i="29"/>
  <c r="AW13" i="29"/>
  <c r="AV13" i="29"/>
  <c r="AU13" i="29"/>
  <c r="AT13" i="29"/>
  <c r="AS13" i="29"/>
  <c r="AR13" i="29"/>
  <c r="AB13" i="29"/>
  <c r="AN13" i="29"/>
  <c r="AM13" i="29"/>
  <c r="AL13" i="29"/>
  <c r="AK13" i="29"/>
  <c r="AJ13" i="29"/>
  <c r="AI13" i="29"/>
  <c r="AH13" i="29"/>
  <c r="AG13" i="29"/>
  <c r="AF13" i="29"/>
  <c r="AE13" i="29"/>
  <c r="AD13" i="29"/>
  <c r="AC13" i="29"/>
  <c r="X13" i="29"/>
  <c r="W13" i="29"/>
  <c r="V13" i="29"/>
  <c r="A3" i="49" l="1"/>
  <c r="A3" i="48"/>
  <c r="A3" i="47"/>
  <c r="A3" i="45"/>
  <c r="A3" i="44"/>
  <c r="A3" i="43"/>
  <c r="A3" i="42"/>
  <c r="A3" i="41"/>
  <c r="A3" i="40"/>
  <c r="A3" i="39" l="1"/>
  <c r="A3" i="38"/>
  <c r="A3" i="37"/>
  <c r="A3" i="36" l="1"/>
  <c r="A3" i="35"/>
  <c r="A3" i="34" l="1"/>
  <c r="A3" i="33" l="1"/>
  <c r="A3" i="32" l="1"/>
  <c r="A3" i="31"/>
  <c r="A3" i="30"/>
  <c r="A3" i="29"/>
  <c r="A3" i="27"/>
  <c r="A3" i="26"/>
  <c r="A3" i="24" l="1"/>
  <c r="A3" i="23"/>
  <c r="A3" i="20" l="1"/>
  <c r="C23" i="5" l="1"/>
</calcChain>
</file>

<file path=xl/sharedStrings.xml><?xml version="1.0" encoding="utf-8"?>
<sst xmlns="http://schemas.openxmlformats.org/spreadsheetml/2006/main" count="4712" uniqueCount="591">
  <si>
    <t>Offerte</t>
  </si>
  <si>
    <t>Team Freight Forwarding Logistics</t>
  </si>
  <si>
    <t xml:space="preserve">XPO Logistics Netherlands B.V. </t>
  </si>
  <si>
    <t>Marconiweg 14</t>
  </si>
  <si>
    <t>Lagelandseweg 70</t>
  </si>
  <si>
    <t>8501 XM Joure</t>
  </si>
  <si>
    <t>6545 CG Nijmegen (NL)</t>
  </si>
  <si>
    <t>operations@tfflogistics.com</t>
  </si>
  <si>
    <t>Tel: +31 (0)24-372 4680</t>
  </si>
  <si>
    <t>sales.nl@xpo.com</t>
  </si>
  <si>
    <r>
      <t xml:space="preserve">Laadadres </t>
    </r>
    <r>
      <rPr>
        <sz val="10"/>
        <color theme="1"/>
        <rFont val="Roboto"/>
      </rPr>
      <t>(tenzij anders vermeld)</t>
    </r>
  </si>
  <si>
    <r>
      <t>Losadres (</t>
    </r>
    <r>
      <rPr>
        <sz val="10"/>
        <color theme="1"/>
        <rFont val="Roboto"/>
      </rPr>
      <t>tenzij anders vermeld</t>
    </r>
    <r>
      <rPr>
        <b/>
        <sz val="11"/>
        <color theme="1"/>
        <rFont val="Roboto"/>
      </rPr>
      <t>)</t>
    </r>
  </si>
  <si>
    <t>NL (ex Waddeneilanden)</t>
  </si>
  <si>
    <t>te bevestigen op order</t>
  </si>
  <si>
    <t>Tarieven zijn geldig t/m 30-06-2026</t>
  </si>
  <si>
    <t>Tarieven zijn enkel geldig na schriftelijk akkoord binnen 14 dagen na dagtekening van toesturen van offertes.</t>
  </si>
  <si>
    <t>Voor onze algemene voorwaarden en toeslagen en condities verwijzen wij u naar de overige tabbladen.</t>
  </si>
  <si>
    <t>Akkoord voor tarieven en Algemene voorwaarden en condities:</t>
  </si>
  <si>
    <t>Handtekening</t>
  </si>
  <si>
    <t>Export Oostenrijk</t>
  </si>
  <si>
    <t>kg</t>
  </si>
  <si>
    <t>ldm</t>
  </si>
  <si>
    <t>euplt</t>
  </si>
  <si>
    <t>blkplt</t>
  </si>
  <si>
    <t>Transittijden:</t>
  </si>
  <si>
    <t>Dag van lading is dag 0</t>
  </si>
  <si>
    <t>Vertrek</t>
  </si>
  <si>
    <t xml:space="preserve">                           Transittijd in werkdagen</t>
  </si>
  <si>
    <t>Groupage 1-5 pallets</t>
  </si>
  <si>
    <t>ma,di,wo,do,vrij</t>
  </si>
  <si>
    <t>2/3</t>
  </si>
  <si>
    <t>3/4</t>
  </si>
  <si>
    <t>Deelpartijen &gt; 5 pallets</t>
  </si>
  <si>
    <t>Compleet ladingen</t>
  </si>
  <si>
    <t>1/2</t>
  </si>
  <si>
    <t>Export België</t>
  </si>
  <si>
    <t>BE</t>
  </si>
  <si>
    <t>Transittijd in werkdagen</t>
  </si>
  <si>
    <t>Export Bulgarije</t>
  </si>
  <si>
    <t>di,do,vrij</t>
  </si>
  <si>
    <t>5</t>
  </si>
  <si>
    <t>5/6</t>
  </si>
  <si>
    <t>di,wo,do,vrij</t>
  </si>
  <si>
    <t>4/5</t>
  </si>
  <si>
    <t>4</t>
  </si>
  <si>
    <t>Export Zwitserland</t>
  </si>
  <si>
    <t>ma,di,wo,vrij</t>
  </si>
  <si>
    <t>Export Tsjechië</t>
  </si>
  <si>
    <t xml:space="preserve">                                    Transittijd in werkdagen</t>
  </si>
  <si>
    <t>di,vrij</t>
  </si>
  <si>
    <t>Export Duitsland</t>
  </si>
  <si>
    <t>1</t>
  </si>
  <si>
    <t>Condities:</t>
  </si>
  <si>
    <t>* Kleplevering t/m 3 pallets inclusief. Vanaf 4 pallets € 75,- per zending</t>
  </si>
  <si>
    <t>Export Denemarken</t>
  </si>
  <si>
    <t>Dag van lading =  Dag 0</t>
  </si>
  <si>
    <t>* Tarief is niet geldig voor de eilanden</t>
  </si>
  <si>
    <t>Export Estland</t>
  </si>
  <si>
    <t>Export Spanje</t>
  </si>
  <si>
    <t>* Leveringen 1 t/m 5 pallets met klepauto is inclusief, mits schriftelijk bevestigd. Vanaf 6 pallets kleplevering op aanvraag</t>
  </si>
  <si>
    <t>* Losadres moet bereikbaar zijn met een internationale trailer bij zendingen vanaf 6 pallets. Vanaf 6 pallets met mo-wagen (7 mtr) op aanvraag</t>
  </si>
  <si>
    <t>Export Finland</t>
  </si>
  <si>
    <t>00</t>
  </si>
  <si>
    <t>01</t>
  </si>
  <si>
    <t>02</t>
  </si>
  <si>
    <t>03</t>
  </si>
  <si>
    <t>04</t>
  </si>
  <si>
    <t>05</t>
  </si>
  <si>
    <t>06</t>
  </si>
  <si>
    <t>07</t>
  </si>
  <si>
    <t>08</t>
  </si>
  <si>
    <t>09</t>
  </si>
  <si>
    <t>OR</t>
  </si>
  <si>
    <t>6/7</t>
  </si>
  <si>
    <t>Export Frankrijk</t>
  </si>
  <si>
    <t>* Leveringen 1 t/m 5 pallets standaard met klepauto (mits vermeld op de opdracht). Vanaf 6 pallets kleplevering op aanvraag</t>
  </si>
  <si>
    <t>* Losadres bij leveringen 1 t/m 5 pallets moet bereikbaar zijn met 19 tons citytrailer. Vanaf 6 pallets moet losadres bereikbaar zijn met 13,6 trailer</t>
  </si>
  <si>
    <t>Export Groot-Brittannië</t>
  </si>
  <si>
    <t>AB</t>
  </si>
  <si>
    <t>AL</t>
  </si>
  <si>
    <t>B</t>
  </si>
  <si>
    <t>BA</t>
  </si>
  <si>
    <t>BB</t>
  </si>
  <si>
    <t>BD</t>
  </si>
  <si>
    <t>BH</t>
  </si>
  <si>
    <t>BL</t>
  </si>
  <si>
    <t>BN</t>
  </si>
  <si>
    <t>BR</t>
  </si>
  <si>
    <t>BS</t>
  </si>
  <si>
    <t>CA</t>
  </si>
  <si>
    <t>CB</t>
  </si>
  <si>
    <t>CF</t>
  </si>
  <si>
    <t>CH</t>
  </si>
  <si>
    <t>CM</t>
  </si>
  <si>
    <t>CO</t>
  </si>
  <si>
    <t>CR</t>
  </si>
  <si>
    <t>CT</t>
  </si>
  <si>
    <t>CV</t>
  </si>
  <si>
    <t>CW</t>
  </si>
  <si>
    <t>DA</t>
  </si>
  <si>
    <t>DD</t>
  </si>
  <si>
    <t>DE</t>
  </si>
  <si>
    <t>DG</t>
  </si>
  <si>
    <t>DH</t>
  </si>
  <si>
    <t>DL</t>
  </si>
  <si>
    <t>DN</t>
  </si>
  <si>
    <t>DT</t>
  </si>
  <si>
    <t>DY</t>
  </si>
  <si>
    <t>E</t>
  </si>
  <si>
    <t>EC</t>
  </si>
  <si>
    <t>EH</t>
  </si>
  <si>
    <t>EN</t>
  </si>
  <si>
    <t>EX</t>
  </si>
  <si>
    <t>FK</t>
  </si>
  <si>
    <t>FY</t>
  </si>
  <si>
    <t>G</t>
  </si>
  <si>
    <t>GL</t>
  </si>
  <si>
    <t>GU</t>
  </si>
  <si>
    <t>HA</t>
  </si>
  <si>
    <t>HD</t>
  </si>
  <si>
    <t>HG</t>
  </si>
  <si>
    <t>HP</t>
  </si>
  <si>
    <t>HR</t>
  </si>
  <si>
    <t>HU</t>
  </si>
  <si>
    <t>HX</t>
  </si>
  <si>
    <t>IG</t>
  </si>
  <si>
    <t>IP</t>
  </si>
  <si>
    <t>IV</t>
  </si>
  <si>
    <t>KA</t>
  </si>
  <si>
    <t>KT</t>
  </si>
  <si>
    <t>KW</t>
  </si>
  <si>
    <t>KY</t>
  </si>
  <si>
    <t>L</t>
  </si>
  <si>
    <t>LA</t>
  </si>
  <si>
    <t xml:space="preserve">LD </t>
  </si>
  <si>
    <t>LE</t>
  </si>
  <si>
    <t>LL</t>
  </si>
  <si>
    <t>LN</t>
  </si>
  <si>
    <t>LS</t>
  </si>
  <si>
    <t>LU</t>
  </si>
  <si>
    <t>M</t>
  </si>
  <si>
    <t>ME</t>
  </si>
  <si>
    <t>MK</t>
  </si>
  <si>
    <t>ML</t>
  </si>
  <si>
    <t xml:space="preserve">N </t>
  </si>
  <si>
    <t>NE</t>
  </si>
  <si>
    <t>NG</t>
  </si>
  <si>
    <t>NN</t>
  </si>
  <si>
    <t>NP</t>
  </si>
  <si>
    <t>NR</t>
  </si>
  <si>
    <t>NW</t>
  </si>
  <si>
    <t>OL</t>
  </si>
  <si>
    <t>OX</t>
  </si>
  <si>
    <t>PA</t>
  </si>
  <si>
    <t>PE</t>
  </si>
  <si>
    <t>PH</t>
  </si>
  <si>
    <t>PL</t>
  </si>
  <si>
    <t>PO</t>
  </si>
  <si>
    <t>PR</t>
  </si>
  <si>
    <t>RG</t>
  </si>
  <si>
    <t>RH</t>
  </si>
  <si>
    <t>RM</t>
  </si>
  <si>
    <t>S</t>
  </si>
  <si>
    <t>SA</t>
  </si>
  <si>
    <t>SE</t>
  </si>
  <si>
    <t>SG</t>
  </si>
  <si>
    <t>SK</t>
  </si>
  <si>
    <t>SL</t>
  </si>
  <si>
    <t>SM</t>
  </si>
  <si>
    <t>SN</t>
  </si>
  <si>
    <t>SO</t>
  </si>
  <si>
    <t>SP</t>
  </si>
  <si>
    <t>SR</t>
  </si>
  <si>
    <t>SS</t>
  </si>
  <si>
    <t>ST</t>
  </si>
  <si>
    <t>SW</t>
  </si>
  <si>
    <t>SY</t>
  </si>
  <si>
    <t>TA</t>
  </si>
  <si>
    <t>TD</t>
  </si>
  <si>
    <t>TF</t>
  </si>
  <si>
    <t>TN</t>
  </si>
  <si>
    <t>TQ</t>
  </si>
  <si>
    <t>TR</t>
  </si>
  <si>
    <t>TS</t>
  </si>
  <si>
    <t>TW</t>
  </si>
  <si>
    <t>UB</t>
  </si>
  <si>
    <t>W</t>
  </si>
  <si>
    <t>WA</t>
  </si>
  <si>
    <t>WC</t>
  </si>
  <si>
    <t>WD</t>
  </si>
  <si>
    <t>WF</t>
  </si>
  <si>
    <t>WN</t>
  </si>
  <si>
    <t>WR</t>
  </si>
  <si>
    <t>WS</t>
  </si>
  <si>
    <t>WV</t>
  </si>
  <si>
    <t>YO</t>
  </si>
  <si>
    <t>Export Griekenland</t>
  </si>
  <si>
    <t>7/8</t>
  </si>
  <si>
    <t>Export Kroatië</t>
  </si>
  <si>
    <t>Export Hongarije</t>
  </si>
  <si>
    <t>* Tarief Budapest is alleen geldig voor levering in een niet vergunning-plichtig gebied</t>
  </si>
  <si>
    <t>Export Italië</t>
  </si>
  <si>
    <t>ma,di,vrij</t>
  </si>
  <si>
    <t>* Kleptoeslag € 40,- per zending Noord-Italië (PC 1,2,3)  t/m 4 pallets. Daarboven op aanvraag</t>
  </si>
  <si>
    <t>* Kleptoeslag € 50,- per zending Midden-en Zuid Italië (PC 0 en 4 t/m 9) t/m 4 pallets. Daarboven op aanvraag</t>
  </si>
  <si>
    <t>Export Litouwen</t>
  </si>
  <si>
    <t>do,vrij</t>
  </si>
  <si>
    <t>Export Letland</t>
  </si>
  <si>
    <t>4/6</t>
  </si>
  <si>
    <t>Export Noorwegen</t>
  </si>
  <si>
    <t>2</t>
  </si>
  <si>
    <t>3</t>
  </si>
  <si>
    <t>Export Polen</t>
  </si>
  <si>
    <t>Export Portugal</t>
  </si>
  <si>
    <t>Export Roemenië</t>
  </si>
  <si>
    <t>Export Zweden</t>
  </si>
  <si>
    <t>FTL</t>
  </si>
  <si>
    <t>3/5</t>
  </si>
  <si>
    <t>Export Slovenië</t>
  </si>
  <si>
    <t>All regions</t>
  </si>
  <si>
    <t>Export Slowakije</t>
  </si>
  <si>
    <t>ALGEMENE VOORWAARDEN 2026</t>
  </si>
  <si>
    <t>Acceptatie</t>
  </si>
  <si>
    <t>Op alle werkzaamheden van XPO Logistics Netherlands B.V. zijn deze Algemene Voorwaarden 2026 en de aanvullingen daarop van toepassing;</t>
  </si>
  <si>
    <t>De LSC voorwaarden 2014, voor crossdock- en warehouseactiviteiten altijd de laatste versie, het CMR Verdrag (CMR-voorwaarden), bij internationaal vervoer over de weg,</t>
  </si>
  <si>
    <t>nieuwste versie. De Algemene Vervoersvoorwaarden (AVC 2002), bij nationaal vervoer binnen Nederland, laatste versie.</t>
  </si>
  <si>
    <t>De voorwaarden zijn vooraf of bij het sluiten van de overeenkomst aan u verstrekt of worden op verzoek kosteloos toegezonden.</t>
  </si>
  <si>
    <t>Deze Algemene Voorwaarden zijn van toepassing op alle activiteiten van XPO Logistics Netherlands B.V. en worden bij alle offertes meegestuurd.</t>
  </si>
  <si>
    <t>Door het verstrekken van een opdracht aan XPO Logistics Netherlands B.V. stemt de opdrachtgever in met de toepasselijkheid van deze voorwaarden</t>
  </si>
  <si>
    <t xml:space="preserve">Beperkte aansprakelijkheid </t>
  </si>
  <si>
    <t xml:space="preserve">De aansprakelijkheid voor de logistieke dienstverlening kan in veel gevallen beperkt zijn, conform voorgenoemde condities en voorwaarden. Een gevolg van deze beperkte </t>
  </si>
  <si>
    <t xml:space="preserve">aansprakelijkheid kan zijn dat daarmee niet het volledige bedrag als gevolg van schade of verlies van een zending is gedekt. Voor de volledige dekking van de werkelijke waarde van </t>
  </si>
  <si>
    <t xml:space="preserve">de goederen tijdens transport is het dan ook aan te bevelen om de goederen aanvullend te verzekeren tegen transport risico's. Deze verzekering is niet standaard inbegrepen en </t>
  </si>
  <si>
    <t xml:space="preserve">wordt niet automatisch afgesloten. Als een additionele service kan XPO Logistics Netherlands B.V. zorgdragen voor een aanvullende goederenverzekering. </t>
  </si>
  <si>
    <t xml:space="preserve">Neem hiervoor contact op met uw contactpersoon die u zal inlichten over alle voorwaarden, tarieven en uitsluitingen. </t>
  </si>
  <si>
    <t>Gevolgschade</t>
  </si>
  <si>
    <t xml:space="preserve">XPO Logistics Netherlands B.V. is in géén geval aansprakelijk voor indirecte schade, waaronder inbegrepen doch niet gelimiteerd tot gevolgschade en </t>
  </si>
  <si>
    <t xml:space="preserve">economische schade, met inbegrip van gederfde winst of inkomsten, gemiste besparingen, verlies van afzetgebied of goodwill en schade door bedrijfsstagnatie. </t>
  </si>
  <si>
    <t>Tarieven en geldigheidsduur</t>
  </si>
  <si>
    <t>De afgegeven tarieven zijn in Euro (exclusief BTW) en bevatten altijd een separaat werkblad met toeslagen en speciale afspraken of condities welke prevaleren boven de algemene voorwaarden.</t>
  </si>
  <si>
    <t>Offertes zijn geldig na schriftelijke acceptatie van de offerte tot en met de einddatum vermeld op het tarievenblad. Standaard lopen tarieven af per genoemde datum op offerte,</t>
  </si>
  <si>
    <t>tenzij anders vermeld. Uitzondering hierop zijn tarieven welke aangeboden worden als spotbids (ad-hoc). Tarieven zijn exclusief ferrykosten, douanekosten en invoerrechten/belastingen.</t>
  </si>
  <si>
    <t xml:space="preserve">Aansprakelijkheid voor kosten </t>
  </si>
  <si>
    <t xml:space="preserve">Indien opdrachtgever verzoekt kosten door te berekenen aan een derde partij dan blijft opdrachtgever te allen tijde verantwoordelijk en aansprakelijk voor de te betalen kosten </t>
  </si>
  <si>
    <t>indien deze derde partij in gebreke blijft.</t>
  </si>
  <si>
    <t>Brandstoftoeslag (DOT)</t>
  </si>
  <si>
    <t>Gezien de sterke fluctuaties van de brandstofprijzen zijn de afgegeven tarieven altijd exclusief een brandstoftoeslag, tenzij uitdrukkelijk anders en te allen tijde schriftelijk overeengekomen.</t>
  </si>
  <si>
    <t>Het percentage brandstoftoeslag wordt elke eerste kalenderdag van een nieuwe maand berekend en vastgesteld. De formule om deze toeslag te berekenen is opgenomen in het separaat</t>
  </si>
  <si>
    <t>werkblad met toeslagen en condities en/of vastgelegde afspraken . De minimale brandstoftoeslag is 0%.</t>
  </si>
  <si>
    <t>Tolkosten</t>
  </si>
  <si>
    <t>De door XPO Logistics Netherlands B.V. afgegeven tarieven zijn inclusief tol- en Mautkosten, tenzij uitdrukkelijk anders en te allen tijde schriftelijk overeengekomen.</t>
  </si>
  <si>
    <t>Mocht een land besluiten om de tolheffing te verhogen of te verlagen dan zal deze stijging/daling direct naar rato worden aangepast in de transporttarieven.</t>
  </si>
  <si>
    <t xml:space="preserve">XPO Logistics Netherlands B.V. behoudt zich het recht voor om tussentijdse aanpassingen door te voeren. </t>
  </si>
  <si>
    <t>Uitzondering op de genoemde tolkosten zijn de van overheidswege verwachte kilometerheffing in Nederland per 1 juli 2026. De impact hiervan wordt nog gecommuniceerd.</t>
  </si>
  <si>
    <t>Aanmelden van zendingen</t>
  </si>
  <si>
    <t xml:space="preserve">Transportopdrachten dienen schriftelijk/digitaal te worden aangeleverd. Bij voorkeur wordt hier gebruik gemaakt van de web portal, een EDI-bericht of het standaard orderformulier </t>
  </si>
  <si>
    <t xml:space="preserve">van XPO Logistics Netherlands B.V. Telefonische opdrachten worden niet geaccepteerd. Separaat toegestuurde transportopdrachten worden niet geconsolideerd </t>
  </si>
  <si>
    <t>afgerekend. De transportopdracht dient altijd volledig te zijn ingevuld en voorzien te zijn van contactpersoon en telefoonnummer van zowel de opdrachtgever als de ontvanger.</t>
  </si>
  <si>
    <t xml:space="preserve">Het ladinggewicht dat op de transportopdracht wordt vermeld dient altijd het brutogewicht van de goederen te zijn. </t>
  </si>
  <si>
    <t xml:space="preserve">Transporten dienen uiterlijk 15:00 uur op de dag vóór belading bij ons binnen te zijn. Indien dit later wordt kan dit mogelijk van invloed zijn op de afgesproken </t>
  </si>
  <si>
    <t>transit tijden. Goederen dienen op de dag van lading vanaf 08:00 uur klaar te staan tenzij anders overeengekomen</t>
  </si>
  <si>
    <t xml:space="preserve">Voor de verwerking van opdrachten  buiten onze portal zal een administratieve toeslag worden belast (zie tab Toeslagen en condities) </t>
  </si>
  <si>
    <t>Uitvoering transporten</t>
  </si>
  <si>
    <t>Het staat XPO Logistics Netherlands B.V. vrij derden partijen in te schakelen voor uitvoeren van de aan haar verstrekte opdrachten. Hiervoor hoeft vooraf geen</t>
  </si>
  <si>
    <t>toestemming te worden verkregen van opdrachtgever.</t>
  </si>
  <si>
    <t>Tijdsgeboden leveringen/afhalingen</t>
  </si>
  <si>
    <t>De door XPO Logistics Netherlands B.V. afgegeven tarieven zijn gebaseerd op standaard afhalingen of leveringen gedurende één werkdag. Voor specifieke tijdleveringen</t>
  </si>
  <si>
    <t>worden toeslagen in rekening gebracht. Deze toeslagen zijn opgenomen in de offerte in het separate werkblad met toeslagen en speciale afspraken of condities.</t>
  </si>
  <si>
    <t>Mogelijkheden voor tijdleveringen moeten vooraf in overleg met de afdeling Planning of Customer Service worden besproken.</t>
  </si>
  <si>
    <t>Wachturen</t>
  </si>
  <si>
    <t>Nationaal</t>
  </si>
  <si>
    <t xml:space="preserve">Maximale laadtijd bedraagt:   </t>
  </si>
  <si>
    <t>t/m 2,0 laadmeter:</t>
  </si>
  <si>
    <t>max. 15 minuten</t>
  </si>
  <si>
    <t>2,1 t/m 4,0 laadmeter:</t>
  </si>
  <si>
    <t>max. 30 minuten</t>
  </si>
  <si>
    <t>4,1 t/m 6,0 laadmeter:</t>
  </si>
  <si>
    <t>max. 45 minuten</t>
  </si>
  <si>
    <t>6,1 t/m 13,6 laadmeter:</t>
  </si>
  <si>
    <t>max. 60 minuten</t>
  </si>
  <si>
    <t xml:space="preserve">Maximale lostijd bedraagt:     </t>
  </si>
  <si>
    <t>Internationaal</t>
  </si>
  <si>
    <t xml:space="preserve">Maximale laadtijd bedraagt:  </t>
  </si>
  <si>
    <t>2,1 t/m 12,8 laadmeter:</t>
  </si>
  <si>
    <t>12,9 t/m 13,6 laadmeter:</t>
  </si>
  <si>
    <t>max. 120 minuten</t>
  </si>
  <si>
    <t xml:space="preserve">Maximale lostijd bedraagt:   </t>
  </si>
  <si>
    <t>Mocht het laden of lossen langer duren dan hierboven is aangegeven dan wordt een toeslag voor wachturen berekend.</t>
  </si>
  <si>
    <t>Hierbij wordt afgerond op hele kwartieren (voorbeeld: 20 minuten wachten wordt afgerond naar één half uur). Deze toeslag is opgenomen in het separaat werkblad 'Toeslagen en condities'.</t>
  </si>
  <si>
    <t>Tariefbepaling en volumefactor</t>
  </si>
  <si>
    <t>De tarieftabel is gebaseerd op de eerste 2 cijfers of letters van de postcode van de losplaats. Deze twee cijfers of letters bepalen welke tariefzone moet worden gehanteerd.</t>
  </si>
  <si>
    <t>Het betalend gewicht wordt bepaald door het maximum van het werkelijk brutogewicht ten op zichte van het volumegewicht.</t>
  </si>
  <si>
    <t>Het volumegewicht wordt bepaald door de onderstaande uitgangspunten:</t>
  </si>
  <si>
    <t>1 m3</t>
  </si>
  <si>
    <t>= 330kg</t>
  </si>
  <si>
    <t>1 laadmeter</t>
  </si>
  <si>
    <t>= 1750kg</t>
  </si>
  <si>
    <t xml:space="preserve">1 europallet </t>
  </si>
  <si>
    <t>(120cm *   80cm  ; max. 700kg)</t>
  </si>
  <si>
    <t xml:space="preserve">1 blokpallet </t>
  </si>
  <si>
    <t>(120cm * 100cm ;  max. 875kg)</t>
  </si>
  <si>
    <t xml:space="preserve">Het maximum ladinggewicht is afhankelijk van het bestemmingsland en het soort materieel dat wordt ingezet. Hoogte van pallets in het groupage netwerk max. 220cm hoog, tenzij anders </t>
  </si>
  <si>
    <t xml:space="preserve">overeengekomen. De tarieven zijn gebaseerd op één laad- en één losadres per zending. De vrachtkosten worden berekend over het werkelijke gewicht of over het volumegewicht indien deze hoger is. </t>
  </si>
  <si>
    <t>In geval van stuwageverlies: berekening op basis van het aantal laadmeters dat nodig is om de goederen te laden.</t>
  </si>
  <si>
    <t>Stapelbare pallets</t>
  </si>
  <si>
    <t>Pallets worden als stapelbaar beschouwd en als zodanig afgerekend indien ze door de opdrachtgever gestapeld worden geladen in het transportmiddel van XPO Logistics Netherlands B.V.</t>
  </si>
  <si>
    <t>Gestapelde pallets mogen geen gevaar opleveren voor andere goederen in de vrachtwagen.</t>
  </si>
  <si>
    <t>ADR Goederen (vervoer van gevaarlijke stoffen)</t>
  </si>
  <si>
    <t>Door de opdrachtgever ter vervoer aangeboden ADR goederen dienen aan de wettelijk gestelde eisen te voldoen.</t>
  </si>
  <si>
    <t xml:space="preserve">De opdrachtgever is verantwoordelijk voor de juiste etikettering, een UN goedgekeurde verpakking, het vervoersdocument, de afzenderverklaring. Voor verkeren over water dient een geldig DGD </t>
  </si>
  <si>
    <t xml:space="preserve"> (Dangerous Goods Declaration)  te worden bijgevoegd. Tarieven zijn, tenzij anders aangegeven, exclusief ADR toeslag. Een eventuele ADR toeslag zal separaat worden vermeldt.</t>
  </si>
  <si>
    <t>Douanewetgeving/kosten</t>
  </si>
  <si>
    <t xml:space="preserve">De tarieven van XPO Logistics Netherlands B.V. zijn exclusief kosten voor het opmaken van douanedocumentatie, inklaringskosten en eventueel te betalen BTW en invoerrechten. </t>
  </si>
  <si>
    <t xml:space="preserve">Afhankelijk van de leveringsconditie (incoterm) worden deze kosten aan de opdrachtgever of aan de ontvanger van de goederen berekend. </t>
  </si>
  <si>
    <t xml:space="preserve">  </t>
  </si>
  <si>
    <t>Let wel, de opdrachtgever blijft te allen tijde verantwoordelijk en aansprakelijk voor de te betalen kosten indien de ontvanger in gebreke blijft.</t>
  </si>
  <si>
    <t>De opdrachtgever is verantwoordelijk voor het aanleveren van de juiste (landspecifieke) documentatie.</t>
  </si>
  <si>
    <t>Om de juiste exportdocumenten te verkrijgen dient men aan de onderstaande criteria te voldoen:</t>
  </si>
  <si>
    <t>- Bij een factuurwaarde groter dan € 6.000,- dient men altijd een EUR 1 certificaat aan te vragen bij de Kamer van Koophandel waaronder men ressorteert, mits de goederen hun oorsprong vinden in de EU.</t>
  </si>
  <si>
    <t>- Indien de oorsprong buiten de EU ligt dient het land van oorsprong op de factuur vermeld te worden.</t>
  </si>
  <si>
    <t>- Bij een factuurwaarde kleiner dan € 6.000,- dient men de zgn. "factuurverklaring" op de originele factuur te vermelden. De handtekening onder de factuurverklaring dient altijd origineel te zijn, geen kopie.</t>
  </si>
  <si>
    <t>Ook dient er te allen tijde de naam van diegene die ondertekent onder de verklaring te staan.</t>
  </si>
  <si>
    <t>Machting/Directe vertegenwoordiging : XPO Logistics Netherlands B.V. heeft een getekende machtiging nodig om douanezendingen te versturen/op te maken.</t>
  </si>
  <si>
    <r>
      <rPr>
        <b/>
        <sz val="9"/>
        <rFont val="Roboto"/>
      </rPr>
      <t>Factuur en paklijst :</t>
    </r>
    <r>
      <rPr>
        <sz val="9"/>
        <rFont val="Roboto"/>
      </rPr>
      <t xml:space="preserve"> Elke zending dient voorzien te zijn van de factuur en paklijst, digitaal bij aanmelding en fysiek bij de zending.</t>
    </r>
  </si>
  <si>
    <t>Niet-geaccepteerde lading</t>
  </si>
  <si>
    <t>Het is niet toegestaan om de volgende producten door XPO Logistics Netherlands B.V. te laten vervoeren: Radioactieve stoffen (ADR klasse 7), ontplofbare stoffen of voorwerpen (ADR klasse 1),</t>
  </si>
  <si>
    <t>verboden of verdovende middelen, geld, verhandelde documenten (zoals cheques, waardepapieren, etc.), wapentuig, vuurwapens, munitie, juwelen, edelstenen, edelmetalen, kunst en levende lave.</t>
  </si>
  <si>
    <t>Foutvracht</t>
  </si>
  <si>
    <t>Onder een foutvracht wordt verstaan wanneer een zending op het tijdstip van laden niet verzendgereed staat of wanneer een zending wordt geannuleerd.</t>
  </si>
  <si>
    <t>Kosten hiervoor treft u in het tabblad toeslagen.</t>
  </si>
  <si>
    <t xml:space="preserve">Geweigerde zendingen of niet aanwezigheid ontvanger </t>
  </si>
  <si>
    <t>Indien een zending door de ontvanger van de goederen wordt geweigerd of indien een ontvanger niet aanwezig is dan zal XPO Logistics Netherlands B.V. de zending</t>
  </si>
  <si>
    <t>retourneren aan de afzender van de goederen. Hiervoor worden transportkosten in rekening gebracht.</t>
  </si>
  <si>
    <t>Aanpassing transporttarieven</t>
  </si>
  <si>
    <t xml:space="preserve">De geldigheid van de tarieven wordt verlengd tot de vervaldatum vermeld op het tariefblad van het voorstel. XPO Logistics Netherlands B.V. behoudt zich echter het recht </t>
  </si>
  <si>
    <t>voor om op ieder moment de tarieven te verhogen met inachtneming van een termijn van tien dagen.</t>
  </si>
  <si>
    <t>De opdrachtgever zal hiervan vooraf schriftelijk op de hoogte worden gesteld.</t>
  </si>
  <si>
    <t>Laad/losklep</t>
  </si>
  <si>
    <t>Indien het laden en/of lossen van de goederen dient te geschieden met een wagen voorzien van een laad- of losklep, wordt hiervoor een toeslag in rekening gebracht, tenzij anders overeengekomen.</t>
  </si>
  <si>
    <t>Tevens dient deze informatie bij opdrachtverstrekking expliciet te worden vermeld.</t>
  </si>
  <si>
    <t>Verpakking en markeringen</t>
  </si>
  <si>
    <t xml:space="preserve">De opdrachtgever is verantwoordelijk voor de verpakking van de goederen. </t>
  </si>
  <si>
    <t>De aangeboden goederen dienen goed en transportwaardig te zijn verpakt en voorzien van duidelijke gegevens per verpakkingseenheid omtrent, het produkt, volledige adressering</t>
  </si>
  <si>
    <t>van zowel de afzender als de ontvanger, referenties en eventueel symbolen die de behandeling aangeven (zoals bv. breekbaar).</t>
  </si>
  <si>
    <t xml:space="preserve">Voor eventuele schade aan ondeugdelijk verpakte goederen is XPO Logistics Netherlands B.V. niet aansprakelijk. Goederen kunnen niet worden vervoerd indien ze niet zijn voorzien van </t>
  </si>
  <si>
    <t>een adreslabel. Eventuele kosten die ontstaan door het ontbreken van juiste of volledige markeringen worden in rekening gebracht bij de opdrachtgever.</t>
  </si>
  <si>
    <t>Transittijden</t>
  </si>
  <si>
    <t>De door XPO Logistics Netherlands B.V. afgegeven transit tijden zijn indicatief. Transit tijden zijn onderhevig aan weers- en verkeersomstandigheden.</t>
  </si>
  <si>
    <t>Tijdens vakantieperiodes/nationale en regionale feestdagen kan de transit tijd van uw zendingen afwijken van de door aangegeven looptijden. Mogelijkheden met betrekking tot afwijkende afhaal/afleveringen</t>
  </si>
  <si>
    <t>moeten altijd vooraf worden besproken met de afdelingen Customer Service of Planning.</t>
  </si>
  <si>
    <t xml:space="preserve">Bereikbaarheid laad- en losadres plus openingstijden </t>
  </si>
  <si>
    <t>Tenzij specifiek opgegeven, gaan wij er vanuit dat zowel het laad- als het losadres op werkdagen bereikbaar is met een vrachtwagen (trailer of combi).</t>
  </si>
  <si>
    <t>Indien geladen en gelost moet worden met een kleiner voertuig (bijv. bakwagen of bestelbus) dan dient dit expliciet in de transportopdracht te worden vermeld. Hierdoor kunnen mogelijk extra kosten</t>
  </si>
  <si>
    <t>ontstaan. Transporten worden standaard uitgevoerd met huiftrailers / tautliners en worden via de achterkant geladen en gelost.</t>
  </si>
  <si>
    <t xml:space="preserve">Indien niet anders op de transportopdracht aangegeven gaan wij uit van standaard openingstijden bij laad- en losadressen tussen 08:00 - 17:00 uur. </t>
  </si>
  <si>
    <t>Indien goederen buiten deze tijden moeten worden geladen of gelost dan moet dit vooraf worden besproken met de afdeling Planning of Customer Service.</t>
  </si>
  <si>
    <t>Facturen en reclamaties</t>
  </si>
  <si>
    <t>Facturen worden digitaal verzonden door XPO Logistics Netherlands B.V.</t>
  </si>
  <si>
    <t xml:space="preserve">Indien niet binnen 8 dagen na factuurdatum een ​​schriftelijke reclamatie is ontvangen, wordt de factuur beschouwd als akkoord. </t>
  </si>
  <si>
    <t>Schriftelijke klachten kunt u richten aan onze debiteurenafdeling, zie referentie op onze factuur (e-mail: xpo-advbst@xpo.com).</t>
  </si>
  <si>
    <t>Tenzij uiterlijk 8 dagen na factuurdatum een ​​schriftelijke klacht is ontvangen, wordt de klant geacht de levering te aanvaarden.</t>
  </si>
  <si>
    <t>Betalingsvoorwaarden</t>
  </si>
  <si>
    <t>De opdrachtgever wordt geacht de facturen binnen 30 dagen na factuurdatum te voldoen, tenzij uitdrukkelijk anders is overeengekomen, steeds schriftelijk.</t>
  </si>
  <si>
    <t xml:space="preserve">Indien facturen niet binnen de gestelde termijn worden betaald, wordt over het factuurbedrag een rente in rekening gebracht van 2% per maand, met een minimum van € 25,-. Alle gerechtelijke en buitengerechtelijke kosten </t>
  </si>
  <si>
    <t>gemoeid met de invordering van de onbetaalde facturen komen voor rekening van de opdrachtgever.</t>
  </si>
  <si>
    <t>Schade</t>
  </si>
  <si>
    <t>Zichtbare schade aan een zending veroorzaakt door het transport dient u binnen 24 uur na ontvangst schriftelijk te melden aan XPO Logistics Netherlands B.V.</t>
  </si>
  <si>
    <t xml:space="preserve">Europallets   </t>
  </si>
  <si>
    <t xml:space="preserve">XPO Logistics Netherlands B.V. biedt géén standaard palletruil. </t>
  </si>
  <si>
    <t>Palletruil is alleen mogelijk indien vooraf uitdrukkelijk en te allen tijde schriftelijk tussen opdrachtgever en XPO Logistics Netherlands B.V. overeengekomen.</t>
  </si>
  <si>
    <t>In het geval palletruil explicitiet wordt overeengekomen dan geldt, in verband met het retour ontvangen van pallets met een slechtere kwaliteit, een afschrijvingspercentage van 15% op het totaal</t>
  </si>
  <si>
    <t>aantal pallets. De verantwoordelijkheid ten aanzien van de kwaliteit van de geleverde europallets ligt volledig bij de opdrachtgever.</t>
  </si>
  <si>
    <t>Indien de ontvanger op basis van de kwaliteit niet wil ruilen dan vervalt de verplichting van XPO Logistics Netherlands B.V. jegens haar opdrachtgever.</t>
  </si>
  <si>
    <t>XPO Logistics Netherlands B.V. houdt een bestand bij waarin staat hoeveel pallets een klant tegoed heeft. Voor deze administratieve werkzaamheden</t>
  </si>
  <si>
    <t>worden kosten in rekening worden gebracht. Daarnaast wordt een bedrag per geruilde europallet in rekening gebracht. Claims op europallets dienen uiterlijk binnen 3 maanden na het transport</t>
  </si>
  <si>
    <t>schriftelijk te worden ingediend bij XPO Logistics Netherlands B.V.. Na genoemde periode vervalt het recht op teruggave van europallets.</t>
  </si>
  <si>
    <t>Rembourzendingen</t>
  </si>
  <si>
    <t>Het onder rembours afleveren van goederen is niet mogelijk.</t>
  </si>
  <si>
    <t>Afgetekende vrachtbrieven (POD's)</t>
  </si>
  <si>
    <t>Afgetekende vrachtbrieven of pakbonnen worden door XPO Logistics Netherlands B.V. gescand en digitaal bewaard. Vanwege hoge administratieve</t>
  </si>
  <si>
    <t>belasting worden deze documenten niet standaard meegestuurd met de facturen, tenzij uitdrukkelijk anders en te allentijde schriftelijk overeengekomen.</t>
  </si>
  <si>
    <t>Indien een opdrachtgever een cmr/pakbon wil ontvangen dan geldt hiervoor een vast tarief per afgetekend document gerekend. Dit tarief treft u in het tabblad toeslagen en condities.</t>
  </si>
  <si>
    <t>In geval van een transportschade wordt de afgetekende vrachtbrief kosteloos toegestuurd.</t>
  </si>
  <si>
    <t xml:space="preserve"> </t>
  </si>
  <si>
    <t>Zendingen kunnen door medewerkers van XPO Logistics Netherlands B.V. worden aangemeld bij het laad- en/of losadres.</t>
  </si>
  <si>
    <t>Voor deze dienstverlening worden kosten in rekening worden gebracht. Dit tarief treft u in het tabblad toeslagen en condities.</t>
  </si>
  <si>
    <t>Overmacht</t>
  </si>
  <si>
    <t>XPO Logistics Netherlands B.V. is in geen geval aansprakelijk voor schade als gevolg van het niet of niet-tijdig nakomen van haar verplichtingen ten gevolge van overmacht.</t>
  </si>
  <si>
    <t xml:space="preserve">Onder overmacht wordt onder meer verstaan (maar niet uitsluitend gelimiteerd tot): natuurgeweld, oorlog, brand, blokkades, uitvallen van ferry's, arbeidsonrust, bepaalde </t>
  </si>
  <si>
    <t>overheidsmaatregelen, sabotage, oproer en gebrek aan brandstoffen.Schade (zoals retourbrengen zending, nieuw bookslot maken en opnieuw aanleveren) ontstaan door overmacht zal te allen tijde</t>
  </si>
  <si>
    <t>worden verhaald op de opdrachtgever.</t>
  </si>
  <si>
    <t xml:space="preserve">Niet aanwezig mogen zijn van de chauffeur bij laden en/of lossen </t>
  </si>
  <si>
    <t xml:space="preserve">Indien op een laad- of losadres de chauffeur niet fysiek bij het laden of lossen aanwezig mag zijn, dan zijn eventuele onregelmatigheden (zoals bv. schades en manco's) </t>
  </si>
  <si>
    <t>en daaruit voortvloeiende (financiële) gevolgen volledig voor risico van de opdrachtgever. Dit geldt tevens zonder dat de chauffeur hieromtrent een met redenen omkleed voorbehoud heeft gemaakt</t>
  </si>
  <si>
    <t>op de vrachtbrief.</t>
  </si>
  <si>
    <t>Leveringscondities (INCOTERMS)</t>
  </si>
  <si>
    <t>De opdrachtgever wordt geacht om de leveringsconditie (Incoterms 2020), welke is afgesproken met de ontvanger door te geven aan XPO Logistics Netherlands B.V.</t>
  </si>
  <si>
    <t>Overige bepalingen</t>
  </si>
  <si>
    <t xml:space="preserve">Goederen dienen altijd te kunnen worden overgeladen. Indien dit niet het geval is dient dit duidelijk op de transportopdracht te worden vermeld. De transporttarieven zoals afgegeven gelden niet indien </t>
  </si>
  <si>
    <t>goederen niet kunnen worden overgeladen. In geval op het laad- en/of losadres foto's gemaakt moeten worden zal hiervoor een administratieve toeslag worden berekend. Indien pallets langer dan</t>
  </si>
  <si>
    <t>5 dagen op een overslaglocatie van XPO Logistics Netherlands B.V. staan worden hiervoor opslagkosten in rekening gebracht.</t>
  </si>
  <si>
    <t xml:space="preserve">Food Safety </t>
  </si>
  <si>
    <t xml:space="preserve">Opdrachtgever dient voorafgaand aan transport de aard van de goederen bekend te maken bij XPO.   </t>
  </si>
  <si>
    <t xml:space="preserve">XPO accepteert geen goederen die tijdens transport/overslag besmettingsriciso opleveren voor voedingsmiddelen. </t>
  </si>
  <si>
    <t>Hieronder vallen lekkende goederen of slecht verpakte goederen, levensmiddelen in ongesloten verpakking,</t>
  </si>
  <si>
    <t>Intermodaal transport</t>
  </si>
  <si>
    <t xml:space="preserve">Gebeurtenissen met betrekking tot spoor- en of zeetransport buiten de invloedssfeer van XPO Logistics Netherlands B.V. kunnen leiden tot een langere transit tijd. </t>
  </si>
  <si>
    <t>Als alternatief kunnen andere routes worden aangeboden tegen een aangepaste prijs en looptijd.</t>
  </si>
  <si>
    <t>Kosten gerelateerd aan onvoorziene wijzigingen binnen de infrastructuur (zowel tijdelijk als permanent) zullen aangekondigd en overeenkomstig belast worden.</t>
  </si>
  <si>
    <t>SENT registratie Polen</t>
  </si>
  <si>
    <t>Wanneer u goederen die binnen de SENT regelgeving vallen met XPO Logistics Netherlands B.V. naar Polen laat vervoeren, dan bent u verplicht het unieke SENT registratienummer en de authorisatiecode in uw opdracht</t>
  </si>
  <si>
    <t>te vermelden. Dit nummer moet door de ontvanger of afzender in Polen aangevraagd worden in het SENT systeem en is 10 dagen geldig. Zonder SENT nummer kan de zending niet geladen worden.</t>
  </si>
  <si>
    <t xml:space="preserve">ETS (Emission Trading System) </t>
  </si>
  <si>
    <t>Vanaf 1 januari 2024 zal in de Europese Unie een CO2-heffing voor zeevracht van kracht zijn, als onderdeel van de inspanningen om klimaatdoelstellingen te behalen. Rederijen zullen vanaf deze datum een ETS-toeslag toepassen.</t>
  </si>
  <si>
    <t>Het doel van het Europese emissiehandelssysteem (ETS), is om de uitstoot van broeikasgassen in industriële sectoren in de Europese Unie te beheersen en te verminderen. Vanaf 2024 zal dit ook gelden voor de scheepvaart.</t>
  </si>
  <si>
    <t>Gebruik van beveiligde parkeerplaatsen</t>
  </si>
  <si>
    <t xml:space="preserve">De opdrachtgever dient duidelijke instructies te geven met betrekking tot transporten van hoge waarde. </t>
  </si>
  <si>
    <t xml:space="preserve">Op verzoek van de opdrachtgever worden beveiligde parkeerplaatsen zoveel als mogelijk gebruikt. In dat geval dient de opdrachtgever voorafgaand aan het transport aan te geven welke parkeerplaatsen gebruikt </t>
  </si>
  <si>
    <t>kunnen worden. De wettelijke rij- en rusttijden worden daarbij in acht genomen. Beveiligde parkeerplaatsen worden eveneens gebruikt indien dit redelijkerwijs vereist is volgens XPO Logistics Netherlands B.V. en/of</t>
  </si>
  <si>
    <t xml:space="preserve">de chauffeur onder de gegeven omstandigheden. Enige kosten voor beveiligd parkeren worden doorbelast aan de opdrachtgever, evenals kosten voor enige additionele kilometers die gereden worden om beveiligde </t>
  </si>
  <si>
    <t>parkeerplaats te gebruiken. </t>
  </si>
  <si>
    <t>Toepasselijk recht / Rechtspleging</t>
  </si>
  <si>
    <t>Alle rechtverhoudingen waarop deze Algemene Voorwaarden van toepassing zijn worden uitsluitend beheerst door het Nederlands recht. Geschillen worden exclusief voorgelegd aan de rechtbank</t>
  </si>
  <si>
    <t>van Amsterdam of Rotterdam in Nederland.</t>
  </si>
  <si>
    <t>Dit document is onderhevig aan verandering zonder kennisgeving. Aan deze tekst kunnen geen rechten worden ontleend.</t>
  </si>
  <si>
    <t>Bijgewerkt 12122026 MvM</t>
  </si>
  <si>
    <t>TOESLAGEN EN CONDITIES 2026</t>
  </si>
  <si>
    <t xml:space="preserve">Brandstoftoeslag   </t>
  </si>
  <si>
    <t xml:space="preserve">Brandstoftoeslag wordt separaat berekend. </t>
  </si>
  <si>
    <t>Basis € 0,96 per liter (excl. BTW)</t>
  </si>
  <si>
    <t xml:space="preserve">Elke eerste kalenderdag van de maand fungeert als toetsingsmoment waarbij de dieselprijs van TLN (tln.nl) wordt gehanteerd. </t>
  </si>
  <si>
    <t>Uitgangspunt hierbij is de pompprijs van BP.  De minimale brandstoftoeslag is 0%.</t>
  </si>
  <si>
    <t xml:space="preserve">Tijdsgebonden afhaling of aflevering </t>
  </si>
  <si>
    <t>Tijdvenster fixed of 1 uur</t>
  </si>
  <si>
    <t>per zending</t>
  </si>
  <si>
    <t>Tijdvenster van 2 uur</t>
  </si>
  <si>
    <t xml:space="preserve">Tijdvenster van 3 uur            </t>
  </si>
  <si>
    <t>Tijdvenster van 4 uur</t>
  </si>
  <si>
    <t>Toeslag voor het leveren van zendingen bij Amazon bedraagt  per zending.</t>
  </si>
  <si>
    <t>Op aanvraag</t>
  </si>
  <si>
    <t>Mogelijkheden voor tijdleveringen/afhalingen vooraf in overleg met de afdelingen Planning of Customer service.</t>
  </si>
  <si>
    <t xml:space="preserve">Voor eventuele extra uren wordt een toeslag in rekening gebracht. </t>
  </si>
  <si>
    <t>per uur</t>
  </si>
  <si>
    <t xml:space="preserve">Wachtdag (volle dag) </t>
  </si>
  <si>
    <t>per dag</t>
  </si>
  <si>
    <t>Wachturen Italië &gt; 2 uur wordt wettelijk doorbelast</t>
  </si>
  <si>
    <t xml:space="preserve">per uur. </t>
  </si>
  <si>
    <t>Foutvracht (annuleringskosten)</t>
  </si>
  <si>
    <t>Opgegeven ladingen kunnen uiterlijk tot 15.00 uur (Nederlandse tijd) de dag voor lading kosteloos worden</t>
  </si>
  <si>
    <t>gewijzigd dan wel geannuleerd. Voor een foutvracht wordt het volgende in rekening gebracht:</t>
  </si>
  <si>
    <t xml:space="preserve"> - Annulering op de dag voorafgaand aan het laden: Indien annulering na 15.00 uur.</t>
  </si>
  <si>
    <t>van het overeengekomen tarief</t>
  </si>
  <si>
    <t xml:space="preserve"> - Annulering op de dag van lading</t>
  </si>
  <si>
    <t>Goederen laden of lossen met een klep</t>
  </si>
  <si>
    <t>De toeslag voor het laden of lossen van een zending met een auto met laadklep bedraagt per zending.</t>
  </si>
  <si>
    <t>per land</t>
  </si>
  <si>
    <t>Lengtegoederen</t>
  </si>
  <si>
    <t>De toeslag voor lengtegoederen bedraagt per zending.</t>
  </si>
  <si>
    <t>Toeslag grootstedelijke gebieden</t>
  </si>
  <si>
    <t xml:space="preserve">Voor grootstedelijke gebieden in Europa (Metropolen) geldt een additionele toeslag.
 </t>
  </si>
  <si>
    <t>per stad/land</t>
  </si>
  <si>
    <r>
      <rPr>
        <b/>
        <sz val="9"/>
        <rFont val="Roboto"/>
      </rPr>
      <t>ETS</t>
    </r>
    <r>
      <rPr>
        <sz val="9"/>
        <rFont val="Roboto"/>
      </rPr>
      <t xml:space="preserve"> (Europese emissiehandelssysteem) van toepassing op transport via Ferry maatschappijen </t>
    </r>
  </si>
  <si>
    <t>inclusief</t>
  </si>
  <si>
    <t>De toeslag voor registratie van uw zending van/naar en door Polen</t>
  </si>
  <si>
    <t>ADR goederen (Gevaarlijke stoffen)</t>
  </si>
  <si>
    <t>De toeslag voor het transporteren van ADR goederen bedraagt per zending.</t>
  </si>
  <si>
    <t xml:space="preserve">POD (PROOF OF DELIVERY) </t>
  </si>
  <si>
    <t>POD's zijn kosteloos te downloaden op onze portal (op aanvraag).</t>
  </si>
  <si>
    <t>Voor het toesturen van een afgetekende vrachtbrief per e-mail geldt een toeslag.</t>
  </si>
  <si>
    <t>per document</t>
  </si>
  <si>
    <t xml:space="preserve">Voor het toezendingen van een afgetekende vrachtbrief per post geldt een toeslag </t>
  </si>
  <si>
    <t xml:space="preserve">Manuele boeking </t>
  </si>
  <si>
    <t>Voor alle boekingen buiten de digitale systemen van XPO</t>
  </si>
  <si>
    <t>per opdracht</t>
  </si>
  <si>
    <t>2e afhaal- of afleverkosten</t>
  </si>
  <si>
    <t>Als een groupagezending voor een tweede keer aangeboden of afgehaald dient te worden, door toedoen van de ontvanger of afzender</t>
  </si>
  <si>
    <t>Opslagkosten</t>
  </si>
  <si>
    <t>Kosten voor opslaan van zendingen (bv. door incomplete documentatie, na 1e afleverpoging of toekomstige afleverdag)</t>
  </si>
  <si>
    <t xml:space="preserve">Aanmelden van zendingen    </t>
  </si>
  <si>
    <t>Aanmelden van zendingen per telefoon, boekingssysteem of per e-mail</t>
  </si>
  <si>
    <t xml:space="preserve">Leverigen eilanden (Nederland en internationaal) </t>
  </si>
  <si>
    <t>De huidige tarieven gelden niet voor leveringen naar Europese eilanden</t>
  </si>
  <si>
    <t>Douaneservices</t>
  </si>
  <si>
    <t>Kosten voor het opmaken van een douanedocument (T-document)  per zending .</t>
  </si>
  <si>
    <t>Inclusief 1 tariff line / HS code. Elke extra tariff lines / HS codes extra :</t>
  </si>
  <si>
    <t>per post</t>
  </si>
  <si>
    <t>Afmelden T-document</t>
  </si>
  <si>
    <t>Adminstratiekosten bij fysieke controle Douane</t>
  </si>
  <si>
    <t>per gebeurtenis</t>
  </si>
  <si>
    <r>
      <t xml:space="preserve">In geval van inklaringen of exportdocumenten </t>
    </r>
    <r>
      <rPr>
        <b/>
        <sz val="9"/>
        <rFont val="Roboto"/>
      </rPr>
      <t>Noorwegen</t>
    </r>
    <r>
      <rPr>
        <sz val="9"/>
        <rFont val="Roboto"/>
      </rPr>
      <t xml:space="preserve"> zijn de volgende documenten vereist:</t>
    </r>
  </si>
  <si>
    <t>- originele factuur met bedrijfsstempel + handtekening;</t>
  </si>
  <si>
    <t>- EUR.1, vooraf gestempeld door Kamer van Koophandel;</t>
  </si>
  <si>
    <t>Opmaak EX-A document, ter uitvoer</t>
  </si>
  <si>
    <t>Opmaak EX-A document, ter invoer</t>
  </si>
  <si>
    <t>Inclusief 1 tariff line / HS codes. Elke extra tariff lines / HS codes extra :</t>
  </si>
  <si>
    <r>
      <t xml:space="preserve">In geval van inklaringen of exportdocumenten </t>
    </r>
    <r>
      <rPr>
        <b/>
        <sz val="9"/>
        <rFont val="Roboto"/>
      </rPr>
      <t>Zwitserland</t>
    </r>
    <r>
      <rPr>
        <sz val="9"/>
        <rFont val="Roboto"/>
      </rPr>
      <t xml:space="preserve"> zijn de volgende documenten vereist:</t>
    </r>
  </si>
  <si>
    <t>Inclusief 1 tariff line / HS code. Elke extra tariff lines / HS codes extra:</t>
  </si>
  <si>
    <r>
      <t xml:space="preserve">In geval van inklaringen of exportdocumenten </t>
    </r>
    <r>
      <rPr>
        <b/>
        <sz val="9"/>
        <rFont val="Roboto"/>
      </rPr>
      <t>Verenigd Koninkrijk</t>
    </r>
    <r>
      <rPr>
        <sz val="9"/>
        <rFont val="Roboto"/>
      </rPr>
      <t xml:space="preserve"> zijn de volgende documenten vereist:</t>
    </r>
  </si>
  <si>
    <t>Bij Export (NL&gt;UK)</t>
  </si>
  <si>
    <t>Opmaak document, ter uitvoer</t>
  </si>
  <si>
    <t>Opmaak document, ter invoer</t>
  </si>
  <si>
    <t>Bij Import (UK&gt;NL)</t>
  </si>
  <si>
    <t>EXPORT : Inclusief 9 tariff lines/HS codes. Elke extra tariff line/HS code extra :</t>
  </si>
  <si>
    <t>IMPORT : Inclusief 5 tariff lines/HS codes. Elke extra tariff line/HS code extra :</t>
  </si>
  <si>
    <t>Handling NL (Portbase) zowel bij export als import</t>
  </si>
  <si>
    <t>per aanmelding</t>
  </si>
  <si>
    <t>Handling UK (Portbase) zowel bij import als export</t>
  </si>
  <si>
    <r>
      <t xml:space="preserve">In geval van inklaringen of opmaken exportdocumenten met betrekking tot </t>
    </r>
    <r>
      <rPr>
        <b/>
        <sz val="9"/>
        <rFont val="Roboto"/>
      </rPr>
      <t>Turkije</t>
    </r>
    <r>
      <rPr>
        <sz val="9"/>
        <rFont val="Roboto"/>
      </rPr>
      <t xml:space="preserve"> zijn de volgende documenten vereist:</t>
    </r>
  </si>
  <si>
    <t>Opmaak IM-4 document, ter invoer</t>
  </si>
  <si>
    <t>ATR document</t>
  </si>
  <si>
    <t xml:space="preserve">Overige niet EU landen </t>
  </si>
  <si>
    <t>XPO Logistics Netherlands B.V. kan voor u ook andere douanedocumentatie opmaken</t>
  </si>
  <si>
    <t xml:space="preserve">XPO Logitics Netherlands B.V. biedt u de mogelijkheid om voor u de BTW voor te financieren. Hiervoor wordt een </t>
  </si>
  <si>
    <t>adminstratieve toeslag gehanteerd van 4,5% van het voor te schieten bedrag, met een minimum van € 35,- per dossier.</t>
  </si>
  <si>
    <t>Bijgewerkt 1212MvM</t>
  </si>
  <si>
    <t>CONTACTS</t>
  </si>
  <si>
    <t>Tel:  +31 (0)24-3724680</t>
  </si>
  <si>
    <t>Website:</t>
  </si>
  <si>
    <t>https://europe.xpo.com/nl/</t>
  </si>
  <si>
    <t>Department</t>
  </si>
  <si>
    <t>E-mail</t>
  </si>
  <si>
    <t>Direct number</t>
  </si>
  <si>
    <t>Sales</t>
  </si>
  <si>
    <t>+31 (0)24-372 4694</t>
  </si>
  <si>
    <t>Invoicing</t>
  </si>
  <si>
    <t>xpofinance.nl@xpo.com</t>
  </si>
  <si>
    <t>+31 (0)24-372 4620</t>
  </si>
  <si>
    <t>Customer Service</t>
  </si>
  <si>
    <t>cs.eastsouth@xpo.com</t>
  </si>
  <si>
    <t>+31 (0)24-372 4680</t>
  </si>
  <si>
    <t>Traffic LTL</t>
  </si>
  <si>
    <t>Balkan countries</t>
  </si>
  <si>
    <t>XPObalkan.nl@xpo.com</t>
  </si>
  <si>
    <t>+31 (0)24-372 4627</t>
  </si>
  <si>
    <t>Baltics</t>
  </si>
  <si>
    <t>XPObaltics.nl@xpo.com</t>
  </si>
  <si>
    <t>+31 (0)24-372 4618</t>
  </si>
  <si>
    <t>Benelux</t>
  </si>
  <si>
    <t>XPOBenelux.nl@xpo.com</t>
  </si>
  <si>
    <t>+31 (0)24-372 4684</t>
  </si>
  <si>
    <t>BG</t>
  </si>
  <si>
    <t>XPObulgaria.nl@xpo.com</t>
  </si>
  <si>
    <t>CIS countries</t>
  </si>
  <si>
    <t>XPOcis.nl@xpo.com</t>
  </si>
  <si>
    <t xml:space="preserve">CZ, SK </t>
  </si>
  <si>
    <t>XPOcz-sk.nl@xpo.com</t>
  </si>
  <si>
    <t>+31 (0)24-372 4683</t>
  </si>
  <si>
    <t>DE, AT, CH</t>
  </si>
  <si>
    <t>XPODE-AT-CH.nl@xpo.com</t>
  </si>
  <si>
    <t>+31 (0)24-372 4675</t>
  </si>
  <si>
    <t>ES, PT</t>
  </si>
  <si>
    <t>xpoES-PT.nl@xpo.com</t>
  </si>
  <si>
    <t>+31 (0)24-372 4697</t>
  </si>
  <si>
    <t>FR</t>
  </si>
  <si>
    <t>xpoFR.nl@xpo.com</t>
  </si>
  <si>
    <t>+31 (0)24-372 4614</t>
  </si>
  <si>
    <t>GR</t>
  </si>
  <si>
    <t>XPOgreece.nl@xpo.com</t>
  </si>
  <si>
    <t>+31 (0)24-372 4625</t>
  </si>
  <si>
    <t>XPOhungary.nl@xpo.com</t>
  </si>
  <si>
    <t>IT Export</t>
  </si>
  <si>
    <t>XPOItalyexport.nl@xpo.com</t>
  </si>
  <si>
    <t>+31 (0)24-372 4617</t>
  </si>
  <si>
    <t>IT Import</t>
  </si>
  <si>
    <t>XPOItalyimport.nl@xpo.com</t>
  </si>
  <si>
    <t>+31 (0)24-372 4695</t>
  </si>
  <si>
    <t>XPOpoland.nl@xpo.com</t>
  </si>
  <si>
    <t>+31 (0)24-372 4662</t>
  </si>
  <si>
    <t>RO</t>
  </si>
  <si>
    <t>XPOromania.nl@xpo.com</t>
  </si>
  <si>
    <t>UK, IE</t>
  </si>
  <si>
    <t>XPOUK-IE.nl@xpo.com</t>
  </si>
  <si>
    <t>+31 (0)24-372 4602</t>
  </si>
  <si>
    <t>Scandinavia</t>
  </si>
  <si>
    <t>XPOScandinavia.nl@xpo.com</t>
  </si>
  <si>
    <t xml:space="preserve">XPOturkey.nl@xpo.com
</t>
  </si>
  <si>
    <t>TrafficFull Truck Loads</t>
  </si>
  <si>
    <t>XPOFTL.nl@xpo.com</t>
  </si>
  <si>
    <t>+31 (0)24-372 4623</t>
  </si>
  <si>
    <t>Escalations</t>
  </si>
  <si>
    <t>Ops manager WHS, Benelux</t>
  </si>
  <si>
    <t xml:space="preserve">robbie.demers@xpo.com </t>
  </si>
  <si>
    <t>+31 (0)6-83 54 14 25</t>
  </si>
  <si>
    <t>Traffic Manager LTL</t>
  </si>
  <si>
    <t>maarten.baggerman@xpo.com</t>
  </si>
  <si>
    <t>+31 (0)6-10 12 11 34</t>
  </si>
  <si>
    <t xml:space="preserve">etienne.vanheusden@xpo.com
</t>
  </si>
  <si>
    <t>+31 (0)6-12 41 83 00</t>
  </si>
  <si>
    <t>Traffic Manager FTL &amp; DACH countries</t>
  </si>
  <si>
    <t>Pascal.Tenhaaf@xpo.com</t>
  </si>
  <si>
    <t>+31 (0)24-372 4601 / 06-22 62 69 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</si>
</sst>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164" formatCode="&quot;€&quot;\ #,##0.00"/>
    <numFmt numFmtId="165" formatCode="0.0%"/>
    <numFmt numFmtId="166" formatCode="0#########"/>
    <numFmt numFmtId="167" formatCode="#,##0_ ;\-#,##0\ "/>
  </numFmts>
  <fonts count="47">
    <font>
      <sz val="11"/>
      <color theme="1"/>
      <name val="Calibri"/>
      <family val="2"/>
      <scheme val="minor"/>
    </font>
    <font>
      <sz val="11"/>
      <color theme="1"/>
      <name val="Calibri"/>
      <family val="2"/>
      <scheme val="minor"/>
    </font>
    <font>
      <sz val="11"/>
      <color theme="1"/>
      <name val="Roboto"/>
    </font>
    <font>
      <b/>
      <sz val="10"/>
      <color theme="1"/>
      <name val="Roboto"/>
    </font>
    <font>
      <sz val="10"/>
      <color theme="1"/>
      <name val="Roboto"/>
    </font>
    <font>
      <b/>
      <u/>
      <sz val="10"/>
      <color theme="1"/>
      <name val="Roboto"/>
    </font>
    <font>
      <sz val="11"/>
      <name val="Roboto"/>
    </font>
    <font>
      <b/>
      <sz val="16"/>
      <name val="Roboto Black"/>
    </font>
    <font>
      <b/>
      <sz val="14"/>
      <name val="Roboto"/>
    </font>
    <font>
      <b/>
      <sz val="9"/>
      <name val="Roboto"/>
    </font>
    <font>
      <sz val="9"/>
      <name val="Roboto"/>
    </font>
    <font>
      <sz val="9"/>
      <color theme="1"/>
      <name val="Roboto"/>
    </font>
    <font>
      <b/>
      <u/>
      <sz val="9"/>
      <name val="Roboto"/>
    </font>
    <font>
      <b/>
      <sz val="9"/>
      <color theme="1"/>
      <name val="Roboto"/>
    </font>
    <font>
      <sz val="10"/>
      <name val="Arial"/>
      <family val="2"/>
    </font>
    <font>
      <u/>
      <sz val="9"/>
      <color theme="1"/>
      <name val="Roboto"/>
    </font>
    <font>
      <sz val="10"/>
      <name val="Arial CE"/>
      <charset val="238"/>
    </font>
    <font>
      <sz val="10"/>
      <name val="Roboto"/>
    </font>
    <font>
      <u/>
      <sz val="11"/>
      <color theme="10"/>
      <name val="Calibri"/>
      <family val="2"/>
      <scheme val="minor"/>
    </font>
    <font>
      <u/>
      <sz val="10"/>
      <color theme="10"/>
      <name val="Roboto"/>
    </font>
    <font>
      <u/>
      <sz val="9"/>
      <color theme="10"/>
      <name val="Roboto"/>
    </font>
    <font>
      <b/>
      <sz val="11"/>
      <color rgb="FFFF0000"/>
      <name val="Roboto"/>
    </font>
    <font>
      <b/>
      <sz val="10"/>
      <name val="Roboto"/>
    </font>
    <font>
      <i/>
      <sz val="10"/>
      <color theme="1"/>
      <name val="Roboto"/>
    </font>
    <font>
      <b/>
      <sz val="11"/>
      <color theme="1"/>
      <name val="Roboto"/>
    </font>
    <font>
      <sz val="11"/>
      <color theme="1"/>
      <name val="Arial"/>
      <family val="2"/>
    </font>
    <font>
      <u/>
      <sz val="11"/>
      <color theme="10"/>
      <name val="Arial"/>
      <family val="2"/>
    </font>
    <font>
      <sz val="12"/>
      <color rgb="FFFF0000"/>
      <name val="Roboto"/>
    </font>
    <font>
      <sz val="12"/>
      <name val="Roboto"/>
    </font>
    <font>
      <sz val="12"/>
      <color theme="1"/>
      <name val="Calibri"/>
      <family val="2"/>
      <scheme val="minor"/>
    </font>
    <font>
      <sz val="9"/>
      <color theme="2" tint="-0.89999084444715716"/>
      <name val="Roboto"/>
    </font>
    <font>
      <b/>
      <sz val="9"/>
      <color theme="2" tint="-0.89999084444715716"/>
      <name val="Roboto"/>
    </font>
    <font>
      <b/>
      <u/>
      <sz val="9"/>
      <color theme="2" tint="-0.89999084444715716"/>
      <name val="Roboto"/>
    </font>
    <font>
      <sz val="9"/>
      <color rgb="FFFF0000"/>
      <name val="Roboto"/>
    </font>
    <font>
      <sz val="9"/>
      <color rgb="FF000000"/>
      <name val="Roboto"/>
    </font>
    <font>
      <b/>
      <sz val="12"/>
      <name val="Roboto"/>
    </font>
    <font>
      <b/>
      <sz val="10"/>
      <color indexed="8"/>
      <name val="Roboto"/>
    </font>
    <font>
      <sz val="10"/>
      <color indexed="8"/>
      <name val="Arial"/>
      <family val="2"/>
    </font>
    <font>
      <sz val="10"/>
      <color indexed="8"/>
      <name val="Roboto"/>
    </font>
    <font>
      <b/>
      <u/>
      <sz val="10"/>
      <name val="Roboto"/>
    </font>
    <font>
      <sz val="11"/>
      <color rgb="FF9C0006"/>
      <name val="Calibri"/>
      <family val="2"/>
    </font>
    <font>
      <u/>
      <sz val="9"/>
      <name val="Roboto"/>
    </font>
    <font>
      <b/>
      <sz val="13"/>
      <name val="Roboto"/>
    </font>
    <font>
      <b/>
      <sz val="9"/>
      <color rgb="FF000000"/>
      <name val="Roboto"/>
    </font>
    <font>
      <b/>
      <sz val="13"/>
      <color theme="1"/>
      <name val="Roboto"/>
    </font>
    <font>
      <b/>
      <sz val="9"/>
      <color rgb="FFFF0000"/>
      <name val="Roboto"/>
    </font>
    <font>
      <b/>
      <u/>
      <sz val="9"/>
      <color rgb="FF000000"/>
      <name val="Roboto"/>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C7CE"/>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s>
  <cellStyleXfs count="11">
    <xf numFmtId="0" fontId="0" fillId="0" borderId="0"/>
    <xf numFmtId="0" fontId="1" fillId="0" borderId="0"/>
    <xf numFmtId="0" fontId="14" fillId="0" borderId="0"/>
    <xf numFmtId="0" fontId="16" fillId="0" borderId="0"/>
    <xf numFmtId="0" fontId="18" fillId="0" borderId="0" applyNumberFormat="0" applyFill="0" applyBorder="0" applyAlignment="0" applyProtection="0"/>
    <xf numFmtId="0" fontId="25" fillId="0" borderId="0"/>
    <xf numFmtId="0" fontId="25" fillId="0" borderId="0"/>
    <xf numFmtId="0" fontId="26" fillId="0" borderId="0" applyNumberFormat="0" applyFill="0" applyBorder="0" applyAlignment="0" applyProtection="0">
      <alignment vertical="top"/>
      <protection locked="0"/>
    </xf>
    <xf numFmtId="9" fontId="1" fillId="0" borderId="0" applyFont="0" applyFill="0" applyBorder="0" applyAlignment="0" applyProtection="0"/>
    <xf numFmtId="0" fontId="37" fillId="0" borderId="0"/>
    <xf numFmtId="0" fontId="40" fillId="4" borderId="0" applyNumberFormat="0" applyBorder="0" applyAlignment="0" applyProtection="0"/>
  </cellStyleXfs>
  <cellXfs count="229">
    <xf numFmtId="0" fontId="0" fillId="0" borderId="0" xfId="0"/>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3" fillId="2" borderId="1" xfId="0" applyFont="1" applyFill="1" applyBorder="1"/>
    <xf numFmtId="0" fontId="3" fillId="2" borderId="2" xfId="0" applyFont="1" applyFill="1" applyBorder="1"/>
    <xf numFmtId="0" fontId="6" fillId="0" borderId="0" xfId="0" applyFont="1"/>
    <xf numFmtId="0" fontId="6" fillId="3" borderId="0" xfId="0" applyFont="1" applyFill="1"/>
    <xf numFmtId="0" fontId="8" fillId="0" borderId="0" xfId="0" applyFont="1"/>
    <xf numFmtId="0" fontId="10" fillId="0" borderId="0" xfId="0" applyFont="1"/>
    <xf numFmtId="0" fontId="10" fillId="0" borderId="7" xfId="0" applyFont="1" applyBorder="1"/>
    <xf numFmtId="0" fontId="10" fillId="0" borderId="8" xfId="0" applyFont="1" applyBorder="1"/>
    <xf numFmtId="0" fontId="10" fillId="3" borderId="7" xfId="0" applyFont="1" applyFill="1" applyBorder="1"/>
    <xf numFmtId="0" fontId="10" fillId="0" borderId="0" xfId="0" applyFont="1" applyAlignment="1">
      <alignment vertical="top"/>
    </xf>
    <xf numFmtId="0" fontId="10" fillId="3" borderId="0" xfId="0" applyFont="1" applyFill="1"/>
    <xf numFmtId="0" fontId="10" fillId="3" borderId="0" xfId="0" applyFont="1" applyFill="1" applyAlignment="1">
      <alignment vertical="top"/>
    </xf>
    <xf numFmtId="0" fontId="10" fillId="0" borderId="0" xfId="0" quotePrefix="1" applyFont="1"/>
    <xf numFmtId="49" fontId="10" fillId="0" borderId="0" xfId="0" applyNumberFormat="1" applyFont="1"/>
    <xf numFmtId="0" fontId="9" fillId="0" borderId="0" xfId="0" applyFont="1"/>
    <xf numFmtId="164" fontId="6" fillId="3" borderId="0" xfId="0" applyNumberFormat="1" applyFont="1" applyFill="1"/>
    <xf numFmtId="0" fontId="11" fillId="3" borderId="0" xfId="0" applyFont="1" applyFill="1"/>
    <xf numFmtId="164" fontId="11" fillId="3" borderId="0" xfId="0" applyNumberFormat="1" applyFont="1" applyFill="1" applyAlignment="1">
      <alignment horizontal="left"/>
    </xf>
    <xf numFmtId="0" fontId="15" fillId="3" borderId="0" xfId="0" applyFont="1" applyFill="1"/>
    <xf numFmtId="49" fontId="11" fillId="3" borderId="0" xfId="0" applyNumberFormat="1" applyFont="1" applyFill="1"/>
    <xf numFmtId="0" fontId="0" fillId="3" borderId="0" xfId="0" applyFill="1"/>
    <xf numFmtId="0" fontId="17" fillId="0" borderId="0" xfId="0" applyFont="1"/>
    <xf numFmtId="0" fontId="3" fillId="2" borderId="3" xfId="0" applyFont="1" applyFill="1" applyBorder="1"/>
    <xf numFmtId="0" fontId="10" fillId="3" borderId="0" xfId="2" applyFont="1" applyFill="1"/>
    <xf numFmtId="164" fontId="10" fillId="3" borderId="0" xfId="0" applyNumberFormat="1" applyFont="1" applyFill="1" applyAlignment="1">
      <alignment horizontal="left"/>
    </xf>
    <xf numFmtId="164" fontId="10" fillId="0" borderId="0" xfId="0" applyNumberFormat="1" applyFont="1"/>
    <xf numFmtId="49" fontId="11" fillId="3" borderId="0" xfId="0" applyNumberFormat="1" applyFont="1" applyFill="1" applyAlignment="1">
      <alignment horizontal="left"/>
    </xf>
    <xf numFmtId="0" fontId="23" fillId="0" borderId="0" xfId="0" applyFont="1"/>
    <xf numFmtId="9" fontId="11" fillId="3" borderId="0" xfId="0" applyNumberFormat="1" applyFont="1" applyFill="1" applyAlignment="1">
      <alignment horizontal="left"/>
    </xf>
    <xf numFmtId="0" fontId="19" fillId="0" borderId="0" xfId="4" applyFont="1"/>
    <xf numFmtId="0" fontId="24" fillId="0" borderId="0" xfId="0" applyFont="1"/>
    <xf numFmtId="0" fontId="24" fillId="3" borderId="0" xfId="0" applyFont="1" applyFill="1" applyAlignment="1">
      <alignment horizontal="left" vertical="center"/>
    </xf>
    <xf numFmtId="49" fontId="10" fillId="3" borderId="0" xfId="0" applyNumberFormat="1" applyFont="1" applyFill="1"/>
    <xf numFmtId="49" fontId="10" fillId="3" borderId="0" xfId="0" applyNumberFormat="1" applyFont="1" applyFill="1" applyAlignment="1">
      <alignment horizontal="left"/>
    </xf>
    <xf numFmtId="0" fontId="4" fillId="0" borderId="1" xfId="0" applyFont="1" applyBorder="1" applyAlignment="1">
      <alignment horizontal="center"/>
    </xf>
    <xf numFmtId="0" fontId="3" fillId="2" borderId="12" xfId="0" applyFont="1" applyFill="1" applyBorder="1"/>
    <xf numFmtId="3" fontId="4" fillId="0" borderId="1" xfId="0" applyNumberFormat="1" applyFont="1" applyBorder="1" applyAlignment="1">
      <alignment horizontal="center"/>
    </xf>
    <xf numFmtId="0" fontId="3" fillId="2" borderId="14" xfId="0" applyFont="1" applyFill="1" applyBorder="1"/>
    <xf numFmtId="0" fontId="3" fillId="2" borderId="15" xfId="0" applyFont="1" applyFill="1" applyBorder="1"/>
    <xf numFmtId="0" fontId="3" fillId="2" borderId="17" xfId="0" applyFont="1" applyFill="1" applyBorder="1"/>
    <xf numFmtId="0" fontId="3" fillId="2" borderId="16" xfId="0" applyFont="1" applyFill="1" applyBorder="1"/>
    <xf numFmtId="0" fontId="8" fillId="3" borderId="0" xfId="0" applyFont="1" applyFill="1"/>
    <xf numFmtId="0" fontId="18" fillId="0" borderId="0" xfId="4"/>
    <xf numFmtId="0" fontId="17" fillId="3" borderId="0" xfId="0" applyFont="1" applyFill="1"/>
    <xf numFmtId="0" fontId="27" fillId="0" borderId="0" xfId="0" applyFont="1"/>
    <xf numFmtId="0" fontId="28" fillId="0" borderId="0" xfId="0" applyFont="1"/>
    <xf numFmtId="0" fontId="29" fillId="0" borderId="0" xfId="0" applyFont="1"/>
    <xf numFmtId="0" fontId="4" fillId="0" borderId="0" xfId="0" quotePrefix="1" applyFont="1"/>
    <xf numFmtId="0" fontId="30" fillId="0" borderId="0" xfId="0" applyFont="1"/>
    <xf numFmtId="0" fontId="30" fillId="3" borderId="0" xfId="0" applyFont="1" applyFill="1"/>
    <xf numFmtId="164" fontId="30" fillId="3" borderId="0" xfId="0" applyNumberFormat="1" applyFont="1" applyFill="1" applyAlignment="1">
      <alignment horizontal="left"/>
    </xf>
    <xf numFmtId="0" fontId="33" fillId="3" borderId="0" xfId="0" applyFont="1" applyFill="1"/>
    <xf numFmtId="164" fontId="33" fillId="3" borderId="0" xfId="0" applyNumberFormat="1" applyFont="1" applyFill="1" applyAlignment="1">
      <alignment horizontal="left"/>
    </xf>
    <xf numFmtId="165" fontId="30" fillId="3" borderId="0" xfId="8" applyNumberFormat="1" applyFont="1" applyFill="1" applyBorder="1" applyAlignment="1">
      <alignment horizontal="left"/>
    </xf>
    <xf numFmtId="165" fontId="34" fillId="3" borderId="0" xfId="8" applyNumberFormat="1" applyFont="1" applyFill="1" applyBorder="1" applyAlignment="1">
      <alignment horizontal="left"/>
    </xf>
    <xf numFmtId="165" fontId="33" fillId="3" borderId="0" xfId="8" applyNumberFormat="1" applyFont="1" applyFill="1" applyBorder="1" applyAlignment="1">
      <alignment horizontal="left"/>
    </xf>
    <xf numFmtId="0" fontId="4" fillId="3" borderId="0" xfId="0" applyFont="1" applyFill="1" applyAlignment="1">
      <alignment horizontal="left" vertical="center"/>
    </xf>
    <xf numFmtId="0" fontId="35" fillId="0" borderId="0" xfId="0" applyFont="1"/>
    <xf numFmtId="0" fontId="22" fillId="2" borderId="1" xfId="0" applyFont="1" applyFill="1" applyBorder="1" applyAlignment="1">
      <alignment horizontal="center"/>
    </xf>
    <xf numFmtId="0" fontId="36" fillId="2" borderId="1" xfId="0" applyFont="1" applyFill="1" applyBorder="1" applyAlignment="1">
      <alignment horizontal="center" vertical="center"/>
    </xf>
    <xf numFmtId="1" fontId="3" fillId="2" borderId="1" xfId="0" applyNumberFormat="1" applyFont="1" applyFill="1" applyBorder="1" applyAlignment="1">
      <alignment horizontal="center"/>
    </xf>
    <xf numFmtId="1" fontId="22" fillId="2" borderId="1" xfId="0" applyNumberFormat="1" applyFont="1" applyFill="1" applyBorder="1" applyAlignment="1">
      <alignment horizontal="center"/>
    </xf>
    <xf numFmtId="0" fontId="36" fillId="2" borderId="1" xfId="5" applyFont="1" applyFill="1" applyBorder="1" applyAlignment="1">
      <alignment horizontal="center" vertical="center"/>
    </xf>
    <xf numFmtId="3" fontId="17" fillId="0" borderId="1" xfId="0" applyNumberFormat="1" applyFont="1" applyBorder="1" applyAlignment="1">
      <alignment horizontal="center"/>
    </xf>
    <xf numFmtId="0" fontId="2" fillId="2" borderId="2" xfId="0" applyFont="1" applyFill="1" applyBorder="1"/>
    <xf numFmtId="0" fontId="2" fillId="2" borderId="12" xfId="0" applyFont="1" applyFill="1" applyBorder="1"/>
    <xf numFmtId="0" fontId="3" fillId="2" borderId="12" xfId="0" applyFont="1" applyFill="1" applyBorder="1" applyAlignment="1">
      <alignment horizontal="left"/>
    </xf>
    <xf numFmtId="0" fontId="2" fillId="2" borderId="3" xfId="0" applyFont="1" applyFill="1" applyBorder="1"/>
    <xf numFmtId="0" fontId="4" fillId="2" borderId="13" xfId="0" applyFont="1" applyFill="1" applyBorder="1"/>
    <xf numFmtId="49" fontId="38" fillId="3" borderId="22" xfId="9" applyNumberFormat="1" applyFont="1" applyFill="1" applyBorder="1" applyAlignment="1">
      <alignment horizontal="center"/>
    </xf>
    <xf numFmtId="0" fontId="4" fillId="3" borderId="1" xfId="0" applyFont="1" applyFill="1" applyBorder="1" applyAlignment="1">
      <alignment horizontal="center"/>
    </xf>
    <xf numFmtId="0" fontId="4" fillId="2" borderId="3" xfId="0" applyFont="1" applyFill="1" applyBorder="1"/>
    <xf numFmtId="1" fontId="22" fillId="2" borderId="1" xfId="5" applyNumberFormat="1" applyFont="1" applyFill="1" applyBorder="1" applyAlignment="1">
      <alignment horizontal="center" vertical="center"/>
    </xf>
    <xf numFmtId="1" fontId="17" fillId="0" borderId="1" xfId="5" applyNumberFormat="1" applyFont="1" applyBorder="1" applyAlignment="1">
      <alignment horizontal="center" vertical="center"/>
    </xf>
    <xf numFmtId="0" fontId="4" fillId="2" borderId="1" xfId="0" applyFont="1" applyFill="1" applyBorder="1"/>
    <xf numFmtId="49" fontId="4" fillId="0" borderId="1" xfId="5" applyNumberFormat="1" applyFont="1" applyBorder="1" applyAlignment="1">
      <alignment horizontal="center"/>
    </xf>
    <xf numFmtId="0" fontId="4" fillId="0" borderId="1" xfId="5" applyFont="1" applyBorder="1" applyAlignment="1">
      <alignment horizontal="center"/>
    </xf>
    <xf numFmtId="0" fontId="4" fillId="2" borderId="1" xfId="0" applyFont="1" applyFill="1" applyBorder="1" applyAlignment="1">
      <alignment horizontal="center"/>
    </xf>
    <xf numFmtId="1" fontId="36" fillId="2" borderId="1" xfId="5" applyNumberFormat="1" applyFont="1" applyFill="1" applyBorder="1" applyAlignment="1">
      <alignment horizontal="center" vertical="center"/>
    </xf>
    <xf numFmtId="0" fontId="3" fillId="2" borderId="2" xfId="0" applyFont="1" applyFill="1" applyBorder="1" applyAlignment="1">
      <alignment horizontal="left"/>
    </xf>
    <xf numFmtId="0" fontId="3" fillId="2" borderId="3" xfId="0" applyFont="1" applyFill="1" applyBorder="1" applyAlignment="1">
      <alignment horizontal="left"/>
    </xf>
    <xf numFmtId="0" fontId="4" fillId="3" borderId="0" xfId="0" applyFont="1" applyFill="1"/>
    <xf numFmtId="1" fontId="0" fillId="2" borderId="12" xfId="0" applyNumberFormat="1" applyFill="1" applyBorder="1"/>
    <xf numFmtId="0" fontId="4" fillId="0" borderId="22" xfId="0" applyFont="1" applyBorder="1" applyAlignment="1">
      <alignment horizontal="center"/>
    </xf>
    <xf numFmtId="0" fontId="39" fillId="3" borderId="0" xfId="0" applyFont="1" applyFill="1"/>
    <xf numFmtId="1" fontId="17" fillId="0" borderId="1" xfId="0" applyNumberFormat="1" applyFont="1" applyBorder="1" applyAlignment="1">
      <alignment horizontal="center"/>
    </xf>
    <xf numFmtId="3" fontId="4" fillId="0" borderId="1" xfId="0" applyNumberFormat="1" applyFont="1" applyBorder="1" applyAlignment="1">
      <alignment horizontal="center" vertical="center"/>
    </xf>
    <xf numFmtId="0" fontId="22" fillId="2" borderId="2" xfId="0" applyFont="1" applyFill="1" applyBorder="1"/>
    <xf numFmtId="166" fontId="36" fillId="2" borderId="1" xfId="0" quotePrefix="1" applyNumberFormat="1" applyFont="1" applyFill="1" applyBorder="1" applyAlignment="1">
      <alignment horizontal="center" vertical="center"/>
    </xf>
    <xf numFmtId="0" fontId="36" fillId="2" borderId="1" xfId="0" quotePrefix="1" applyFont="1" applyFill="1" applyBorder="1" applyAlignment="1">
      <alignment horizontal="center" vertical="center"/>
    </xf>
    <xf numFmtId="0" fontId="4" fillId="2" borderId="2" xfId="0" applyFont="1" applyFill="1" applyBorder="1"/>
    <xf numFmtId="0" fontId="4" fillId="2" borderId="12" xfId="0" applyFont="1" applyFill="1" applyBorder="1"/>
    <xf numFmtId="49" fontId="38" fillId="3" borderId="1" xfId="9" applyNumberFormat="1" applyFont="1" applyFill="1" applyBorder="1" applyAlignment="1">
      <alignment horizontal="center"/>
    </xf>
    <xf numFmtId="49" fontId="17" fillId="3" borderId="22" xfId="9" applyNumberFormat="1" applyFont="1" applyFill="1" applyBorder="1" applyAlignment="1">
      <alignment horizontal="center"/>
    </xf>
    <xf numFmtId="3" fontId="4" fillId="3" borderId="1" xfId="0" applyNumberFormat="1" applyFont="1" applyFill="1" applyBorder="1" applyAlignment="1">
      <alignment horizontal="center"/>
    </xf>
    <xf numFmtId="0" fontId="3" fillId="2" borderId="14" xfId="0" applyFont="1" applyFill="1" applyBorder="1" applyAlignment="1">
      <alignment horizontal="left"/>
    </xf>
    <xf numFmtId="0" fontId="3" fillId="2" borderId="15" xfId="0" applyFont="1" applyFill="1" applyBorder="1" applyAlignment="1">
      <alignment horizontal="left"/>
    </xf>
    <xf numFmtId="49" fontId="38" fillId="3" borderId="25" xfId="9" applyNumberFormat="1" applyFont="1" applyFill="1" applyBorder="1" applyAlignment="1">
      <alignment horizontal="center"/>
    </xf>
    <xf numFmtId="0" fontId="4" fillId="3" borderId="3" xfId="0" applyFont="1" applyFill="1" applyBorder="1" applyAlignment="1">
      <alignment horizontal="center"/>
    </xf>
    <xf numFmtId="0" fontId="3" fillId="2" borderId="23" xfId="0" applyFont="1" applyFill="1" applyBorder="1"/>
    <xf numFmtId="0" fontId="4" fillId="2" borderId="25" xfId="0" applyFont="1" applyFill="1" applyBorder="1"/>
    <xf numFmtId="0" fontId="17" fillId="3" borderId="3" xfId="3" applyFont="1" applyFill="1" applyBorder="1" applyAlignment="1">
      <alignment horizontal="center"/>
    </xf>
    <xf numFmtId="0" fontId="17" fillId="3" borderId="1" xfId="3" applyFont="1" applyFill="1" applyBorder="1" applyAlignment="1">
      <alignment horizontal="center"/>
    </xf>
    <xf numFmtId="0" fontId="3" fillId="2" borderId="2" xfId="0" applyFont="1" applyFill="1" applyBorder="1" applyAlignment="1">
      <alignment horizontal="center"/>
    </xf>
    <xf numFmtId="3" fontId="17" fillId="0" borderId="1" xfId="0" applyNumberFormat="1" applyFont="1" applyBorder="1" applyAlignment="1">
      <alignment horizontal="center" vertical="center"/>
    </xf>
    <xf numFmtId="166" fontId="36" fillId="2" borderId="1" xfId="0" applyNumberFormat="1" applyFont="1" applyFill="1" applyBorder="1" applyAlignment="1">
      <alignment horizontal="center" vertical="center"/>
    </xf>
    <xf numFmtId="0" fontId="22" fillId="2" borderId="1" xfId="0" applyFont="1" applyFill="1" applyBorder="1" applyAlignment="1">
      <alignment horizontal="center" vertical="center"/>
    </xf>
    <xf numFmtId="0" fontId="38" fillId="3" borderId="22" xfId="9" applyFont="1" applyFill="1" applyBorder="1" applyAlignment="1">
      <alignment horizontal="center"/>
    </xf>
    <xf numFmtId="0" fontId="3" fillId="2" borderId="1" xfId="0" quotePrefix="1" applyFont="1" applyFill="1" applyBorder="1" applyAlignment="1">
      <alignment horizontal="center"/>
    </xf>
    <xf numFmtId="0" fontId="4" fillId="2" borderId="16" xfId="0" applyFont="1" applyFill="1" applyBorder="1"/>
    <xf numFmtId="49" fontId="17" fillId="3" borderId="1" xfId="3" applyNumberFormat="1" applyFont="1" applyFill="1" applyBorder="1" applyAlignment="1">
      <alignment horizontal="center"/>
    </xf>
    <xf numFmtId="0" fontId="4" fillId="3" borderId="22" xfId="0" applyFont="1" applyFill="1" applyBorder="1" applyAlignment="1">
      <alignment horizontal="center"/>
    </xf>
    <xf numFmtId="3" fontId="3" fillId="2" borderId="1" xfId="0" applyNumberFormat="1" applyFont="1" applyFill="1" applyBorder="1" applyAlignment="1">
      <alignment horizontal="center"/>
    </xf>
    <xf numFmtId="0" fontId="0" fillId="2" borderId="3" xfId="0" applyFill="1" applyBorder="1"/>
    <xf numFmtId="166" fontId="3" fillId="2" borderId="1" xfId="0" applyNumberFormat="1" applyFont="1" applyFill="1" applyBorder="1" applyAlignment="1">
      <alignment horizontal="center"/>
    </xf>
    <xf numFmtId="166" fontId="22" fillId="2" borderId="1" xfId="0" applyNumberFormat="1" applyFont="1" applyFill="1" applyBorder="1" applyAlignment="1">
      <alignment horizontal="center"/>
    </xf>
    <xf numFmtId="0" fontId="17" fillId="0" borderId="1" xfId="0" applyFont="1" applyBorder="1" applyAlignment="1">
      <alignment horizontal="center"/>
    </xf>
    <xf numFmtId="0" fontId="3" fillId="2" borderId="1" xfId="0" applyFont="1" applyFill="1" applyBorder="1" applyAlignment="1">
      <alignment horizontal="center" vertical="center"/>
    </xf>
    <xf numFmtId="166" fontId="22" fillId="2" borderId="1" xfId="1" applyNumberFormat="1" applyFont="1" applyFill="1" applyBorder="1" applyAlignment="1">
      <alignment horizontal="center"/>
    </xf>
    <xf numFmtId="1" fontId="22" fillId="2" borderId="1" xfId="1" applyNumberFormat="1" applyFont="1" applyFill="1" applyBorder="1" applyAlignment="1">
      <alignment horizontal="center"/>
    </xf>
    <xf numFmtId="0" fontId="22" fillId="2" borderId="1" xfId="1" applyFont="1" applyFill="1" applyBorder="1" applyAlignment="1">
      <alignment horizontal="center"/>
    </xf>
    <xf numFmtId="166" fontId="3" fillId="2" borderId="1" xfId="0" quotePrefix="1" applyNumberFormat="1" applyFont="1" applyFill="1" applyBorder="1" applyAlignment="1">
      <alignment horizontal="center"/>
    </xf>
    <xf numFmtId="0" fontId="3" fillId="2" borderId="26" xfId="0" applyFont="1" applyFill="1" applyBorder="1" applyAlignment="1">
      <alignment horizontal="center"/>
    </xf>
    <xf numFmtId="1" fontId="3" fillId="2" borderId="26" xfId="0" applyNumberFormat="1" applyFont="1" applyFill="1" applyBorder="1" applyAlignment="1">
      <alignment horizontal="center"/>
    </xf>
    <xf numFmtId="0" fontId="22" fillId="2" borderId="26" xfId="0" applyFont="1" applyFill="1" applyBorder="1" applyAlignment="1">
      <alignment horizontal="center"/>
    </xf>
    <xf numFmtId="1" fontId="17" fillId="0" borderId="1" xfId="5" applyNumberFormat="1" applyFont="1" applyBorder="1" applyAlignment="1">
      <alignment horizontal="center"/>
    </xf>
    <xf numFmtId="167" fontId="4" fillId="0" borderId="1" xfId="0" applyNumberFormat="1" applyFont="1" applyBorder="1" applyAlignment="1">
      <alignment horizontal="center"/>
    </xf>
    <xf numFmtId="0" fontId="0" fillId="2" borderId="12" xfId="0" applyFill="1" applyBorder="1"/>
    <xf numFmtId="0" fontId="11" fillId="3" borderId="7" xfId="0" applyFont="1" applyFill="1" applyBorder="1"/>
    <xf numFmtId="0" fontId="11" fillId="3" borderId="8" xfId="0" applyFont="1" applyFill="1" applyBorder="1"/>
    <xf numFmtId="16" fontId="10" fillId="3" borderId="7" xfId="0" applyNumberFormat="1" applyFont="1" applyFill="1" applyBorder="1"/>
    <xf numFmtId="0" fontId="11" fillId="3" borderId="10" xfId="0" applyFont="1" applyFill="1" applyBorder="1"/>
    <xf numFmtId="0" fontId="11" fillId="3" borderId="11" xfId="0" applyFont="1" applyFill="1" applyBorder="1"/>
    <xf numFmtId="0" fontId="22" fillId="2" borderId="18" xfId="6" applyFont="1" applyFill="1" applyBorder="1" applyAlignment="1">
      <alignment horizontal="left" vertical="center"/>
    </xf>
    <xf numFmtId="0" fontId="7" fillId="3" borderId="0" xfId="0" applyFont="1" applyFill="1"/>
    <xf numFmtId="0" fontId="12" fillId="0" borderId="0" xfId="0" applyFont="1"/>
    <xf numFmtId="49" fontId="11"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11" fillId="0" borderId="0" xfId="0" applyFont="1" applyAlignment="1">
      <alignment horizontal="left" vertical="center"/>
    </xf>
    <xf numFmtId="0" fontId="31" fillId="0" borderId="0" xfId="0" applyFont="1"/>
    <xf numFmtId="0" fontId="30" fillId="0" borderId="0" xfId="0" applyFont="1" applyAlignment="1">
      <alignment vertical="center"/>
    </xf>
    <xf numFmtId="0" fontId="10" fillId="3" borderId="0" xfId="10" applyFont="1" applyFill="1" applyBorder="1" applyAlignment="1">
      <alignment vertical="center"/>
    </xf>
    <xf numFmtId="0" fontId="31" fillId="0" borderId="0" xfId="0" applyFont="1" applyAlignment="1">
      <alignment vertical="center"/>
    </xf>
    <xf numFmtId="0" fontId="11" fillId="0" borderId="0" xfId="0" applyFont="1"/>
    <xf numFmtId="0" fontId="32" fillId="3" borderId="0" xfId="0" applyFont="1" applyFill="1"/>
    <xf numFmtId="0" fontId="6" fillId="0" borderId="0" xfId="0" applyFont="1" applyAlignment="1">
      <alignment horizontal="right"/>
    </xf>
    <xf numFmtId="0" fontId="21" fillId="3" borderId="0" xfId="0" applyFont="1" applyFill="1" applyAlignment="1">
      <alignment horizontal="left"/>
    </xf>
    <xf numFmtId="0" fontId="6" fillId="3" borderId="0" xfId="0" applyFont="1" applyFill="1" applyAlignment="1">
      <alignment horizontal="right"/>
    </xf>
    <xf numFmtId="0" fontId="6" fillId="3" borderId="0" xfId="0" applyFont="1" applyFill="1" applyAlignment="1">
      <alignment horizontal="left"/>
    </xf>
    <xf numFmtId="0" fontId="11" fillId="3" borderId="0" xfId="0" applyFont="1" applyFill="1" applyAlignment="1">
      <alignment horizontal="right"/>
    </xf>
    <xf numFmtId="0" fontId="11" fillId="3" borderId="0" xfId="0" applyFont="1" applyFill="1" applyAlignment="1">
      <alignment horizontal="left"/>
    </xf>
    <xf numFmtId="0" fontId="13" fillId="3" borderId="0" xfId="1" applyFont="1" applyFill="1"/>
    <xf numFmtId="0" fontId="11" fillId="3" borderId="0" xfId="1" applyFont="1" applyFill="1"/>
    <xf numFmtId="0" fontId="11" fillId="3" borderId="0" xfId="0" applyFont="1" applyFill="1" applyAlignment="1">
      <alignment horizontal="left" vertical="top"/>
    </xf>
    <xf numFmtId="0" fontId="10" fillId="3" borderId="0" xfId="1" applyFont="1" applyFill="1"/>
    <xf numFmtId="0" fontId="13" fillId="3" borderId="0" xfId="0" applyFont="1" applyFill="1"/>
    <xf numFmtId="0" fontId="10" fillId="3" borderId="0" xfId="0" applyFont="1" applyFill="1" applyAlignment="1">
      <alignment horizontal="left"/>
    </xf>
    <xf numFmtId="16" fontId="10" fillId="3" borderId="0" xfId="0" applyNumberFormat="1" applyFont="1" applyFill="1"/>
    <xf numFmtId="164" fontId="11" fillId="0" borderId="0" xfId="0" applyNumberFormat="1" applyFont="1" applyAlignment="1">
      <alignment horizontal="left"/>
    </xf>
    <xf numFmtId="0" fontId="11" fillId="0" borderId="0" xfId="0" applyFont="1" applyAlignment="1">
      <alignment horizontal="left"/>
    </xf>
    <xf numFmtId="0" fontId="17" fillId="0" borderId="0" xfId="10" applyFont="1" applyFill="1" applyBorder="1"/>
    <xf numFmtId="0" fontId="2" fillId="0" borderId="0" xfId="0" applyFont="1" applyAlignment="1">
      <alignment horizontal="left"/>
    </xf>
    <xf numFmtId="9" fontId="10" fillId="0" borderId="0" xfId="8" applyFont="1" applyBorder="1" applyAlignment="1">
      <alignment horizontal="left"/>
    </xf>
    <xf numFmtId="164" fontId="10" fillId="0" borderId="0" xfId="0" applyNumberFormat="1" applyFont="1" applyAlignment="1">
      <alignment horizontal="left"/>
    </xf>
    <xf numFmtId="0" fontId="10" fillId="0" borderId="0" xfId="10" applyFont="1" applyFill="1" applyBorder="1"/>
    <xf numFmtId="0" fontId="31" fillId="3" borderId="0" xfId="0" applyFont="1" applyFill="1"/>
    <xf numFmtId="0" fontId="30" fillId="3" borderId="0" xfId="0" applyFont="1" applyFill="1" applyAlignment="1">
      <alignment horizontal="left"/>
    </xf>
    <xf numFmtId="0" fontId="13" fillId="0" borderId="0" xfId="0" applyFont="1"/>
    <xf numFmtId="0" fontId="15" fillId="0" borderId="0" xfId="0" applyFont="1"/>
    <xf numFmtId="0" fontId="10" fillId="0" borderId="0" xfId="0" applyFont="1" applyAlignment="1">
      <alignment horizontal="left"/>
    </xf>
    <xf numFmtId="0" fontId="41" fillId="0" borderId="0" xfId="0" applyFont="1"/>
    <xf numFmtId="0" fontId="42" fillId="3" borderId="0" xfId="0" applyFont="1" applyFill="1"/>
    <xf numFmtId="0" fontId="41" fillId="3" borderId="0" xfId="0" applyFont="1" applyFill="1"/>
    <xf numFmtId="49" fontId="10" fillId="0" borderId="0" xfId="10" applyNumberFormat="1" applyFont="1" applyFill="1" applyBorder="1"/>
    <xf numFmtId="49" fontId="10" fillId="0" borderId="0" xfId="10" applyNumberFormat="1" applyFont="1" applyFill="1" applyBorder="1" applyAlignment="1">
      <alignment horizontal="left"/>
    </xf>
    <xf numFmtId="164" fontId="10" fillId="0" borderId="0" xfId="10" applyNumberFormat="1" applyFont="1" applyFill="1" applyBorder="1" applyAlignment="1">
      <alignment horizontal="left"/>
    </xf>
    <xf numFmtId="49" fontId="10" fillId="0" borderId="0" xfId="0" applyNumberFormat="1" applyFont="1" applyAlignment="1">
      <alignment horizontal="left"/>
    </xf>
    <xf numFmtId="0" fontId="10" fillId="0" borderId="0" xfId="10" applyFont="1" applyFill="1" applyBorder="1" applyAlignment="1"/>
    <xf numFmtId="49" fontId="9" fillId="0" borderId="0" xfId="0" applyNumberFormat="1" applyFont="1"/>
    <xf numFmtId="49" fontId="22" fillId="0" borderId="0" xfId="0" applyNumberFormat="1" applyFont="1"/>
    <xf numFmtId="0" fontId="11" fillId="0" borderId="0" xfId="0" applyFont="1" applyAlignment="1">
      <alignment horizontal="right"/>
    </xf>
    <xf numFmtId="0" fontId="2" fillId="3" borderId="0" xfId="0" applyFont="1" applyFill="1"/>
    <xf numFmtId="164" fontId="2" fillId="3" borderId="0" xfId="0" applyNumberFormat="1" applyFont="1" applyFill="1" applyAlignment="1">
      <alignment horizontal="left"/>
    </xf>
    <xf numFmtId="0" fontId="2" fillId="3" borderId="0" xfId="0" applyFont="1" applyFill="1" applyAlignment="1">
      <alignment horizontal="right"/>
    </xf>
    <xf numFmtId="0" fontId="2" fillId="3" borderId="0" xfId="0" applyFont="1" applyFill="1" applyAlignment="1">
      <alignment horizontal="left"/>
    </xf>
    <xf numFmtId="164" fontId="10" fillId="3" borderId="0" xfId="0" applyNumberFormat="1" applyFont="1" applyFill="1"/>
    <xf numFmtId="0" fontId="7" fillId="3" borderId="0" xfId="0" applyFont="1" applyFill="1" applyAlignment="1">
      <alignment horizontal="left"/>
    </xf>
    <xf numFmtId="0" fontId="11" fillId="3" borderId="0" xfId="0" applyFont="1" applyFill="1" applyAlignment="1">
      <alignment vertical="top" wrapText="1"/>
    </xf>
    <xf numFmtId="0" fontId="4" fillId="3" borderId="0" xfId="0" applyFont="1" applyFill="1" applyAlignment="1">
      <alignment vertical="top" wrapText="1"/>
    </xf>
    <xf numFmtId="0" fontId="20" fillId="3" borderId="0" xfId="4" applyFont="1" applyFill="1" applyBorder="1"/>
    <xf numFmtId="0" fontId="22" fillId="2" borderId="19" xfId="6" applyFont="1" applyFill="1" applyBorder="1" applyAlignment="1">
      <alignment horizontal="left" vertical="center"/>
    </xf>
    <xf numFmtId="0" fontId="22" fillId="2" borderId="20" xfId="6" applyFont="1" applyFill="1" applyBorder="1" applyAlignment="1">
      <alignment horizontal="left" vertical="center"/>
    </xf>
    <xf numFmtId="164" fontId="20" fillId="3" borderId="17" xfId="4" applyNumberFormat="1" applyFont="1" applyFill="1" applyBorder="1" applyAlignment="1">
      <alignment horizontal="left"/>
    </xf>
    <xf numFmtId="164" fontId="10" fillId="3" borderId="16" xfId="0" applyNumberFormat="1" applyFont="1" applyFill="1" applyBorder="1" applyAlignment="1">
      <alignment horizontal="left"/>
    </xf>
    <xf numFmtId="0" fontId="11" fillId="3" borderId="16" xfId="0" applyFont="1" applyFill="1" applyBorder="1"/>
    <xf numFmtId="164" fontId="11" fillId="3" borderId="16" xfId="0" applyNumberFormat="1" applyFont="1" applyFill="1" applyBorder="1" applyAlignment="1">
      <alignment horizontal="left"/>
    </xf>
    <xf numFmtId="164" fontId="20" fillId="0" borderId="17" xfId="4" applyNumberFormat="1" applyFont="1" applyBorder="1"/>
    <xf numFmtId="164" fontId="10" fillId="0" borderId="16" xfId="0" applyNumberFormat="1" applyFont="1" applyBorder="1"/>
    <xf numFmtId="164" fontId="20" fillId="3" borderId="17" xfId="4" applyNumberFormat="1" applyFont="1" applyFill="1" applyBorder="1" applyAlignment="1">
      <alignment horizontal="left" wrapText="1"/>
    </xf>
    <xf numFmtId="0" fontId="11" fillId="3" borderId="4" xfId="0" applyFont="1" applyFill="1" applyBorder="1"/>
    <xf numFmtId="0" fontId="11" fillId="3" borderId="5" xfId="0" applyFont="1" applyFill="1" applyBorder="1"/>
    <xf numFmtId="164" fontId="20" fillId="3" borderId="21" xfId="4" applyNumberFormat="1" applyFont="1" applyFill="1" applyBorder="1" applyAlignment="1">
      <alignment horizontal="left"/>
    </xf>
    <xf numFmtId="164" fontId="11" fillId="3" borderId="27" xfId="0" applyNumberFormat="1" applyFont="1" applyFill="1" applyBorder="1" applyAlignment="1">
      <alignment horizontal="left"/>
    </xf>
    <xf numFmtId="0" fontId="11" fillId="3" borderId="6" xfId="0" applyFont="1" applyFill="1" applyBorder="1"/>
    <xf numFmtId="0" fontId="20" fillId="3" borderId="17" xfId="4" applyFont="1" applyFill="1" applyBorder="1" applyAlignment="1">
      <alignment wrapText="1"/>
    </xf>
    <xf numFmtId="0" fontId="11" fillId="3" borderId="9" xfId="0" applyFont="1" applyFill="1" applyBorder="1"/>
    <xf numFmtId="164" fontId="20" fillId="3" borderId="28" xfId="4" applyNumberFormat="1" applyFont="1" applyFill="1" applyBorder="1" applyAlignment="1">
      <alignment horizontal="left"/>
    </xf>
    <xf numFmtId="0" fontId="11" fillId="3" borderId="29" xfId="0" applyFont="1" applyFill="1" applyBorder="1"/>
    <xf numFmtId="0" fontId="43" fillId="0" borderId="0" xfId="0" applyFont="1"/>
    <xf numFmtId="0" fontId="34" fillId="0" borderId="0" xfId="0" applyFont="1"/>
    <xf numFmtId="0" fontId="34" fillId="0" borderId="0" xfId="0" applyFont="1" applyAlignment="1">
      <alignment horizontal="left"/>
    </xf>
    <xf numFmtId="8" fontId="34" fillId="0" borderId="0" xfId="0" applyNumberFormat="1" applyFont="1" applyAlignment="1">
      <alignment horizontal="left"/>
    </xf>
    <xf numFmtId="0" fontId="44" fillId="3" borderId="0" xfId="0" applyFont="1" applyFill="1"/>
    <xf numFmtId="49" fontId="13" fillId="3" borderId="0" xfId="0" applyNumberFormat="1" applyFont="1" applyFill="1"/>
    <xf numFmtId="49" fontId="45" fillId="3" borderId="0" xfId="0" applyNumberFormat="1" applyFont="1" applyFill="1"/>
    <xf numFmtId="0" fontId="46" fillId="0" borderId="0" xfId="0" applyFont="1"/>
    <xf numFmtId="0" fontId="22" fillId="2" borderId="2" xfId="3" applyFont="1" applyFill="1" applyBorder="1" applyAlignment="1">
      <alignment horizontal="left"/>
    </xf>
    <xf numFmtId="0" fontId="22" fillId="2" borderId="12" xfId="3" applyFont="1" applyFill="1" applyBorder="1" applyAlignment="1">
      <alignment horizontal="left"/>
    </xf>
    <xf numFmtId="0" fontId="22" fillId="2" borderId="1" xfId="3" applyFont="1" applyFill="1" applyBorder="1" applyAlignment="1">
      <alignment horizontal="left"/>
    </xf>
    <xf numFmtId="0" fontId="3" fillId="2" borderId="2" xfId="0" applyFont="1" applyFill="1" applyBorder="1" applyAlignment="1">
      <alignment horizontal="left"/>
    </xf>
    <xf numFmtId="0" fontId="3" fillId="2" borderId="3" xfId="0" applyFont="1" applyFill="1" applyBorder="1" applyAlignment="1">
      <alignment horizontal="left"/>
    </xf>
    <xf numFmtId="0" fontId="22" fillId="2" borderId="23" xfId="3" applyFont="1" applyFill="1" applyBorder="1" applyAlignment="1">
      <alignment horizontal="left"/>
    </xf>
    <xf numFmtId="0" fontId="22" fillId="2" borderId="24" xfId="3" applyFont="1" applyFill="1" applyBorder="1" applyAlignment="1">
      <alignment horizontal="left"/>
    </xf>
  </cellXfs>
  <cellStyles count="11">
    <cellStyle name="Bad 2" xfId="10" xr:uid="{973C034C-369E-444C-8F16-76FADD5A77E7}"/>
    <cellStyle name="Hyperlink" xfId="4" builtinId="8"/>
    <cellStyle name="Hyperlink 2" xfId="7" xr:uid="{1D771F9F-1439-4BDF-89CE-C46D0A5A9B98}"/>
    <cellStyle name="Normal 2" xfId="6" xr:uid="{19240531-60E9-4254-BC8A-F2003703970F}"/>
    <cellStyle name="Normal_Sheet1" xfId="9" xr:uid="{B1326A13-52F7-41EF-A947-C828D2AA38ED}"/>
    <cellStyle name="Procent" xfId="8" builtinId="5"/>
    <cellStyle name="Standaard" xfId="0" builtinId="0"/>
    <cellStyle name="Standaard 2" xfId="5" xr:uid="{11767E38-08D6-487F-8C33-853D56D434C5}"/>
    <cellStyle name="Standaard 3" xfId="1" xr:uid="{AD0B9123-1793-4227-AA8A-3F2FB84BE2E3}"/>
    <cellStyle name="Standaard 4" xfId="3" xr:uid="{4A0762BA-770C-4F7A-A996-CDF984078193}"/>
    <cellStyle name="Standaard 5" xfId="2" xr:uid="{9FA98AE1-5A83-4A99-A66B-1F125A24F4F3}"/>
  </cellStyles>
  <dxfs count="35">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theme="5" tint="0.79998168889431442"/>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590550</xdr:colOff>
      <xdr:row>2</xdr:row>
      <xdr:rowOff>45370</xdr:rowOff>
    </xdr:to>
    <xdr:pic>
      <xdr:nvPicPr>
        <xdr:cNvPr id="7" name="Afbeelding 1">
          <a:extLst>
            <a:ext uri="{FF2B5EF4-FFF2-40B4-BE49-F238E27FC236}">
              <a16:creationId xmlns:a16="http://schemas.microsoft.com/office/drawing/2014/main" id="{38B819AE-CE60-4E65-8807-265A6CB121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438150</xdr:colOff>
      <xdr:row>2</xdr:row>
      <xdr:rowOff>58705</xdr:rowOff>
    </xdr:to>
    <xdr:pic>
      <xdr:nvPicPr>
        <xdr:cNvPr id="2" name="Afbeelding 1">
          <a:extLst>
            <a:ext uri="{FF2B5EF4-FFF2-40B4-BE49-F238E27FC236}">
              <a16:creationId xmlns:a16="http://schemas.microsoft.com/office/drawing/2014/main" id="{39FD1033-5C88-473D-84E8-0DF1F2EE92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2" name="Afbeelding 1">
          <a:extLst>
            <a:ext uri="{FF2B5EF4-FFF2-40B4-BE49-F238E27FC236}">
              <a16:creationId xmlns:a16="http://schemas.microsoft.com/office/drawing/2014/main" id="{3FD583A2-DB9E-4FF9-8121-95E09ED5BA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975" name="Afbeelding 1">
          <a:extLst>
            <a:ext uri="{FF2B5EF4-FFF2-40B4-BE49-F238E27FC236}">
              <a16:creationId xmlns:a16="http://schemas.microsoft.com/office/drawing/2014/main" id="{EC95823D-F353-4529-8F2E-78CDB0FF40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1143" name="Afbeelding 1">
          <a:extLst>
            <a:ext uri="{FF2B5EF4-FFF2-40B4-BE49-F238E27FC236}">
              <a16:creationId xmlns:a16="http://schemas.microsoft.com/office/drawing/2014/main" id="{9EC0C701-A4FF-45A4-AC52-C776E238F8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1143" name="Afbeelding 1">
          <a:extLst>
            <a:ext uri="{FF2B5EF4-FFF2-40B4-BE49-F238E27FC236}">
              <a16:creationId xmlns:a16="http://schemas.microsoft.com/office/drawing/2014/main" id="{22A6A6B3-FB29-4536-B0D4-03CE699894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1143" name="Afbeelding 1">
          <a:extLst>
            <a:ext uri="{FF2B5EF4-FFF2-40B4-BE49-F238E27FC236}">
              <a16:creationId xmlns:a16="http://schemas.microsoft.com/office/drawing/2014/main" id="{8E18733B-AE89-4BEB-A798-00C14678B4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18" name="Afbeelding 1">
          <a:extLst>
            <a:ext uri="{FF2B5EF4-FFF2-40B4-BE49-F238E27FC236}">
              <a16:creationId xmlns:a16="http://schemas.microsoft.com/office/drawing/2014/main" id="{2D4EC842-59DB-4EFE-8490-4D7C8669CB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9" name="Afbeelding 1">
          <a:extLst>
            <a:ext uri="{FF2B5EF4-FFF2-40B4-BE49-F238E27FC236}">
              <a16:creationId xmlns:a16="http://schemas.microsoft.com/office/drawing/2014/main" id="{34506FA5-AB4D-4A7A-BE4F-C7283A6781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2" name="Afbeelding 1">
          <a:extLst>
            <a:ext uri="{FF2B5EF4-FFF2-40B4-BE49-F238E27FC236}">
              <a16:creationId xmlns:a16="http://schemas.microsoft.com/office/drawing/2014/main" id="{7BF19AA1-C5BA-408F-BB0D-CE0E29F225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409575</xdr:colOff>
      <xdr:row>5</xdr:row>
      <xdr:rowOff>0</xdr:rowOff>
    </xdr:from>
    <xdr:ext cx="184731" cy="264560"/>
    <xdr:sp macro="" textlink="">
      <xdr:nvSpPr>
        <xdr:cNvPr id="3" name="ZoneTexte 3">
          <a:extLst>
            <a:ext uri="{FF2B5EF4-FFF2-40B4-BE49-F238E27FC236}">
              <a16:creationId xmlns:a16="http://schemas.microsoft.com/office/drawing/2014/main" id="{5F5F21FA-2BFC-4324-957F-0ED102E4935F}"/>
            </a:ext>
          </a:extLst>
        </xdr:cNvPr>
        <xdr:cNvSpPr txBox="1"/>
      </xdr:nvSpPr>
      <xdr:spPr>
        <a:xfrm>
          <a:off x="4029075"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4" name="ZoneTexte 3">
          <a:extLst>
            <a:ext uri="{FF2B5EF4-FFF2-40B4-BE49-F238E27FC236}">
              <a16:creationId xmlns:a16="http://schemas.microsoft.com/office/drawing/2014/main" id="{DAA59E9F-1ABB-4AE3-97C0-C4F859496360}"/>
            </a:ext>
          </a:extLst>
        </xdr:cNvPr>
        <xdr:cNvSpPr txBox="1"/>
      </xdr:nvSpPr>
      <xdr:spPr>
        <a:xfrm>
          <a:off x="4029075"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5" name="ZoneTexte 3">
          <a:extLst>
            <a:ext uri="{FF2B5EF4-FFF2-40B4-BE49-F238E27FC236}">
              <a16:creationId xmlns:a16="http://schemas.microsoft.com/office/drawing/2014/main" id="{FD1F0356-E01C-4F7C-A294-746BB95860BF}"/>
            </a:ext>
          </a:extLst>
        </xdr:cNvPr>
        <xdr:cNvSpPr txBox="1"/>
      </xdr:nvSpPr>
      <xdr:spPr>
        <a:xfrm>
          <a:off x="4029075"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6" name="ZoneTexte 3">
          <a:extLst>
            <a:ext uri="{FF2B5EF4-FFF2-40B4-BE49-F238E27FC236}">
              <a16:creationId xmlns:a16="http://schemas.microsoft.com/office/drawing/2014/main" id="{B6989CFE-0942-44E9-9347-3CB8A323A41C}"/>
            </a:ext>
          </a:extLst>
        </xdr:cNvPr>
        <xdr:cNvSpPr txBox="1"/>
      </xdr:nvSpPr>
      <xdr:spPr>
        <a:xfrm>
          <a:off x="4029075"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7" name="ZoneTexte 3">
          <a:extLst>
            <a:ext uri="{FF2B5EF4-FFF2-40B4-BE49-F238E27FC236}">
              <a16:creationId xmlns:a16="http://schemas.microsoft.com/office/drawing/2014/main" id="{73A812DF-72EE-4587-B0F7-EF6ED6DC84B4}"/>
            </a:ext>
          </a:extLst>
        </xdr:cNvPr>
        <xdr:cNvSpPr txBox="1"/>
      </xdr:nvSpPr>
      <xdr:spPr>
        <a:xfrm>
          <a:off x="4029075"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8" name="ZoneTexte 3">
          <a:extLst>
            <a:ext uri="{FF2B5EF4-FFF2-40B4-BE49-F238E27FC236}">
              <a16:creationId xmlns:a16="http://schemas.microsoft.com/office/drawing/2014/main" id="{925E9008-CDE9-4695-BB50-93B1CA9A9C8F}"/>
            </a:ext>
          </a:extLst>
        </xdr:cNvPr>
        <xdr:cNvSpPr txBox="1"/>
      </xdr:nvSpPr>
      <xdr:spPr>
        <a:xfrm>
          <a:off x="4029075"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9" name="ZoneTexte 3">
          <a:extLst>
            <a:ext uri="{FF2B5EF4-FFF2-40B4-BE49-F238E27FC236}">
              <a16:creationId xmlns:a16="http://schemas.microsoft.com/office/drawing/2014/main" id="{C9880D3A-E0EA-4587-8B07-F2717435B310}"/>
            </a:ext>
          </a:extLst>
        </xdr:cNvPr>
        <xdr:cNvSpPr txBox="1"/>
      </xdr:nvSpPr>
      <xdr:spPr>
        <a:xfrm>
          <a:off x="4029075"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10" name="ZoneTexte 3">
          <a:extLst>
            <a:ext uri="{FF2B5EF4-FFF2-40B4-BE49-F238E27FC236}">
              <a16:creationId xmlns:a16="http://schemas.microsoft.com/office/drawing/2014/main" id="{27FB0661-4D1D-4654-BD3F-1DB339B0994B}"/>
            </a:ext>
          </a:extLst>
        </xdr:cNvPr>
        <xdr:cNvSpPr txBox="1"/>
      </xdr:nvSpPr>
      <xdr:spPr>
        <a:xfrm>
          <a:off x="4029075"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11" name="ZoneTexte 3">
          <a:extLst>
            <a:ext uri="{FF2B5EF4-FFF2-40B4-BE49-F238E27FC236}">
              <a16:creationId xmlns:a16="http://schemas.microsoft.com/office/drawing/2014/main" id="{1DA4EFB6-A38A-48DB-A666-C9C0D4477D19}"/>
            </a:ext>
          </a:extLst>
        </xdr:cNvPr>
        <xdr:cNvSpPr txBox="1"/>
      </xdr:nvSpPr>
      <xdr:spPr>
        <a:xfrm>
          <a:off x="4029075"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12" name="ZoneTexte 3">
          <a:extLst>
            <a:ext uri="{FF2B5EF4-FFF2-40B4-BE49-F238E27FC236}">
              <a16:creationId xmlns:a16="http://schemas.microsoft.com/office/drawing/2014/main" id="{BDBCC94C-6853-4C6E-AE86-CC8E3C2D09ED}"/>
            </a:ext>
          </a:extLst>
        </xdr:cNvPr>
        <xdr:cNvSpPr txBox="1"/>
      </xdr:nvSpPr>
      <xdr:spPr>
        <a:xfrm>
          <a:off x="4029075"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13" name="ZoneTexte 3">
          <a:extLst>
            <a:ext uri="{FF2B5EF4-FFF2-40B4-BE49-F238E27FC236}">
              <a16:creationId xmlns:a16="http://schemas.microsoft.com/office/drawing/2014/main" id="{A352A391-4736-425E-9805-1BE68CB1112B}"/>
            </a:ext>
          </a:extLst>
        </xdr:cNvPr>
        <xdr:cNvSpPr txBox="1"/>
      </xdr:nvSpPr>
      <xdr:spPr>
        <a:xfrm>
          <a:off x="4029075"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14" name="ZoneTexte 3">
          <a:extLst>
            <a:ext uri="{FF2B5EF4-FFF2-40B4-BE49-F238E27FC236}">
              <a16:creationId xmlns:a16="http://schemas.microsoft.com/office/drawing/2014/main" id="{F245743F-1803-4256-B937-7A792EE1A1B2}"/>
            </a:ext>
          </a:extLst>
        </xdr:cNvPr>
        <xdr:cNvSpPr txBox="1"/>
      </xdr:nvSpPr>
      <xdr:spPr>
        <a:xfrm>
          <a:off x="4029075" y="1428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2" name="Afbeelding 1">
          <a:extLst>
            <a:ext uri="{FF2B5EF4-FFF2-40B4-BE49-F238E27FC236}">
              <a16:creationId xmlns:a16="http://schemas.microsoft.com/office/drawing/2014/main" id="{2D93E691-E560-4A9B-B9EC-CC4456027C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409575</xdr:colOff>
      <xdr:row>5</xdr:row>
      <xdr:rowOff>0</xdr:rowOff>
    </xdr:from>
    <xdr:ext cx="184731" cy="264560"/>
    <xdr:sp macro="" textlink="">
      <xdr:nvSpPr>
        <xdr:cNvPr id="3" name="ZoneTexte 3">
          <a:extLst>
            <a:ext uri="{FF2B5EF4-FFF2-40B4-BE49-F238E27FC236}">
              <a16:creationId xmlns:a16="http://schemas.microsoft.com/office/drawing/2014/main" id="{59FA3646-5A55-42E7-B77E-CD6A5D7ECD50}"/>
            </a:ext>
          </a:extLst>
        </xdr:cNvPr>
        <xdr:cNvSpPr txBox="1"/>
      </xdr:nvSpPr>
      <xdr:spPr>
        <a:xfrm>
          <a:off x="4029075"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4" name="ZoneTexte 3">
          <a:extLst>
            <a:ext uri="{FF2B5EF4-FFF2-40B4-BE49-F238E27FC236}">
              <a16:creationId xmlns:a16="http://schemas.microsoft.com/office/drawing/2014/main" id="{12001B71-2AC9-476E-8433-ADEC26F31D05}"/>
            </a:ext>
          </a:extLst>
        </xdr:cNvPr>
        <xdr:cNvSpPr txBox="1"/>
      </xdr:nvSpPr>
      <xdr:spPr>
        <a:xfrm>
          <a:off x="4029075"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5" name="ZoneTexte 3">
          <a:extLst>
            <a:ext uri="{FF2B5EF4-FFF2-40B4-BE49-F238E27FC236}">
              <a16:creationId xmlns:a16="http://schemas.microsoft.com/office/drawing/2014/main" id="{C4206F51-D90D-49A7-90F7-FE4855B69DFA}"/>
            </a:ext>
          </a:extLst>
        </xdr:cNvPr>
        <xdr:cNvSpPr txBox="1"/>
      </xdr:nvSpPr>
      <xdr:spPr>
        <a:xfrm>
          <a:off x="4029075"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6" name="ZoneTexte 3">
          <a:extLst>
            <a:ext uri="{FF2B5EF4-FFF2-40B4-BE49-F238E27FC236}">
              <a16:creationId xmlns:a16="http://schemas.microsoft.com/office/drawing/2014/main" id="{FE502E27-FDDA-48FB-BE9B-FEA580485573}"/>
            </a:ext>
          </a:extLst>
        </xdr:cNvPr>
        <xdr:cNvSpPr txBox="1"/>
      </xdr:nvSpPr>
      <xdr:spPr>
        <a:xfrm>
          <a:off x="4029075"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7" name="ZoneTexte 3">
          <a:extLst>
            <a:ext uri="{FF2B5EF4-FFF2-40B4-BE49-F238E27FC236}">
              <a16:creationId xmlns:a16="http://schemas.microsoft.com/office/drawing/2014/main" id="{821CCFF4-1F5F-4B23-9D0B-0B6CBF1C6FCE}"/>
            </a:ext>
          </a:extLst>
        </xdr:cNvPr>
        <xdr:cNvSpPr txBox="1"/>
      </xdr:nvSpPr>
      <xdr:spPr>
        <a:xfrm>
          <a:off x="4029075"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8" name="ZoneTexte 3">
          <a:extLst>
            <a:ext uri="{FF2B5EF4-FFF2-40B4-BE49-F238E27FC236}">
              <a16:creationId xmlns:a16="http://schemas.microsoft.com/office/drawing/2014/main" id="{732D301B-D032-4950-92C9-67E54D1E2EE4}"/>
            </a:ext>
          </a:extLst>
        </xdr:cNvPr>
        <xdr:cNvSpPr txBox="1"/>
      </xdr:nvSpPr>
      <xdr:spPr>
        <a:xfrm>
          <a:off x="4029075" y="138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15" name="Afbeelding 1">
          <a:extLst>
            <a:ext uri="{FF2B5EF4-FFF2-40B4-BE49-F238E27FC236}">
              <a16:creationId xmlns:a16="http://schemas.microsoft.com/office/drawing/2014/main" id="{5748B41D-8F5B-47CD-9107-04BDC70B32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2" name="Afbeelding 1">
          <a:extLst>
            <a:ext uri="{FF2B5EF4-FFF2-40B4-BE49-F238E27FC236}">
              <a16:creationId xmlns:a16="http://schemas.microsoft.com/office/drawing/2014/main" id="{33A415A3-A82F-4018-A781-E93CB62EA5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9" name="Afbeelding 1">
          <a:extLst>
            <a:ext uri="{FF2B5EF4-FFF2-40B4-BE49-F238E27FC236}">
              <a16:creationId xmlns:a16="http://schemas.microsoft.com/office/drawing/2014/main" id="{405AE172-7ED4-4500-B139-E701DF05F5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15" name="Afbeelding 1">
          <a:extLst>
            <a:ext uri="{FF2B5EF4-FFF2-40B4-BE49-F238E27FC236}">
              <a16:creationId xmlns:a16="http://schemas.microsoft.com/office/drawing/2014/main" id="{B7EFFF88-AD96-4554-8E5A-B6BD42FF62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2019" name="Afbeelding 1">
          <a:extLst>
            <a:ext uri="{FF2B5EF4-FFF2-40B4-BE49-F238E27FC236}">
              <a16:creationId xmlns:a16="http://schemas.microsoft.com/office/drawing/2014/main" id="{43820E06-8E05-494A-A0D1-83C481DE41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2074" name="Afbeelding 1">
          <a:extLst>
            <a:ext uri="{FF2B5EF4-FFF2-40B4-BE49-F238E27FC236}">
              <a16:creationId xmlns:a16="http://schemas.microsoft.com/office/drawing/2014/main" id="{B7559EA4-E790-4FF4-B796-E4D3A2EBF1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2" name="Afbeelding 1">
          <a:extLst>
            <a:ext uri="{FF2B5EF4-FFF2-40B4-BE49-F238E27FC236}">
              <a16:creationId xmlns:a16="http://schemas.microsoft.com/office/drawing/2014/main" id="{697F1982-6CF7-4D18-B0BD-DDCE969EF5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2" name="Afbeelding 1">
          <a:extLst>
            <a:ext uri="{FF2B5EF4-FFF2-40B4-BE49-F238E27FC236}">
              <a16:creationId xmlns:a16="http://schemas.microsoft.com/office/drawing/2014/main" id="{CAA9FF39-6C8E-48AD-968E-BB691A1D58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438150</xdr:colOff>
      <xdr:row>2</xdr:row>
      <xdr:rowOff>58705</xdr:rowOff>
    </xdr:to>
    <xdr:pic>
      <xdr:nvPicPr>
        <xdr:cNvPr id="2" name="Afbeelding 1">
          <a:extLst>
            <a:ext uri="{FF2B5EF4-FFF2-40B4-BE49-F238E27FC236}">
              <a16:creationId xmlns:a16="http://schemas.microsoft.com/office/drawing/2014/main" id="{0685BDFF-3732-4FDC-A22F-CA420A1244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409575</xdr:colOff>
      <xdr:row>5</xdr:row>
      <xdr:rowOff>0</xdr:rowOff>
    </xdr:from>
    <xdr:ext cx="184731" cy="264560"/>
    <xdr:sp macro="" textlink="">
      <xdr:nvSpPr>
        <xdr:cNvPr id="3" name="ZoneTexte 3">
          <a:extLst>
            <a:ext uri="{FF2B5EF4-FFF2-40B4-BE49-F238E27FC236}">
              <a16:creationId xmlns:a16="http://schemas.microsoft.com/office/drawing/2014/main" id="{83919413-8223-49A8-8B7A-466AB693519C}"/>
            </a:ext>
          </a:extLst>
        </xdr:cNvPr>
        <xdr:cNvSpPr txBox="1"/>
      </xdr:nvSpPr>
      <xdr:spPr>
        <a:xfrm>
          <a:off x="402907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4" name="ZoneTexte 3">
          <a:extLst>
            <a:ext uri="{FF2B5EF4-FFF2-40B4-BE49-F238E27FC236}">
              <a16:creationId xmlns:a16="http://schemas.microsoft.com/office/drawing/2014/main" id="{6595129C-4CC0-4F53-9FAA-615016C4B6CA}"/>
            </a:ext>
          </a:extLst>
        </xdr:cNvPr>
        <xdr:cNvSpPr txBox="1"/>
      </xdr:nvSpPr>
      <xdr:spPr>
        <a:xfrm>
          <a:off x="402907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5" name="ZoneTexte 3">
          <a:extLst>
            <a:ext uri="{FF2B5EF4-FFF2-40B4-BE49-F238E27FC236}">
              <a16:creationId xmlns:a16="http://schemas.microsoft.com/office/drawing/2014/main" id="{DF1CC126-3CF2-4579-82B8-A004854CBD13}"/>
            </a:ext>
          </a:extLst>
        </xdr:cNvPr>
        <xdr:cNvSpPr txBox="1"/>
      </xdr:nvSpPr>
      <xdr:spPr>
        <a:xfrm>
          <a:off x="402907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6" name="ZoneTexte 3">
          <a:extLst>
            <a:ext uri="{FF2B5EF4-FFF2-40B4-BE49-F238E27FC236}">
              <a16:creationId xmlns:a16="http://schemas.microsoft.com/office/drawing/2014/main" id="{A793D867-6764-4472-8B09-DFAC39A9E7EA}"/>
            </a:ext>
          </a:extLst>
        </xdr:cNvPr>
        <xdr:cNvSpPr txBox="1"/>
      </xdr:nvSpPr>
      <xdr:spPr>
        <a:xfrm>
          <a:off x="402907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7" name="ZoneTexte 3">
          <a:extLst>
            <a:ext uri="{FF2B5EF4-FFF2-40B4-BE49-F238E27FC236}">
              <a16:creationId xmlns:a16="http://schemas.microsoft.com/office/drawing/2014/main" id="{0F1CC7B2-4FA5-4938-AC68-CE1866766930}"/>
            </a:ext>
          </a:extLst>
        </xdr:cNvPr>
        <xdr:cNvSpPr txBox="1"/>
      </xdr:nvSpPr>
      <xdr:spPr>
        <a:xfrm>
          <a:off x="402907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8" name="ZoneTexte 3">
          <a:extLst>
            <a:ext uri="{FF2B5EF4-FFF2-40B4-BE49-F238E27FC236}">
              <a16:creationId xmlns:a16="http://schemas.microsoft.com/office/drawing/2014/main" id="{03158554-26CF-40C7-A944-A8BFF777805B}"/>
            </a:ext>
          </a:extLst>
        </xdr:cNvPr>
        <xdr:cNvSpPr txBox="1"/>
      </xdr:nvSpPr>
      <xdr:spPr>
        <a:xfrm>
          <a:off x="402907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2" name="Afbeelding 1">
          <a:extLst>
            <a:ext uri="{FF2B5EF4-FFF2-40B4-BE49-F238E27FC236}">
              <a16:creationId xmlns:a16="http://schemas.microsoft.com/office/drawing/2014/main" id="{7AFCF9F0-1DEE-41D7-8E05-E5DE2A52F7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409575</xdr:colOff>
      <xdr:row>5</xdr:row>
      <xdr:rowOff>0</xdr:rowOff>
    </xdr:from>
    <xdr:ext cx="184731" cy="264560"/>
    <xdr:sp macro="" textlink="">
      <xdr:nvSpPr>
        <xdr:cNvPr id="3" name="ZoneTexte 3">
          <a:extLst>
            <a:ext uri="{FF2B5EF4-FFF2-40B4-BE49-F238E27FC236}">
              <a16:creationId xmlns:a16="http://schemas.microsoft.com/office/drawing/2014/main" id="{2C0127E1-2539-44AC-8EEB-C0C41F0BE95F}"/>
            </a:ext>
          </a:extLst>
        </xdr:cNvPr>
        <xdr:cNvSpPr txBox="1"/>
      </xdr:nvSpPr>
      <xdr:spPr>
        <a:xfrm>
          <a:off x="4181475" y="1333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4" name="ZoneTexte 3">
          <a:extLst>
            <a:ext uri="{FF2B5EF4-FFF2-40B4-BE49-F238E27FC236}">
              <a16:creationId xmlns:a16="http://schemas.microsoft.com/office/drawing/2014/main" id="{03491076-1F3E-4B1D-9657-856A6407F3BA}"/>
            </a:ext>
          </a:extLst>
        </xdr:cNvPr>
        <xdr:cNvSpPr txBox="1"/>
      </xdr:nvSpPr>
      <xdr:spPr>
        <a:xfrm>
          <a:off x="4181475" y="1333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5" name="ZoneTexte 3">
          <a:extLst>
            <a:ext uri="{FF2B5EF4-FFF2-40B4-BE49-F238E27FC236}">
              <a16:creationId xmlns:a16="http://schemas.microsoft.com/office/drawing/2014/main" id="{98BF35D3-F1EC-470F-9843-F72B22470080}"/>
            </a:ext>
          </a:extLst>
        </xdr:cNvPr>
        <xdr:cNvSpPr txBox="1"/>
      </xdr:nvSpPr>
      <xdr:spPr>
        <a:xfrm>
          <a:off x="4181475" y="1333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6" name="ZoneTexte 3">
          <a:extLst>
            <a:ext uri="{FF2B5EF4-FFF2-40B4-BE49-F238E27FC236}">
              <a16:creationId xmlns:a16="http://schemas.microsoft.com/office/drawing/2014/main" id="{15DBA0DC-3D6E-4262-B3C9-910400473CCB}"/>
            </a:ext>
          </a:extLst>
        </xdr:cNvPr>
        <xdr:cNvSpPr txBox="1"/>
      </xdr:nvSpPr>
      <xdr:spPr>
        <a:xfrm>
          <a:off x="4181475" y="1333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7" name="ZoneTexte 3">
          <a:extLst>
            <a:ext uri="{FF2B5EF4-FFF2-40B4-BE49-F238E27FC236}">
              <a16:creationId xmlns:a16="http://schemas.microsoft.com/office/drawing/2014/main" id="{70AF7B71-5092-4C50-B62D-21CF6BB37A07}"/>
            </a:ext>
          </a:extLst>
        </xdr:cNvPr>
        <xdr:cNvSpPr txBox="1"/>
      </xdr:nvSpPr>
      <xdr:spPr>
        <a:xfrm>
          <a:off x="4181475" y="1333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oneCellAnchor>
    <xdr:from>
      <xdr:col>5</xdr:col>
      <xdr:colOff>409575</xdr:colOff>
      <xdr:row>5</xdr:row>
      <xdr:rowOff>0</xdr:rowOff>
    </xdr:from>
    <xdr:ext cx="184731" cy="264560"/>
    <xdr:sp macro="" textlink="">
      <xdr:nvSpPr>
        <xdr:cNvPr id="8" name="ZoneTexte 3">
          <a:extLst>
            <a:ext uri="{FF2B5EF4-FFF2-40B4-BE49-F238E27FC236}">
              <a16:creationId xmlns:a16="http://schemas.microsoft.com/office/drawing/2014/main" id="{7AC8BD20-0B0C-410C-822B-4CB2C0F2C8A9}"/>
            </a:ext>
          </a:extLst>
        </xdr:cNvPr>
        <xdr:cNvSpPr txBox="1"/>
      </xdr:nvSpPr>
      <xdr:spPr>
        <a:xfrm>
          <a:off x="4181475" y="1333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fr-FR" sz="1100"/>
        </a:p>
      </xdr:txBody>
    </xdr:sp>
    <xdr:clientData/>
  </xdr:one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2" name="Afbeelding 1">
          <a:extLst>
            <a:ext uri="{FF2B5EF4-FFF2-40B4-BE49-F238E27FC236}">
              <a16:creationId xmlns:a16="http://schemas.microsoft.com/office/drawing/2014/main" id="{BA89AC00-911F-4DD6-AA07-0DE60F7691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9" name="Afbeelding 1">
          <a:extLst>
            <a:ext uri="{FF2B5EF4-FFF2-40B4-BE49-F238E27FC236}">
              <a16:creationId xmlns:a16="http://schemas.microsoft.com/office/drawing/2014/main" id="{223FCB76-7FDE-43FA-B0AF-DBD940C02A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9" name="Afbeelding 1">
          <a:extLst>
            <a:ext uri="{FF2B5EF4-FFF2-40B4-BE49-F238E27FC236}">
              <a16:creationId xmlns:a16="http://schemas.microsoft.com/office/drawing/2014/main" id="{F78079C1-15EA-46FA-9FE5-1E43C44E9D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2" name="Afbeelding 1">
          <a:extLst>
            <a:ext uri="{FF2B5EF4-FFF2-40B4-BE49-F238E27FC236}">
              <a16:creationId xmlns:a16="http://schemas.microsoft.com/office/drawing/2014/main" id="{BF1393C0-1C20-4D79-89D2-DA70B4BB22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434340</xdr:colOff>
      <xdr:row>2</xdr:row>
      <xdr:rowOff>54895</xdr:rowOff>
    </xdr:to>
    <xdr:pic>
      <xdr:nvPicPr>
        <xdr:cNvPr id="2" name="Afbeelding 1">
          <a:extLst>
            <a:ext uri="{FF2B5EF4-FFF2-40B4-BE49-F238E27FC236}">
              <a16:creationId xmlns:a16="http://schemas.microsoft.com/office/drawing/2014/main" id="{F4E4E3A3-D4B3-4D5B-BAA3-0C584875D7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072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11</xdr:col>
      <xdr:colOff>0</xdr:colOff>
      <xdr:row>1</xdr:row>
      <xdr:rowOff>9525</xdr:rowOff>
    </xdr:from>
    <xdr:to>
      <xdr:col>13</xdr:col>
      <xdr:colOff>579905</xdr:colOff>
      <xdr:row>2</xdr:row>
      <xdr:rowOff>92995</xdr:rowOff>
    </xdr:to>
    <xdr:pic>
      <xdr:nvPicPr>
        <xdr:cNvPr id="2" name="Afbeelding 1">
          <a:extLst>
            <a:ext uri="{FF2B5EF4-FFF2-40B4-BE49-F238E27FC236}">
              <a16:creationId xmlns:a16="http://schemas.microsoft.com/office/drawing/2014/main" id="{B80A5612-4238-426E-A7CA-66BF9922B5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00025"/>
          <a:ext cx="1989605" cy="426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11</xdr:col>
      <xdr:colOff>0</xdr:colOff>
      <xdr:row>1</xdr:row>
      <xdr:rowOff>7620</xdr:rowOff>
    </xdr:from>
    <xdr:to>
      <xdr:col>13</xdr:col>
      <xdr:colOff>524660</xdr:colOff>
      <xdr:row>2</xdr:row>
      <xdr:rowOff>96805</xdr:rowOff>
    </xdr:to>
    <xdr:pic>
      <xdr:nvPicPr>
        <xdr:cNvPr id="2" name="Afbeelding 1">
          <a:extLst>
            <a:ext uri="{FF2B5EF4-FFF2-40B4-BE49-F238E27FC236}">
              <a16:creationId xmlns:a16="http://schemas.microsoft.com/office/drawing/2014/main" id="{451B11CA-2EEE-4A70-B61E-5F85403512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198120"/>
          <a:ext cx="2001035" cy="43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11</xdr:col>
      <xdr:colOff>0</xdr:colOff>
      <xdr:row>1</xdr:row>
      <xdr:rowOff>9525</xdr:rowOff>
    </xdr:from>
    <xdr:to>
      <xdr:col>13</xdr:col>
      <xdr:colOff>587525</xdr:colOff>
      <xdr:row>2</xdr:row>
      <xdr:rowOff>96805</xdr:rowOff>
    </xdr:to>
    <xdr:pic>
      <xdr:nvPicPr>
        <xdr:cNvPr id="2" name="Afbeelding 1">
          <a:extLst>
            <a:ext uri="{FF2B5EF4-FFF2-40B4-BE49-F238E27FC236}">
              <a16:creationId xmlns:a16="http://schemas.microsoft.com/office/drawing/2014/main" id="{EE859FD7-4FCA-4219-A35D-63950DFE60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0" y="200025"/>
          <a:ext cx="1997225" cy="430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11_XPO_NL_Sales\Klanten\TFF%20-%20in%20FO\TFF%20Joure,%20export%20tarieven%20geldig%20tm%2031-12-2025v2.xlsx" TargetMode="External"/><Relationship Id="rId1" Type="http://schemas.openxmlformats.org/officeDocument/2006/relationships/externalLinkPath" Target="/11_XPO_NL_Sales/Klanten/TFF%20-%20in%20FO/TFF%20Joure,%20export%20tarieven%20geldig%20tm%2031-12-2025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oorblad"/>
      <sheetName val="AT"/>
      <sheetName val="BE"/>
      <sheetName val="BG"/>
      <sheetName val="CH"/>
      <sheetName val="CZ"/>
      <sheetName val="CZ-27 Pavlov"/>
      <sheetName val="DE"/>
      <sheetName val="DK"/>
      <sheetName val="EE"/>
      <sheetName val="ES"/>
      <sheetName val="FI"/>
      <sheetName val="FR"/>
      <sheetName val="GB"/>
      <sheetName val="GR"/>
      <sheetName val="HR"/>
      <sheetName val="HU"/>
      <sheetName val="IT"/>
      <sheetName val="LT"/>
      <sheetName val="LV"/>
      <sheetName val="NO"/>
      <sheetName val="PL"/>
      <sheetName val="PT"/>
      <sheetName val="RO"/>
      <sheetName val="RS"/>
      <sheetName val="SE"/>
      <sheetName val="SI"/>
      <sheetName val="SK"/>
      <sheetName val="TR"/>
      <sheetName val="Algemene Voorwaarden"/>
      <sheetName val="Toeslagen en condities"/>
      <sheetName val="Contactperson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9">
          <cell r="F9">
            <v>254</v>
          </cell>
          <cell r="G9">
            <v>270</v>
          </cell>
          <cell r="H9">
            <v>270</v>
          </cell>
          <cell r="I9">
            <v>270</v>
          </cell>
          <cell r="J9">
            <v>254</v>
          </cell>
          <cell r="K9">
            <v>270</v>
          </cell>
          <cell r="L9">
            <v>270</v>
          </cell>
          <cell r="M9">
            <v>254</v>
          </cell>
          <cell r="N9">
            <v>254</v>
          </cell>
          <cell r="O9">
            <v>270</v>
          </cell>
          <cell r="P9">
            <v>293</v>
          </cell>
          <cell r="Q9">
            <v>254</v>
          </cell>
          <cell r="R9">
            <v>270</v>
          </cell>
          <cell r="S9">
            <v>270</v>
          </cell>
          <cell r="T9">
            <v>254</v>
          </cell>
          <cell r="U9">
            <v>254</v>
          </cell>
          <cell r="V9">
            <v>254</v>
          </cell>
          <cell r="W9">
            <v>254</v>
          </cell>
          <cell r="X9">
            <v>254</v>
          </cell>
          <cell r="Y9">
            <v>270</v>
          </cell>
          <cell r="Z9">
            <v>254</v>
          </cell>
          <cell r="AB9">
            <v>254</v>
          </cell>
          <cell r="AC9">
            <v>346</v>
          </cell>
          <cell r="AD9">
            <v>293</v>
          </cell>
          <cell r="AE9">
            <v>270</v>
          </cell>
          <cell r="AF9">
            <v>254</v>
          </cell>
          <cell r="AG9">
            <v>270</v>
          </cell>
          <cell r="AH9">
            <v>270</v>
          </cell>
          <cell r="AI9">
            <v>254</v>
          </cell>
          <cell r="AJ9">
            <v>254</v>
          </cell>
          <cell r="AK9">
            <v>346</v>
          </cell>
          <cell r="AL9">
            <v>254</v>
          </cell>
          <cell r="AM9">
            <v>270</v>
          </cell>
          <cell r="AN9">
            <v>346</v>
          </cell>
          <cell r="AO9">
            <v>293</v>
          </cell>
          <cell r="AP9">
            <v>346</v>
          </cell>
          <cell r="AQ9">
            <v>254</v>
          </cell>
          <cell r="AR9">
            <v>254</v>
          </cell>
          <cell r="AS9">
            <v>254</v>
          </cell>
          <cell r="AT9">
            <v>270</v>
          </cell>
          <cell r="AU9">
            <v>254</v>
          </cell>
          <cell r="AV9">
            <v>254</v>
          </cell>
          <cell r="AW9">
            <v>270</v>
          </cell>
          <cell r="AX9">
            <v>254</v>
          </cell>
          <cell r="AY9">
            <v>270</v>
          </cell>
          <cell r="AZ9">
            <v>254</v>
          </cell>
          <cell r="BA9">
            <v>254</v>
          </cell>
          <cell r="BC9">
            <v>346</v>
          </cell>
          <cell r="BD9">
            <v>254</v>
          </cell>
          <cell r="BG9">
            <v>270</v>
          </cell>
          <cell r="BH9">
            <v>270</v>
          </cell>
          <cell r="BI9">
            <v>270</v>
          </cell>
          <cell r="BJ9">
            <v>254</v>
          </cell>
          <cell r="BK9">
            <v>293</v>
          </cell>
          <cell r="BL9">
            <v>254</v>
          </cell>
          <cell r="BM9">
            <v>254</v>
          </cell>
          <cell r="BN9">
            <v>254</v>
          </cell>
          <cell r="BO9">
            <v>270</v>
          </cell>
          <cell r="BP9">
            <v>254</v>
          </cell>
          <cell r="BQ9">
            <v>254</v>
          </cell>
          <cell r="BR9">
            <v>346</v>
          </cell>
          <cell r="BS9">
            <v>254</v>
          </cell>
          <cell r="BT9">
            <v>293</v>
          </cell>
          <cell r="BU9">
            <v>254</v>
          </cell>
          <cell r="BV9">
            <v>254</v>
          </cell>
          <cell r="BW9">
            <v>270</v>
          </cell>
          <cell r="BX9">
            <v>254</v>
          </cell>
          <cell r="BY9">
            <v>254</v>
          </cell>
          <cell r="BZ9">
            <v>270</v>
          </cell>
          <cell r="CA9">
            <v>254</v>
          </cell>
          <cell r="CC9">
            <v>254</v>
          </cell>
          <cell r="CE9">
            <v>346</v>
          </cell>
          <cell r="CF9">
            <v>254</v>
          </cell>
          <cell r="CG9">
            <v>270</v>
          </cell>
          <cell r="CH9">
            <v>254</v>
          </cell>
          <cell r="CI9">
            <v>254</v>
          </cell>
          <cell r="CJ9">
            <v>254</v>
          </cell>
          <cell r="CK9">
            <v>254</v>
          </cell>
          <cell r="CL9">
            <v>293</v>
          </cell>
          <cell r="CM9">
            <v>254</v>
          </cell>
          <cell r="CN9">
            <v>254</v>
          </cell>
          <cell r="CO9">
            <v>270</v>
          </cell>
          <cell r="CP9">
            <v>254</v>
          </cell>
          <cell r="CQ9">
            <v>254</v>
          </cell>
          <cell r="CR9">
            <v>254</v>
          </cell>
          <cell r="CS9">
            <v>254</v>
          </cell>
          <cell r="CT9">
            <v>254</v>
          </cell>
          <cell r="CU9">
            <v>293</v>
          </cell>
          <cell r="CV9">
            <v>254</v>
          </cell>
          <cell r="CW9">
            <v>270</v>
          </cell>
          <cell r="CX9">
            <v>254</v>
          </cell>
          <cell r="CY9">
            <v>270</v>
          </cell>
          <cell r="CZ9">
            <v>270</v>
          </cell>
          <cell r="DA9">
            <v>293</v>
          </cell>
          <cell r="DB9">
            <v>270</v>
          </cell>
          <cell r="DC9">
            <v>254</v>
          </cell>
          <cell r="DD9">
            <v>293</v>
          </cell>
          <cell r="DF9">
            <v>270</v>
          </cell>
          <cell r="DG9">
            <v>254</v>
          </cell>
          <cell r="DH9">
            <v>254</v>
          </cell>
          <cell r="DI9">
            <v>254</v>
          </cell>
          <cell r="DJ9">
            <v>270</v>
          </cell>
          <cell r="DK9">
            <v>254</v>
          </cell>
          <cell r="DL9">
            <v>254</v>
          </cell>
          <cell r="DM9">
            <v>254</v>
          </cell>
          <cell r="DN9">
            <v>270</v>
          </cell>
          <cell r="DO9">
            <v>270</v>
          </cell>
          <cell r="DP9">
            <v>270</v>
          </cell>
          <cell r="DQ9">
            <v>270</v>
          </cell>
          <cell r="DR9">
            <v>254</v>
          </cell>
        </row>
        <row r="10">
          <cell r="F10">
            <v>267</v>
          </cell>
          <cell r="G10">
            <v>283</v>
          </cell>
          <cell r="H10">
            <v>283</v>
          </cell>
          <cell r="I10">
            <v>283</v>
          </cell>
          <cell r="J10">
            <v>267</v>
          </cell>
          <cell r="K10">
            <v>283</v>
          </cell>
          <cell r="L10">
            <v>283</v>
          </cell>
          <cell r="M10">
            <v>267</v>
          </cell>
          <cell r="N10">
            <v>267</v>
          </cell>
          <cell r="O10">
            <v>283</v>
          </cell>
          <cell r="P10">
            <v>307</v>
          </cell>
          <cell r="Q10">
            <v>267</v>
          </cell>
          <cell r="R10">
            <v>283</v>
          </cell>
          <cell r="S10">
            <v>283</v>
          </cell>
          <cell r="T10">
            <v>267</v>
          </cell>
          <cell r="U10">
            <v>267</v>
          </cell>
          <cell r="V10">
            <v>267</v>
          </cell>
          <cell r="W10">
            <v>267</v>
          </cell>
          <cell r="X10">
            <v>267</v>
          </cell>
          <cell r="Y10">
            <v>283</v>
          </cell>
          <cell r="Z10">
            <v>267</v>
          </cell>
          <cell r="AB10">
            <v>267</v>
          </cell>
          <cell r="AC10">
            <v>363</v>
          </cell>
          <cell r="AD10">
            <v>307</v>
          </cell>
          <cell r="AE10">
            <v>283</v>
          </cell>
          <cell r="AF10">
            <v>267</v>
          </cell>
          <cell r="AG10">
            <v>283</v>
          </cell>
          <cell r="AH10">
            <v>283</v>
          </cell>
          <cell r="AI10">
            <v>267</v>
          </cell>
          <cell r="AJ10">
            <v>267</v>
          </cell>
          <cell r="AK10">
            <v>363</v>
          </cell>
          <cell r="AL10">
            <v>267</v>
          </cell>
          <cell r="AM10">
            <v>283</v>
          </cell>
          <cell r="AN10">
            <v>363</v>
          </cell>
          <cell r="AO10">
            <v>307</v>
          </cell>
          <cell r="AP10">
            <v>363</v>
          </cell>
          <cell r="AQ10">
            <v>267</v>
          </cell>
          <cell r="AR10">
            <v>267</v>
          </cell>
          <cell r="AS10">
            <v>267</v>
          </cell>
          <cell r="AT10">
            <v>283</v>
          </cell>
          <cell r="AU10">
            <v>267</v>
          </cell>
          <cell r="AV10">
            <v>267</v>
          </cell>
          <cell r="AW10">
            <v>283</v>
          </cell>
          <cell r="AX10">
            <v>267</v>
          </cell>
          <cell r="AY10">
            <v>283</v>
          </cell>
          <cell r="AZ10">
            <v>267</v>
          </cell>
          <cell r="BA10">
            <v>267</v>
          </cell>
          <cell r="BC10">
            <v>363</v>
          </cell>
          <cell r="BD10">
            <v>267</v>
          </cell>
          <cell r="BG10">
            <v>283</v>
          </cell>
          <cell r="BH10">
            <v>283</v>
          </cell>
          <cell r="BI10">
            <v>283</v>
          </cell>
          <cell r="BJ10">
            <v>267</v>
          </cell>
          <cell r="BK10">
            <v>307</v>
          </cell>
          <cell r="BL10">
            <v>267</v>
          </cell>
          <cell r="BM10">
            <v>267</v>
          </cell>
          <cell r="BN10">
            <v>267</v>
          </cell>
          <cell r="BO10">
            <v>283</v>
          </cell>
          <cell r="BP10">
            <v>267</v>
          </cell>
          <cell r="BQ10">
            <v>267</v>
          </cell>
          <cell r="BR10">
            <v>363</v>
          </cell>
          <cell r="BS10">
            <v>267</v>
          </cell>
          <cell r="BT10">
            <v>307</v>
          </cell>
          <cell r="BU10">
            <v>267</v>
          </cell>
          <cell r="BV10">
            <v>267</v>
          </cell>
          <cell r="BW10">
            <v>283</v>
          </cell>
          <cell r="BX10">
            <v>267</v>
          </cell>
          <cell r="BY10">
            <v>267</v>
          </cell>
          <cell r="BZ10">
            <v>283</v>
          </cell>
          <cell r="CA10">
            <v>267</v>
          </cell>
          <cell r="CC10">
            <v>267</v>
          </cell>
          <cell r="CE10">
            <v>363</v>
          </cell>
          <cell r="CF10">
            <v>267</v>
          </cell>
          <cell r="CG10">
            <v>283</v>
          </cell>
          <cell r="CH10">
            <v>267</v>
          </cell>
          <cell r="CI10">
            <v>267</v>
          </cell>
          <cell r="CJ10">
            <v>267</v>
          </cell>
          <cell r="CK10">
            <v>267</v>
          </cell>
          <cell r="CL10">
            <v>307</v>
          </cell>
          <cell r="CM10">
            <v>267</v>
          </cell>
          <cell r="CN10">
            <v>267</v>
          </cell>
          <cell r="CO10">
            <v>283</v>
          </cell>
          <cell r="CP10">
            <v>267</v>
          </cell>
          <cell r="CQ10">
            <v>267</v>
          </cell>
          <cell r="CR10">
            <v>267</v>
          </cell>
          <cell r="CS10">
            <v>267</v>
          </cell>
          <cell r="CT10">
            <v>267</v>
          </cell>
          <cell r="CU10">
            <v>307</v>
          </cell>
          <cell r="CV10">
            <v>267</v>
          </cell>
          <cell r="CW10">
            <v>283</v>
          </cell>
          <cell r="CX10">
            <v>267</v>
          </cell>
          <cell r="CY10">
            <v>283</v>
          </cell>
          <cell r="CZ10">
            <v>283</v>
          </cell>
          <cell r="DA10">
            <v>307</v>
          </cell>
          <cell r="DB10">
            <v>283</v>
          </cell>
          <cell r="DC10">
            <v>267</v>
          </cell>
          <cell r="DD10">
            <v>307</v>
          </cell>
          <cell r="DF10">
            <v>283</v>
          </cell>
          <cell r="DG10">
            <v>267</v>
          </cell>
          <cell r="DH10">
            <v>267</v>
          </cell>
          <cell r="DI10">
            <v>267</v>
          </cell>
          <cell r="DJ10">
            <v>283</v>
          </cell>
          <cell r="DK10">
            <v>267</v>
          </cell>
          <cell r="DL10">
            <v>267</v>
          </cell>
          <cell r="DM10">
            <v>267</v>
          </cell>
          <cell r="DN10">
            <v>283</v>
          </cell>
          <cell r="DO10">
            <v>283</v>
          </cell>
          <cell r="DP10">
            <v>283</v>
          </cell>
          <cell r="DQ10">
            <v>283</v>
          </cell>
          <cell r="DR10">
            <v>267</v>
          </cell>
        </row>
        <row r="11">
          <cell r="F11">
            <v>278</v>
          </cell>
          <cell r="G11">
            <v>300</v>
          </cell>
          <cell r="H11">
            <v>300</v>
          </cell>
          <cell r="I11">
            <v>300</v>
          </cell>
          <cell r="J11">
            <v>279</v>
          </cell>
          <cell r="K11">
            <v>300</v>
          </cell>
          <cell r="L11">
            <v>300</v>
          </cell>
          <cell r="M11">
            <v>279</v>
          </cell>
          <cell r="N11">
            <v>278</v>
          </cell>
          <cell r="O11">
            <v>300</v>
          </cell>
          <cell r="P11">
            <v>322</v>
          </cell>
          <cell r="Q11">
            <v>278</v>
          </cell>
          <cell r="R11">
            <v>300</v>
          </cell>
          <cell r="S11">
            <v>300</v>
          </cell>
          <cell r="T11">
            <v>278</v>
          </cell>
          <cell r="U11">
            <v>278</v>
          </cell>
          <cell r="V11">
            <v>278</v>
          </cell>
          <cell r="W11">
            <v>279</v>
          </cell>
          <cell r="X11">
            <v>279</v>
          </cell>
          <cell r="Y11">
            <v>300</v>
          </cell>
          <cell r="Z11">
            <v>278</v>
          </cell>
          <cell r="AB11">
            <v>279</v>
          </cell>
          <cell r="AC11">
            <v>386</v>
          </cell>
          <cell r="AD11">
            <v>322</v>
          </cell>
          <cell r="AE11">
            <v>300</v>
          </cell>
          <cell r="AF11">
            <v>279</v>
          </cell>
          <cell r="AG11">
            <v>300</v>
          </cell>
          <cell r="AH11">
            <v>300</v>
          </cell>
          <cell r="AI11">
            <v>278</v>
          </cell>
          <cell r="AJ11">
            <v>278</v>
          </cell>
          <cell r="AK11">
            <v>386</v>
          </cell>
          <cell r="AL11">
            <v>278</v>
          </cell>
          <cell r="AM11">
            <v>300</v>
          </cell>
          <cell r="AN11">
            <v>386</v>
          </cell>
          <cell r="AO11">
            <v>322</v>
          </cell>
          <cell r="AP11">
            <v>386</v>
          </cell>
          <cell r="AQ11">
            <v>279</v>
          </cell>
          <cell r="AR11">
            <v>278</v>
          </cell>
          <cell r="AS11">
            <v>278</v>
          </cell>
          <cell r="AT11">
            <v>300</v>
          </cell>
          <cell r="AU11">
            <v>279</v>
          </cell>
          <cell r="AV11">
            <v>278</v>
          </cell>
          <cell r="AW11">
            <v>300</v>
          </cell>
          <cell r="AX11">
            <v>279</v>
          </cell>
          <cell r="AY11">
            <v>300</v>
          </cell>
          <cell r="AZ11">
            <v>278</v>
          </cell>
          <cell r="BA11">
            <v>278</v>
          </cell>
          <cell r="BC11">
            <v>386</v>
          </cell>
          <cell r="BD11">
            <v>278</v>
          </cell>
          <cell r="BG11">
            <v>300</v>
          </cell>
          <cell r="BH11">
            <v>300</v>
          </cell>
          <cell r="BI11">
            <v>300</v>
          </cell>
          <cell r="BJ11">
            <v>279</v>
          </cell>
          <cell r="BK11">
            <v>322</v>
          </cell>
          <cell r="BL11">
            <v>279</v>
          </cell>
          <cell r="BM11">
            <v>279</v>
          </cell>
          <cell r="BN11">
            <v>278</v>
          </cell>
          <cell r="BO11">
            <v>300</v>
          </cell>
          <cell r="BP11">
            <v>278</v>
          </cell>
          <cell r="BQ11">
            <v>279</v>
          </cell>
          <cell r="BR11">
            <v>386</v>
          </cell>
          <cell r="BS11">
            <v>278</v>
          </cell>
          <cell r="BT11">
            <v>322</v>
          </cell>
          <cell r="BU11">
            <v>279</v>
          </cell>
          <cell r="BV11">
            <v>279</v>
          </cell>
          <cell r="BW11">
            <v>300</v>
          </cell>
          <cell r="BX11">
            <v>279</v>
          </cell>
          <cell r="BY11">
            <v>278</v>
          </cell>
          <cell r="BZ11">
            <v>300</v>
          </cell>
          <cell r="CA11">
            <v>279</v>
          </cell>
          <cell r="CC11">
            <v>279</v>
          </cell>
          <cell r="CE11">
            <v>386</v>
          </cell>
          <cell r="CF11">
            <v>279</v>
          </cell>
          <cell r="CG11">
            <v>300</v>
          </cell>
          <cell r="CH11">
            <v>279</v>
          </cell>
          <cell r="CI11">
            <v>278</v>
          </cell>
          <cell r="CJ11">
            <v>278</v>
          </cell>
          <cell r="CK11">
            <v>279</v>
          </cell>
          <cell r="CL11">
            <v>322</v>
          </cell>
          <cell r="CM11">
            <v>278</v>
          </cell>
          <cell r="CN11">
            <v>278</v>
          </cell>
          <cell r="CO11">
            <v>300</v>
          </cell>
          <cell r="CP11">
            <v>278</v>
          </cell>
          <cell r="CQ11">
            <v>278</v>
          </cell>
          <cell r="CR11">
            <v>279</v>
          </cell>
          <cell r="CS11">
            <v>279</v>
          </cell>
          <cell r="CT11">
            <v>279</v>
          </cell>
          <cell r="CU11">
            <v>322</v>
          </cell>
          <cell r="CV11">
            <v>278</v>
          </cell>
          <cell r="CW11">
            <v>300</v>
          </cell>
          <cell r="CX11">
            <v>278</v>
          </cell>
          <cell r="CY11">
            <v>300</v>
          </cell>
          <cell r="CZ11">
            <v>300</v>
          </cell>
          <cell r="DA11">
            <v>322</v>
          </cell>
          <cell r="DB11">
            <v>300</v>
          </cell>
          <cell r="DC11">
            <v>279</v>
          </cell>
          <cell r="DD11">
            <v>322</v>
          </cell>
          <cell r="DF11">
            <v>300</v>
          </cell>
          <cell r="DG11">
            <v>278</v>
          </cell>
          <cell r="DH11">
            <v>278</v>
          </cell>
          <cell r="DI11">
            <v>278</v>
          </cell>
          <cell r="DJ11">
            <v>300</v>
          </cell>
          <cell r="DK11">
            <v>278</v>
          </cell>
          <cell r="DL11">
            <v>278</v>
          </cell>
          <cell r="DM11">
            <v>279</v>
          </cell>
          <cell r="DN11">
            <v>300</v>
          </cell>
          <cell r="DO11">
            <v>300</v>
          </cell>
          <cell r="DP11">
            <v>300</v>
          </cell>
          <cell r="DQ11">
            <v>300</v>
          </cell>
          <cell r="DR11">
            <v>279</v>
          </cell>
        </row>
        <row r="12">
          <cell r="F12">
            <v>289</v>
          </cell>
          <cell r="G12">
            <v>312</v>
          </cell>
          <cell r="H12">
            <v>312</v>
          </cell>
          <cell r="I12">
            <v>312</v>
          </cell>
          <cell r="J12">
            <v>291</v>
          </cell>
          <cell r="K12">
            <v>312</v>
          </cell>
          <cell r="L12">
            <v>312</v>
          </cell>
          <cell r="M12">
            <v>291</v>
          </cell>
          <cell r="N12">
            <v>289</v>
          </cell>
          <cell r="O12">
            <v>312</v>
          </cell>
          <cell r="P12">
            <v>337</v>
          </cell>
          <cell r="Q12">
            <v>289</v>
          </cell>
          <cell r="R12">
            <v>312</v>
          </cell>
          <cell r="S12">
            <v>312</v>
          </cell>
          <cell r="T12">
            <v>289</v>
          </cell>
          <cell r="U12">
            <v>289</v>
          </cell>
          <cell r="V12">
            <v>289</v>
          </cell>
          <cell r="W12">
            <v>291</v>
          </cell>
          <cell r="X12">
            <v>291</v>
          </cell>
          <cell r="Y12">
            <v>312</v>
          </cell>
          <cell r="Z12">
            <v>289</v>
          </cell>
          <cell r="AB12">
            <v>291</v>
          </cell>
          <cell r="AC12">
            <v>408</v>
          </cell>
          <cell r="AD12">
            <v>337</v>
          </cell>
          <cell r="AE12">
            <v>312</v>
          </cell>
          <cell r="AF12">
            <v>291</v>
          </cell>
          <cell r="AG12">
            <v>312</v>
          </cell>
          <cell r="AH12">
            <v>312</v>
          </cell>
          <cell r="AI12">
            <v>289</v>
          </cell>
          <cell r="AJ12">
            <v>289</v>
          </cell>
          <cell r="AK12">
            <v>408</v>
          </cell>
          <cell r="AL12">
            <v>289</v>
          </cell>
          <cell r="AM12">
            <v>312</v>
          </cell>
          <cell r="AN12">
            <v>408</v>
          </cell>
          <cell r="AO12">
            <v>337</v>
          </cell>
          <cell r="AP12">
            <v>408</v>
          </cell>
          <cell r="AQ12">
            <v>291</v>
          </cell>
          <cell r="AR12">
            <v>289</v>
          </cell>
          <cell r="AS12">
            <v>289</v>
          </cell>
          <cell r="AT12">
            <v>312</v>
          </cell>
          <cell r="AU12">
            <v>291</v>
          </cell>
          <cell r="AV12">
            <v>289</v>
          </cell>
          <cell r="AW12">
            <v>312</v>
          </cell>
          <cell r="AX12">
            <v>291</v>
          </cell>
          <cell r="AY12">
            <v>312</v>
          </cell>
          <cell r="AZ12">
            <v>289</v>
          </cell>
          <cell r="BA12">
            <v>289</v>
          </cell>
          <cell r="BC12">
            <v>408</v>
          </cell>
          <cell r="BD12">
            <v>289</v>
          </cell>
          <cell r="BG12">
            <v>312</v>
          </cell>
          <cell r="BH12">
            <v>312</v>
          </cell>
          <cell r="BI12">
            <v>312</v>
          </cell>
          <cell r="BJ12">
            <v>291</v>
          </cell>
          <cell r="BK12">
            <v>337</v>
          </cell>
          <cell r="BL12">
            <v>291</v>
          </cell>
          <cell r="BM12">
            <v>291</v>
          </cell>
          <cell r="BN12">
            <v>289</v>
          </cell>
          <cell r="BO12">
            <v>312</v>
          </cell>
          <cell r="BP12">
            <v>289</v>
          </cell>
          <cell r="BQ12">
            <v>291</v>
          </cell>
          <cell r="BR12">
            <v>408</v>
          </cell>
          <cell r="BS12">
            <v>289</v>
          </cell>
          <cell r="BT12">
            <v>337</v>
          </cell>
          <cell r="BU12">
            <v>291</v>
          </cell>
          <cell r="BV12">
            <v>291</v>
          </cell>
          <cell r="BW12">
            <v>312</v>
          </cell>
          <cell r="BX12">
            <v>291</v>
          </cell>
          <cell r="BY12">
            <v>289</v>
          </cell>
          <cell r="BZ12">
            <v>312</v>
          </cell>
          <cell r="CA12">
            <v>291</v>
          </cell>
          <cell r="CC12">
            <v>291</v>
          </cell>
          <cell r="CE12">
            <v>408</v>
          </cell>
          <cell r="CF12">
            <v>291</v>
          </cell>
          <cell r="CG12">
            <v>312</v>
          </cell>
          <cell r="CH12">
            <v>291</v>
          </cell>
          <cell r="CI12">
            <v>289</v>
          </cell>
          <cell r="CJ12">
            <v>289</v>
          </cell>
          <cell r="CK12">
            <v>291</v>
          </cell>
          <cell r="CL12">
            <v>337</v>
          </cell>
          <cell r="CM12">
            <v>289</v>
          </cell>
          <cell r="CN12">
            <v>289</v>
          </cell>
          <cell r="CO12">
            <v>312</v>
          </cell>
          <cell r="CP12">
            <v>289</v>
          </cell>
          <cell r="CQ12">
            <v>289</v>
          </cell>
          <cell r="CR12">
            <v>291</v>
          </cell>
          <cell r="CS12">
            <v>291</v>
          </cell>
          <cell r="CT12">
            <v>291</v>
          </cell>
          <cell r="CU12">
            <v>337</v>
          </cell>
          <cell r="CV12">
            <v>289</v>
          </cell>
          <cell r="CW12">
            <v>312</v>
          </cell>
          <cell r="CX12">
            <v>289</v>
          </cell>
          <cell r="CY12">
            <v>312</v>
          </cell>
          <cell r="CZ12">
            <v>312</v>
          </cell>
          <cell r="DA12">
            <v>337</v>
          </cell>
          <cell r="DB12">
            <v>312</v>
          </cell>
          <cell r="DC12">
            <v>291</v>
          </cell>
          <cell r="DD12">
            <v>337</v>
          </cell>
          <cell r="DF12">
            <v>312</v>
          </cell>
          <cell r="DG12">
            <v>289</v>
          </cell>
          <cell r="DH12">
            <v>289</v>
          </cell>
          <cell r="DI12">
            <v>289</v>
          </cell>
          <cell r="DJ12">
            <v>312</v>
          </cell>
          <cell r="DK12">
            <v>289</v>
          </cell>
          <cell r="DL12">
            <v>289</v>
          </cell>
          <cell r="DM12">
            <v>291</v>
          </cell>
          <cell r="DN12">
            <v>312</v>
          </cell>
          <cell r="DO12">
            <v>312</v>
          </cell>
          <cell r="DP12">
            <v>312</v>
          </cell>
          <cell r="DQ12">
            <v>312</v>
          </cell>
          <cell r="DR12">
            <v>291</v>
          </cell>
        </row>
        <row r="13">
          <cell r="F13">
            <v>310</v>
          </cell>
          <cell r="G13">
            <v>349</v>
          </cell>
          <cell r="H13">
            <v>349</v>
          </cell>
          <cell r="I13">
            <v>349</v>
          </cell>
          <cell r="J13">
            <v>314</v>
          </cell>
          <cell r="K13">
            <v>349</v>
          </cell>
          <cell r="L13">
            <v>349</v>
          </cell>
          <cell r="M13">
            <v>314</v>
          </cell>
          <cell r="N13">
            <v>310</v>
          </cell>
          <cell r="O13">
            <v>349</v>
          </cell>
          <cell r="P13">
            <v>365</v>
          </cell>
          <cell r="Q13">
            <v>310</v>
          </cell>
          <cell r="R13">
            <v>349</v>
          </cell>
          <cell r="S13">
            <v>349</v>
          </cell>
          <cell r="T13">
            <v>310</v>
          </cell>
          <cell r="U13">
            <v>310</v>
          </cell>
          <cell r="V13">
            <v>310</v>
          </cell>
          <cell r="W13">
            <v>314</v>
          </cell>
          <cell r="X13">
            <v>314</v>
          </cell>
          <cell r="Y13">
            <v>349</v>
          </cell>
          <cell r="Z13">
            <v>310</v>
          </cell>
          <cell r="AB13">
            <v>314</v>
          </cell>
          <cell r="AC13">
            <v>453</v>
          </cell>
          <cell r="AD13">
            <v>365</v>
          </cell>
          <cell r="AE13">
            <v>349</v>
          </cell>
          <cell r="AF13">
            <v>314</v>
          </cell>
          <cell r="AG13">
            <v>349</v>
          </cell>
          <cell r="AH13">
            <v>349</v>
          </cell>
          <cell r="AI13">
            <v>310</v>
          </cell>
          <cell r="AJ13">
            <v>310</v>
          </cell>
          <cell r="AK13">
            <v>453</v>
          </cell>
          <cell r="AL13">
            <v>310</v>
          </cell>
          <cell r="AM13">
            <v>349</v>
          </cell>
          <cell r="AN13">
            <v>453</v>
          </cell>
          <cell r="AO13">
            <v>365</v>
          </cell>
          <cell r="AP13">
            <v>453</v>
          </cell>
          <cell r="AQ13">
            <v>314</v>
          </cell>
          <cell r="AR13">
            <v>310</v>
          </cell>
          <cell r="AS13">
            <v>310</v>
          </cell>
          <cell r="AT13">
            <v>349</v>
          </cell>
          <cell r="AU13">
            <v>314</v>
          </cell>
          <cell r="AV13">
            <v>310</v>
          </cell>
          <cell r="AW13">
            <v>349</v>
          </cell>
          <cell r="AX13">
            <v>314</v>
          </cell>
          <cell r="AY13">
            <v>349</v>
          </cell>
          <cell r="AZ13">
            <v>310</v>
          </cell>
          <cell r="BA13">
            <v>310</v>
          </cell>
          <cell r="BC13">
            <v>453</v>
          </cell>
          <cell r="BD13">
            <v>310</v>
          </cell>
          <cell r="BG13">
            <v>349</v>
          </cell>
          <cell r="BH13">
            <v>349</v>
          </cell>
          <cell r="BI13">
            <v>349</v>
          </cell>
          <cell r="BJ13">
            <v>314</v>
          </cell>
          <cell r="BK13">
            <v>365</v>
          </cell>
          <cell r="BL13">
            <v>314</v>
          </cell>
          <cell r="BM13">
            <v>314</v>
          </cell>
          <cell r="BN13">
            <v>310</v>
          </cell>
          <cell r="BO13">
            <v>349</v>
          </cell>
          <cell r="BP13">
            <v>310</v>
          </cell>
          <cell r="BQ13">
            <v>314</v>
          </cell>
          <cell r="BR13">
            <v>453</v>
          </cell>
          <cell r="BS13">
            <v>310</v>
          </cell>
          <cell r="BT13">
            <v>365</v>
          </cell>
          <cell r="BU13">
            <v>314</v>
          </cell>
          <cell r="BV13">
            <v>314</v>
          </cell>
          <cell r="BW13">
            <v>349</v>
          </cell>
          <cell r="BX13">
            <v>314</v>
          </cell>
          <cell r="BY13">
            <v>310</v>
          </cell>
          <cell r="BZ13">
            <v>349</v>
          </cell>
          <cell r="CA13">
            <v>314</v>
          </cell>
          <cell r="CC13">
            <v>314</v>
          </cell>
          <cell r="CE13">
            <v>453</v>
          </cell>
          <cell r="CF13">
            <v>314</v>
          </cell>
          <cell r="CG13">
            <v>349</v>
          </cell>
          <cell r="CH13">
            <v>314</v>
          </cell>
          <cell r="CI13">
            <v>310</v>
          </cell>
          <cell r="CJ13">
            <v>310</v>
          </cell>
          <cell r="CK13">
            <v>314</v>
          </cell>
          <cell r="CL13">
            <v>365</v>
          </cell>
          <cell r="CM13">
            <v>310</v>
          </cell>
          <cell r="CN13">
            <v>310</v>
          </cell>
          <cell r="CO13">
            <v>349</v>
          </cell>
          <cell r="CP13">
            <v>310</v>
          </cell>
          <cell r="CQ13">
            <v>310</v>
          </cell>
          <cell r="CR13">
            <v>314</v>
          </cell>
          <cell r="CS13">
            <v>314</v>
          </cell>
          <cell r="CT13">
            <v>314</v>
          </cell>
          <cell r="CU13">
            <v>365</v>
          </cell>
          <cell r="CV13">
            <v>310</v>
          </cell>
          <cell r="CW13">
            <v>349</v>
          </cell>
          <cell r="CX13">
            <v>310</v>
          </cell>
          <cell r="CY13">
            <v>349</v>
          </cell>
          <cell r="CZ13">
            <v>349</v>
          </cell>
          <cell r="DA13">
            <v>365</v>
          </cell>
          <cell r="DB13">
            <v>349</v>
          </cell>
          <cell r="DC13">
            <v>314</v>
          </cell>
          <cell r="DD13">
            <v>365</v>
          </cell>
          <cell r="DF13">
            <v>349</v>
          </cell>
          <cell r="DG13">
            <v>310</v>
          </cell>
          <cell r="DH13">
            <v>310</v>
          </cell>
          <cell r="DI13">
            <v>310</v>
          </cell>
          <cell r="DJ13">
            <v>349</v>
          </cell>
          <cell r="DK13">
            <v>310</v>
          </cell>
          <cell r="DL13">
            <v>310</v>
          </cell>
          <cell r="DM13">
            <v>314</v>
          </cell>
          <cell r="DN13">
            <v>349</v>
          </cell>
          <cell r="DO13">
            <v>349</v>
          </cell>
          <cell r="DP13">
            <v>349</v>
          </cell>
          <cell r="DQ13">
            <v>349</v>
          </cell>
          <cell r="DR13">
            <v>314</v>
          </cell>
        </row>
        <row r="14">
          <cell r="F14">
            <v>344</v>
          </cell>
          <cell r="G14">
            <v>372</v>
          </cell>
          <cell r="H14">
            <v>372</v>
          </cell>
          <cell r="I14">
            <v>372</v>
          </cell>
          <cell r="J14">
            <v>349</v>
          </cell>
          <cell r="K14">
            <v>372</v>
          </cell>
          <cell r="L14">
            <v>372</v>
          </cell>
          <cell r="M14">
            <v>349</v>
          </cell>
          <cell r="N14">
            <v>344</v>
          </cell>
          <cell r="O14">
            <v>372</v>
          </cell>
          <cell r="P14">
            <v>406</v>
          </cell>
          <cell r="Q14">
            <v>344</v>
          </cell>
          <cell r="R14">
            <v>372</v>
          </cell>
          <cell r="S14">
            <v>372</v>
          </cell>
          <cell r="T14">
            <v>344</v>
          </cell>
          <cell r="U14">
            <v>344</v>
          </cell>
          <cell r="V14">
            <v>344</v>
          </cell>
          <cell r="W14">
            <v>349</v>
          </cell>
          <cell r="X14">
            <v>349</v>
          </cell>
          <cell r="Y14">
            <v>372</v>
          </cell>
          <cell r="Z14">
            <v>344</v>
          </cell>
          <cell r="AB14">
            <v>349</v>
          </cell>
          <cell r="AC14">
            <v>483</v>
          </cell>
          <cell r="AD14">
            <v>406</v>
          </cell>
          <cell r="AE14">
            <v>372</v>
          </cell>
          <cell r="AF14">
            <v>349</v>
          </cell>
          <cell r="AG14">
            <v>372</v>
          </cell>
          <cell r="AH14">
            <v>372</v>
          </cell>
          <cell r="AI14">
            <v>344</v>
          </cell>
          <cell r="AJ14">
            <v>344</v>
          </cell>
          <cell r="AK14">
            <v>483</v>
          </cell>
          <cell r="AL14">
            <v>344</v>
          </cell>
          <cell r="AM14">
            <v>372</v>
          </cell>
          <cell r="AN14">
            <v>483</v>
          </cell>
          <cell r="AO14">
            <v>406</v>
          </cell>
          <cell r="AP14">
            <v>483</v>
          </cell>
          <cell r="AQ14">
            <v>349</v>
          </cell>
          <cell r="AR14">
            <v>344</v>
          </cell>
          <cell r="AS14">
            <v>344</v>
          </cell>
          <cell r="AT14">
            <v>372</v>
          </cell>
          <cell r="AU14">
            <v>349</v>
          </cell>
          <cell r="AV14">
            <v>344</v>
          </cell>
          <cell r="AW14">
            <v>372</v>
          </cell>
          <cell r="AX14">
            <v>349</v>
          </cell>
          <cell r="AY14">
            <v>372</v>
          </cell>
          <cell r="AZ14">
            <v>344</v>
          </cell>
          <cell r="BA14">
            <v>344</v>
          </cell>
          <cell r="BC14">
            <v>483</v>
          </cell>
          <cell r="BD14">
            <v>344</v>
          </cell>
          <cell r="BG14">
            <v>372</v>
          </cell>
          <cell r="BH14">
            <v>372</v>
          </cell>
          <cell r="BI14">
            <v>372</v>
          </cell>
          <cell r="BJ14">
            <v>349</v>
          </cell>
          <cell r="BK14">
            <v>406</v>
          </cell>
          <cell r="BL14">
            <v>349</v>
          </cell>
          <cell r="BM14">
            <v>349</v>
          </cell>
          <cell r="BN14">
            <v>344</v>
          </cell>
          <cell r="BO14">
            <v>372</v>
          </cell>
          <cell r="BP14">
            <v>344</v>
          </cell>
          <cell r="BQ14">
            <v>349</v>
          </cell>
          <cell r="BR14">
            <v>483</v>
          </cell>
          <cell r="BS14">
            <v>344</v>
          </cell>
          <cell r="BT14">
            <v>406</v>
          </cell>
          <cell r="BU14">
            <v>349</v>
          </cell>
          <cell r="BV14">
            <v>349</v>
          </cell>
          <cell r="BW14">
            <v>372</v>
          </cell>
          <cell r="BX14">
            <v>349</v>
          </cell>
          <cell r="BY14">
            <v>344</v>
          </cell>
          <cell r="BZ14">
            <v>372</v>
          </cell>
          <cell r="CA14">
            <v>349</v>
          </cell>
          <cell r="CC14">
            <v>349</v>
          </cell>
          <cell r="CE14">
            <v>483</v>
          </cell>
          <cell r="CF14">
            <v>349</v>
          </cell>
          <cell r="CG14">
            <v>372</v>
          </cell>
          <cell r="CH14">
            <v>349</v>
          </cell>
          <cell r="CI14">
            <v>344</v>
          </cell>
          <cell r="CJ14">
            <v>344</v>
          </cell>
          <cell r="CK14">
            <v>349</v>
          </cell>
          <cell r="CL14">
            <v>406</v>
          </cell>
          <cell r="CM14">
            <v>344</v>
          </cell>
          <cell r="CN14">
            <v>344</v>
          </cell>
          <cell r="CO14">
            <v>372</v>
          </cell>
          <cell r="CP14">
            <v>344</v>
          </cell>
          <cell r="CQ14">
            <v>344</v>
          </cell>
          <cell r="CR14">
            <v>349</v>
          </cell>
          <cell r="CS14">
            <v>349</v>
          </cell>
          <cell r="CT14">
            <v>349</v>
          </cell>
          <cell r="CU14">
            <v>406</v>
          </cell>
          <cell r="CV14">
            <v>344</v>
          </cell>
          <cell r="CW14">
            <v>372</v>
          </cell>
          <cell r="CX14">
            <v>344</v>
          </cell>
          <cell r="CY14">
            <v>372</v>
          </cell>
          <cell r="CZ14">
            <v>372</v>
          </cell>
          <cell r="DA14">
            <v>406</v>
          </cell>
          <cell r="DB14">
            <v>372</v>
          </cell>
          <cell r="DC14">
            <v>349</v>
          </cell>
          <cell r="DD14">
            <v>406</v>
          </cell>
          <cell r="DF14">
            <v>372</v>
          </cell>
          <cell r="DG14">
            <v>344</v>
          </cell>
          <cell r="DH14">
            <v>344</v>
          </cell>
          <cell r="DI14">
            <v>344</v>
          </cell>
          <cell r="DJ14">
            <v>372</v>
          </cell>
          <cell r="DK14">
            <v>344</v>
          </cell>
          <cell r="DL14">
            <v>344</v>
          </cell>
          <cell r="DM14">
            <v>349</v>
          </cell>
          <cell r="DN14">
            <v>372</v>
          </cell>
          <cell r="DO14">
            <v>372</v>
          </cell>
          <cell r="DP14">
            <v>372</v>
          </cell>
          <cell r="DQ14">
            <v>372</v>
          </cell>
          <cell r="DR14">
            <v>349</v>
          </cell>
        </row>
        <row r="15">
          <cell r="F15">
            <v>383</v>
          </cell>
          <cell r="G15">
            <v>415</v>
          </cell>
          <cell r="H15">
            <v>415</v>
          </cell>
          <cell r="I15">
            <v>415</v>
          </cell>
          <cell r="J15">
            <v>388</v>
          </cell>
          <cell r="K15">
            <v>415</v>
          </cell>
          <cell r="L15">
            <v>415</v>
          </cell>
          <cell r="M15">
            <v>388</v>
          </cell>
          <cell r="N15">
            <v>383</v>
          </cell>
          <cell r="O15">
            <v>415</v>
          </cell>
          <cell r="P15">
            <v>456</v>
          </cell>
          <cell r="Q15">
            <v>383</v>
          </cell>
          <cell r="R15">
            <v>415</v>
          </cell>
          <cell r="S15">
            <v>415</v>
          </cell>
          <cell r="T15">
            <v>383</v>
          </cell>
          <cell r="U15">
            <v>383</v>
          </cell>
          <cell r="V15">
            <v>383</v>
          </cell>
          <cell r="W15">
            <v>388</v>
          </cell>
          <cell r="X15">
            <v>388</v>
          </cell>
          <cell r="Y15">
            <v>415</v>
          </cell>
          <cell r="Z15">
            <v>383</v>
          </cell>
          <cell r="AB15">
            <v>388</v>
          </cell>
          <cell r="AC15">
            <v>543</v>
          </cell>
          <cell r="AD15">
            <v>456</v>
          </cell>
          <cell r="AE15">
            <v>415</v>
          </cell>
          <cell r="AF15">
            <v>388</v>
          </cell>
          <cell r="AG15">
            <v>415</v>
          </cell>
          <cell r="AH15">
            <v>415</v>
          </cell>
          <cell r="AI15">
            <v>383</v>
          </cell>
          <cell r="AJ15">
            <v>383</v>
          </cell>
          <cell r="AK15">
            <v>543</v>
          </cell>
          <cell r="AL15">
            <v>383</v>
          </cell>
          <cell r="AM15">
            <v>415</v>
          </cell>
          <cell r="AN15">
            <v>543</v>
          </cell>
          <cell r="AO15">
            <v>456</v>
          </cell>
          <cell r="AP15">
            <v>543</v>
          </cell>
          <cell r="AQ15">
            <v>388</v>
          </cell>
          <cell r="AR15">
            <v>383</v>
          </cell>
          <cell r="AS15">
            <v>383</v>
          </cell>
          <cell r="AT15">
            <v>415</v>
          </cell>
          <cell r="AU15">
            <v>388</v>
          </cell>
          <cell r="AV15">
            <v>383</v>
          </cell>
          <cell r="AW15">
            <v>415</v>
          </cell>
          <cell r="AX15">
            <v>388</v>
          </cell>
          <cell r="AY15">
            <v>415</v>
          </cell>
          <cell r="AZ15">
            <v>383</v>
          </cell>
          <cell r="BA15">
            <v>383</v>
          </cell>
          <cell r="BC15">
            <v>543</v>
          </cell>
          <cell r="BD15">
            <v>383</v>
          </cell>
          <cell r="BG15">
            <v>415</v>
          </cell>
          <cell r="BH15">
            <v>415</v>
          </cell>
          <cell r="BI15">
            <v>415</v>
          </cell>
          <cell r="BJ15">
            <v>388</v>
          </cell>
          <cell r="BK15">
            <v>456</v>
          </cell>
          <cell r="BL15">
            <v>388</v>
          </cell>
          <cell r="BM15">
            <v>388</v>
          </cell>
          <cell r="BN15">
            <v>383</v>
          </cell>
          <cell r="BO15">
            <v>415</v>
          </cell>
          <cell r="BP15">
            <v>383</v>
          </cell>
          <cell r="BQ15">
            <v>388</v>
          </cell>
          <cell r="BR15">
            <v>543</v>
          </cell>
          <cell r="BS15">
            <v>383</v>
          </cell>
          <cell r="BT15">
            <v>456</v>
          </cell>
          <cell r="BU15">
            <v>388</v>
          </cell>
          <cell r="BV15">
            <v>388</v>
          </cell>
          <cell r="BW15">
            <v>415</v>
          </cell>
          <cell r="BX15">
            <v>388</v>
          </cell>
          <cell r="BY15">
            <v>383</v>
          </cell>
          <cell r="BZ15">
            <v>415</v>
          </cell>
          <cell r="CA15">
            <v>388</v>
          </cell>
          <cell r="CC15">
            <v>388</v>
          </cell>
          <cell r="CE15">
            <v>543</v>
          </cell>
          <cell r="CF15">
            <v>388</v>
          </cell>
          <cell r="CG15">
            <v>415</v>
          </cell>
          <cell r="CH15">
            <v>388</v>
          </cell>
          <cell r="CI15">
            <v>383</v>
          </cell>
          <cell r="CJ15">
            <v>383</v>
          </cell>
          <cell r="CK15">
            <v>388</v>
          </cell>
          <cell r="CL15">
            <v>456</v>
          </cell>
          <cell r="CM15">
            <v>383</v>
          </cell>
          <cell r="CN15">
            <v>383</v>
          </cell>
          <cell r="CO15">
            <v>415</v>
          </cell>
          <cell r="CP15">
            <v>383</v>
          </cell>
          <cell r="CQ15">
            <v>383</v>
          </cell>
          <cell r="CR15">
            <v>388</v>
          </cell>
          <cell r="CS15">
            <v>388</v>
          </cell>
          <cell r="CT15">
            <v>388</v>
          </cell>
          <cell r="CU15">
            <v>456</v>
          </cell>
          <cell r="CV15">
            <v>383</v>
          </cell>
          <cell r="CW15">
            <v>415</v>
          </cell>
          <cell r="CX15">
            <v>383</v>
          </cell>
          <cell r="CY15">
            <v>415</v>
          </cell>
          <cell r="CZ15">
            <v>415</v>
          </cell>
          <cell r="DA15">
            <v>456</v>
          </cell>
          <cell r="DB15">
            <v>415</v>
          </cell>
          <cell r="DC15">
            <v>388</v>
          </cell>
          <cell r="DD15">
            <v>456</v>
          </cell>
          <cell r="DF15">
            <v>415</v>
          </cell>
          <cell r="DG15">
            <v>383</v>
          </cell>
          <cell r="DH15">
            <v>383</v>
          </cell>
          <cell r="DI15">
            <v>383</v>
          </cell>
          <cell r="DJ15">
            <v>415</v>
          </cell>
          <cell r="DK15">
            <v>383</v>
          </cell>
          <cell r="DL15">
            <v>383</v>
          </cell>
          <cell r="DM15">
            <v>388</v>
          </cell>
          <cell r="DN15">
            <v>415</v>
          </cell>
          <cell r="DO15">
            <v>415</v>
          </cell>
          <cell r="DP15">
            <v>415</v>
          </cell>
          <cell r="DQ15">
            <v>415</v>
          </cell>
          <cell r="DR15">
            <v>388</v>
          </cell>
        </row>
        <row r="16">
          <cell r="F16">
            <v>421</v>
          </cell>
          <cell r="G16">
            <v>459</v>
          </cell>
          <cell r="H16">
            <v>459</v>
          </cell>
          <cell r="I16">
            <v>459</v>
          </cell>
          <cell r="J16">
            <v>430</v>
          </cell>
          <cell r="K16">
            <v>459</v>
          </cell>
          <cell r="L16">
            <v>459</v>
          </cell>
          <cell r="M16">
            <v>430</v>
          </cell>
          <cell r="N16">
            <v>421</v>
          </cell>
          <cell r="O16">
            <v>459</v>
          </cell>
          <cell r="P16">
            <v>506</v>
          </cell>
          <cell r="Q16">
            <v>421</v>
          </cell>
          <cell r="R16">
            <v>459</v>
          </cell>
          <cell r="S16">
            <v>459</v>
          </cell>
          <cell r="T16">
            <v>421</v>
          </cell>
          <cell r="U16">
            <v>421</v>
          </cell>
          <cell r="V16">
            <v>421</v>
          </cell>
          <cell r="W16">
            <v>430</v>
          </cell>
          <cell r="X16">
            <v>430</v>
          </cell>
          <cell r="Y16">
            <v>459</v>
          </cell>
          <cell r="Z16">
            <v>421</v>
          </cell>
          <cell r="AB16">
            <v>430</v>
          </cell>
          <cell r="AC16">
            <v>602</v>
          </cell>
          <cell r="AD16">
            <v>506</v>
          </cell>
          <cell r="AE16">
            <v>459</v>
          </cell>
          <cell r="AF16">
            <v>430</v>
          </cell>
          <cell r="AG16">
            <v>459</v>
          </cell>
          <cell r="AH16">
            <v>459</v>
          </cell>
          <cell r="AI16">
            <v>421</v>
          </cell>
          <cell r="AJ16">
            <v>421</v>
          </cell>
          <cell r="AK16">
            <v>602</v>
          </cell>
          <cell r="AL16">
            <v>421</v>
          </cell>
          <cell r="AM16">
            <v>459</v>
          </cell>
          <cell r="AN16">
            <v>602</v>
          </cell>
          <cell r="AO16">
            <v>506</v>
          </cell>
          <cell r="AP16">
            <v>602</v>
          </cell>
          <cell r="AQ16">
            <v>430</v>
          </cell>
          <cell r="AR16">
            <v>421</v>
          </cell>
          <cell r="AS16">
            <v>421</v>
          </cell>
          <cell r="AT16">
            <v>459</v>
          </cell>
          <cell r="AU16">
            <v>430</v>
          </cell>
          <cell r="AV16">
            <v>421</v>
          </cell>
          <cell r="AW16">
            <v>459</v>
          </cell>
          <cell r="AX16">
            <v>430</v>
          </cell>
          <cell r="AY16">
            <v>459</v>
          </cell>
          <cell r="AZ16">
            <v>421</v>
          </cell>
          <cell r="BA16">
            <v>421</v>
          </cell>
          <cell r="BC16">
            <v>602</v>
          </cell>
          <cell r="BD16">
            <v>421</v>
          </cell>
          <cell r="BG16">
            <v>459</v>
          </cell>
          <cell r="BH16">
            <v>459</v>
          </cell>
          <cell r="BI16">
            <v>459</v>
          </cell>
          <cell r="BJ16">
            <v>430</v>
          </cell>
          <cell r="BK16">
            <v>506</v>
          </cell>
          <cell r="BL16">
            <v>430</v>
          </cell>
          <cell r="BM16">
            <v>430</v>
          </cell>
          <cell r="BN16">
            <v>421</v>
          </cell>
          <cell r="BO16">
            <v>459</v>
          </cell>
          <cell r="BP16">
            <v>421</v>
          </cell>
          <cell r="BQ16">
            <v>430</v>
          </cell>
          <cell r="BR16">
            <v>602</v>
          </cell>
          <cell r="BS16">
            <v>421</v>
          </cell>
          <cell r="BT16">
            <v>506</v>
          </cell>
          <cell r="BU16">
            <v>430</v>
          </cell>
          <cell r="BV16">
            <v>430</v>
          </cell>
          <cell r="BW16">
            <v>459</v>
          </cell>
          <cell r="BX16">
            <v>430</v>
          </cell>
          <cell r="BY16">
            <v>421</v>
          </cell>
          <cell r="BZ16">
            <v>459</v>
          </cell>
          <cell r="CA16">
            <v>430</v>
          </cell>
          <cell r="CC16">
            <v>430</v>
          </cell>
          <cell r="CE16">
            <v>602</v>
          </cell>
          <cell r="CF16">
            <v>430</v>
          </cell>
          <cell r="CG16">
            <v>459</v>
          </cell>
          <cell r="CH16">
            <v>430</v>
          </cell>
          <cell r="CI16">
            <v>421</v>
          </cell>
          <cell r="CJ16">
            <v>421</v>
          </cell>
          <cell r="CK16">
            <v>430</v>
          </cell>
          <cell r="CL16">
            <v>506</v>
          </cell>
          <cell r="CM16">
            <v>421</v>
          </cell>
          <cell r="CN16">
            <v>421</v>
          </cell>
          <cell r="CO16">
            <v>459</v>
          </cell>
          <cell r="CP16">
            <v>421</v>
          </cell>
          <cell r="CQ16">
            <v>421</v>
          </cell>
          <cell r="CR16">
            <v>430</v>
          </cell>
          <cell r="CS16">
            <v>430</v>
          </cell>
          <cell r="CT16">
            <v>430</v>
          </cell>
          <cell r="CU16">
            <v>506</v>
          </cell>
          <cell r="CV16">
            <v>421</v>
          </cell>
          <cell r="CW16">
            <v>459</v>
          </cell>
          <cell r="CX16">
            <v>421</v>
          </cell>
          <cell r="CY16">
            <v>459</v>
          </cell>
          <cell r="CZ16">
            <v>459</v>
          </cell>
          <cell r="DA16">
            <v>506</v>
          </cell>
          <cell r="DB16">
            <v>459</v>
          </cell>
          <cell r="DC16">
            <v>430</v>
          </cell>
          <cell r="DD16">
            <v>506</v>
          </cell>
          <cell r="DF16">
            <v>459</v>
          </cell>
          <cell r="DG16">
            <v>421</v>
          </cell>
          <cell r="DH16">
            <v>421</v>
          </cell>
          <cell r="DI16">
            <v>421</v>
          </cell>
          <cell r="DJ16">
            <v>459</v>
          </cell>
          <cell r="DK16">
            <v>421</v>
          </cell>
          <cell r="DL16">
            <v>421</v>
          </cell>
          <cell r="DM16">
            <v>430</v>
          </cell>
          <cell r="DN16">
            <v>459</v>
          </cell>
          <cell r="DO16">
            <v>459</v>
          </cell>
          <cell r="DP16">
            <v>459</v>
          </cell>
          <cell r="DQ16">
            <v>459</v>
          </cell>
          <cell r="DR16">
            <v>430</v>
          </cell>
        </row>
        <row r="17">
          <cell r="F17">
            <v>440</v>
          </cell>
          <cell r="G17">
            <v>480</v>
          </cell>
          <cell r="H17">
            <v>480</v>
          </cell>
          <cell r="I17">
            <v>480</v>
          </cell>
          <cell r="J17">
            <v>461</v>
          </cell>
          <cell r="K17">
            <v>480</v>
          </cell>
          <cell r="L17">
            <v>480</v>
          </cell>
          <cell r="M17">
            <v>461</v>
          </cell>
          <cell r="N17">
            <v>440</v>
          </cell>
          <cell r="O17">
            <v>480</v>
          </cell>
          <cell r="P17">
            <v>546</v>
          </cell>
          <cell r="Q17">
            <v>440</v>
          </cell>
          <cell r="R17">
            <v>480</v>
          </cell>
          <cell r="S17">
            <v>480</v>
          </cell>
          <cell r="T17">
            <v>440</v>
          </cell>
          <cell r="U17">
            <v>440</v>
          </cell>
          <cell r="V17">
            <v>440</v>
          </cell>
          <cell r="W17">
            <v>461</v>
          </cell>
          <cell r="X17">
            <v>461</v>
          </cell>
          <cell r="Y17">
            <v>480</v>
          </cell>
          <cell r="Z17">
            <v>440</v>
          </cell>
          <cell r="AB17">
            <v>461</v>
          </cell>
          <cell r="AC17">
            <v>632</v>
          </cell>
          <cell r="AD17">
            <v>546</v>
          </cell>
          <cell r="AE17">
            <v>480</v>
          </cell>
          <cell r="AF17">
            <v>461</v>
          </cell>
          <cell r="AG17">
            <v>480</v>
          </cell>
          <cell r="AH17">
            <v>480</v>
          </cell>
          <cell r="AI17">
            <v>440</v>
          </cell>
          <cell r="AJ17">
            <v>440</v>
          </cell>
          <cell r="AK17">
            <v>632</v>
          </cell>
          <cell r="AL17">
            <v>440</v>
          </cell>
          <cell r="AM17">
            <v>480</v>
          </cell>
          <cell r="AN17">
            <v>632</v>
          </cell>
          <cell r="AO17">
            <v>546</v>
          </cell>
          <cell r="AP17">
            <v>632</v>
          </cell>
          <cell r="AQ17">
            <v>461</v>
          </cell>
          <cell r="AR17">
            <v>440</v>
          </cell>
          <cell r="AS17">
            <v>440</v>
          </cell>
          <cell r="AT17">
            <v>480</v>
          </cell>
          <cell r="AU17">
            <v>461</v>
          </cell>
          <cell r="AV17">
            <v>440</v>
          </cell>
          <cell r="AW17">
            <v>480</v>
          </cell>
          <cell r="AX17">
            <v>461</v>
          </cell>
          <cell r="AY17">
            <v>480</v>
          </cell>
          <cell r="AZ17">
            <v>440</v>
          </cell>
          <cell r="BA17">
            <v>440</v>
          </cell>
          <cell r="BC17">
            <v>632</v>
          </cell>
          <cell r="BD17">
            <v>440</v>
          </cell>
          <cell r="BG17">
            <v>480</v>
          </cell>
          <cell r="BH17">
            <v>480</v>
          </cell>
          <cell r="BI17">
            <v>480</v>
          </cell>
          <cell r="BJ17">
            <v>461</v>
          </cell>
          <cell r="BK17">
            <v>546</v>
          </cell>
          <cell r="BL17">
            <v>461</v>
          </cell>
          <cell r="BM17">
            <v>461</v>
          </cell>
          <cell r="BN17">
            <v>440</v>
          </cell>
          <cell r="BO17">
            <v>480</v>
          </cell>
          <cell r="BP17">
            <v>440</v>
          </cell>
          <cell r="BQ17">
            <v>461</v>
          </cell>
          <cell r="BR17">
            <v>632</v>
          </cell>
          <cell r="BS17">
            <v>440</v>
          </cell>
          <cell r="BT17">
            <v>546</v>
          </cell>
          <cell r="BU17">
            <v>461</v>
          </cell>
          <cell r="BV17">
            <v>461</v>
          </cell>
          <cell r="BW17">
            <v>480</v>
          </cell>
          <cell r="BX17">
            <v>461</v>
          </cell>
          <cell r="BY17">
            <v>440</v>
          </cell>
          <cell r="BZ17">
            <v>480</v>
          </cell>
          <cell r="CA17">
            <v>461</v>
          </cell>
          <cell r="CC17">
            <v>461</v>
          </cell>
          <cell r="CE17">
            <v>632</v>
          </cell>
          <cell r="CF17">
            <v>461</v>
          </cell>
          <cell r="CG17">
            <v>480</v>
          </cell>
          <cell r="CH17">
            <v>461</v>
          </cell>
          <cell r="CI17">
            <v>440</v>
          </cell>
          <cell r="CJ17">
            <v>440</v>
          </cell>
          <cell r="CK17">
            <v>461</v>
          </cell>
          <cell r="CL17">
            <v>546</v>
          </cell>
          <cell r="CM17">
            <v>440</v>
          </cell>
          <cell r="CN17">
            <v>440</v>
          </cell>
          <cell r="CO17">
            <v>480</v>
          </cell>
          <cell r="CP17">
            <v>440</v>
          </cell>
          <cell r="CQ17">
            <v>440</v>
          </cell>
          <cell r="CR17">
            <v>461</v>
          </cell>
          <cell r="CS17">
            <v>461</v>
          </cell>
          <cell r="CT17">
            <v>461</v>
          </cell>
          <cell r="CU17">
            <v>546</v>
          </cell>
          <cell r="CV17">
            <v>440</v>
          </cell>
          <cell r="CW17">
            <v>480</v>
          </cell>
          <cell r="CX17">
            <v>440</v>
          </cell>
          <cell r="CY17">
            <v>480</v>
          </cell>
          <cell r="CZ17">
            <v>480</v>
          </cell>
          <cell r="DA17">
            <v>546</v>
          </cell>
          <cell r="DB17">
            <v>480</v>
          </cell>
          <cell r="DC17">
            <v>461</v>
          </cell>
          <cell r="DD17">
            <v>546</v>
          </cell>
          <cell r="DF17">
            <v>480</v>
          </cell>
          <cell r="DG17">
            <v>440</v>
          </cell>
          <cell r="DH17">
            <v>440</v>
          </cell>
          <cell r="DI17">
            <v>440</v>
          </cell>
          <cell r="DJ17">
            <v>480</v>
          </cell>
          <cell r="DK17">
            <v>440</v>
          </cell>
          <cell r="DL17">
            <v>440</v>
          </cell>
          <cell r="DM17">
            <v>461</v>
          </cell>
          <cell r="DN17">
            <v>480</v>
          </cell>
          <cell r="DO17">
            <v>480</v>
          </cell>
          <cell r="DP17">
            <v>480</v>
          </cell>
          <cell r="DQ17">
            <v>480</v>
          </cell>
          <cell r="DR17">
            <v>461</v>
          </cell>
        </row>
        <row r="18">
          <cell r="F18">
            <v>498</v>
          </cell>
          <cell r="G18">
            <v>546</v>
          </cell>
          <cell r="H18">
            <v>546</v>
          </cell>
          <cell r="I18">
            <v>546</v>
          </cell>
          <cell r="J18">
            <v>512</v>
          </cell>
          <cell r="K18">
            <v>546</v>
          </cell>
          <cell r="L18">
            <v>546</v>
          </cell>
          <cell r="M18">
            <v>512</v>
          </cell>
          <cell r="N18">
            <v>498</v>
          </cell>
          <cell r="O18">
            <v>546</v>
          </cell>
          <cell r="P18">
            <v>605</v>
          </cell>
          <cell r="Q18">
            <v>498</v>
          </cell>
          <cell r="R18">
            <v>546</v>
          </cell>
          <cell r="S18">
            <v>546</v>
          </cell>
          <cell r="T18">
            <v>498</v>
          </cell>
          <cell r="U18">
            <v>498</v>
          </cell>
          <cell r="V18">
            <v>498</v>
          </cell>
          <cell r="W18">
            <v>512</v>
          </cell>
          <cell r="X18">
            <v>512</v>
          </cell>
          <cell r="Y18">
            <v>546</v>
          </cell>
          <cell r="Z18">
            <v>498</v>
          </cell>
          <cell r="AB18">
            <v>512</v>
          </cell>
          <cell r="AC18">
            <v>722</v>
          </cell>
          <cell r="AD18">
            <v>605</v>
          </cell>
          <cell r="AE18">
            <v>546</v>
          </cell>
          <cell r="AF18">
            <v>512</v>
          </cell>
          <cell r="AG18">
            <v>546</v>
          </cell>
          <cell r="AH18">
            <v>546</v>
          </cell>
          <cell r="AI18">
            <v>498</v>
          </cell>
          <cell r="AJ18">
            <v>498</v>
          </cell>
          <cell r="AK18">
            <v>722</v>
          </cell>
          <cell r="AL18">
            <v>498</v>
          </cell>
          <cell r="AM18">
            <v>546</v>
          </cell>
          <cell r="AN18">
            <v>722</v>
          </cell>
          <cell r="AO18">
            <v>605</v>
          </cell>
          <cell r="AP18">
            <v>722</v>
          </cell>
          <cell r="AQ18">
            <v>512</v>
          </cell>
          <cell r="AR18">
            <v>498</v>
          </cell>
          <cell r="AS18">
            <v>498</v>
          </cell>
          <cell r="AT18">
            <v>546</v>
          </cell>
          <cell r="AU18">
            <v>512</v>
          </cell>
          <cell r="AV18">
            <v>498</v>
          </cell>
          <cell r="AW18">
            <v>546</v>
          </cell>
          <cell r="AX18">
            <v>512</v>
          </cell>
          <cell r="AY18">
            <v>546</v>
          </cell>
          <cell r="AZ18">
            <v>498</v>
          </cell>
          <cell r="BA18">
            <v>498</v>
          </cell>
          <cell r="BC18">
            <v>722</v>
          </cell>
          <cell r="BD18">
            <v>498</v>
          </cell>
          <cell r="BG18">
            <v>546</v>
          </cell>
          <cell r="BH18">
            <v>546</v>
          </cell>
          <cell r="BI18">
            <v>546</v>
          </cell>
          <cell r="BJ18">
            <v>512</v>
          </cell>
          <cell r="BK18">
            <v>605</v>
          </cell>
          <cell r="BL18">
            <v>512</v>
          </cell>
          <cell r="BM18">
            <v>512</v>
          </cell>
          <cell r="BN18">
            <v>498</v>
          </cell>
          <cell r="BO18">
            <v>546</v>
          </cell>
          <cell r="BP18">
            <v>498</v>
          </cell>
          <cell r="BQ18">
            <v>512</v>
          </cell>
          <cell r="BR18">
            <v>722</v>
          </cell>
          <cell r="BS18">
            <v>498</v>
          </cell>
          <cell r="BT18">
            <v>605</v>
          </cell>
          <cell r="BU18">
            <v>512</v>
          </cell>
          <cell r="BV18">
            <v>512</v>
          </cell>
          <cell r="BW18">
            <v>546</v>
          </cell>
          <cell r="BX18">
            <v>512</v>
          </cell>
          <cell r="BY18">
            <v>498</v>
          </cell>
          <cell r="BZ18">
            <v>546</v>
          </cell>
          <cell r="CA18">
            <v>512</v>
          </cell>
          <cell r="CC18">
            <v>512</v>
          </cell>
          <cell r="CE18">
            <v>722</v>
          </cell>
          <cell r="CF18">
            <v>512</v>
          </cell>
          <cell r="CG18">
            <v>546</v>
          </cell>
          <cell r="CH18">
            <v>512</v>
          </cell>
          <cell r="CI18">
            <v>498</v>
          </cell>
          <cell r="CJ18">
            <v>498</v>
          </cell>
          <cell r="CK18">
            <v>512</v>
          </cell>
          <cell r="CL18">
            <v>605</v>
          </cell>
          <cell r="CM18">
            <v>498</v>
          </cell>
          <cell r="CN18">
            <v>498</v>
          </cell>
          <cell r="CO18">
            <v>546</v>
          </cell>
          <cell r="CP18">
            <v>498</v>
          </cell>
          <cell r="CQ18">
            <v>498</v>
          </cell>
          <cell r="CR18">
            <v>512</v>
          </cell>
          <cell r="CS18">
            <v>512</v>
          </cell>
          <cell r="CT18">
            <v>512</v>
          </cell>
          <cell r="CU18">
            <v>605</v>
          </cell>
          <cell r="CV18">
            <v>498</v>
          </cell>
          <cell r="CW18">
            <v>546</v>
          </cell>
          <cell r="CX18">
            <v>498</v>
          </cell>
          <cell r="CY18">
            <v>546</v>
          </cell>
          <cell r="CZ18">
            <v>546</v>
          </cell>
          <cell r="DA18">
            <v>605</v>
          </cell>
          <cell r="DB18">
            <v>546</v>
          </cell>
          <cell r="DC18">
            <v>512</v>
          </cell>
          <cell r="DD18">
            <v>605</v>
          </cell>
          <cell r="DF18">
            <v>546</v>
          </cell>
          <cell r="DG18">
            <v>498</v>
          </cell>
          <cell r="DH18">
            <v>498</v>
          </cell>
          <cell r="DI18">
            <v>498</v>
          </cell>
          <cell r="DJ18">
            <v>546</v>
          </cell>
          <cell r="DK18">
            <v>498</v>
          </cell>
          <cell r="DL18">
            <v>498</v>
          </cell>
          <cell r="DM18">
            <v>512</v>
          </cell>
          <cell r="DN18">
            <v>546</v>
          </cell>
          <cell r="DO18">
            <v>546</v>
          </cell>
          <cell r="DP18">
            <v>546</v>
          </cell>
          <cell r="DQ18">
            <v>546</v>
          </cell>
          <cell r="DR18">
            <v>512</v>
          </cell>
        </row>
        <row r="19">
          <cell r="F19">
            <v>559</v>
          </cell>
          <cell r="G19">
            <v>615</v>
          </cell>
          <cell r="H19">
            <v>615</v>
          </cell>
          <cell r="I19">
            <v>615</v>
          </cell>
          <cell r="J19">
            <v>578</v>
          </cell>
          <cell r="K19">
            <v>615</v>
          </cell>
          <cell r="L19">
            <v>615</v>
          </cell>
          <cell r="M19">
            <v>578</v>
          </cell>
          <cell r="N19">
            <v>559</v>
          </cell>
          <cell r="O19">
            <v>615</v>
          </cell>
          <cell r="P19">
            <v>685</v>
          </cell>
          <cell r="Q19">
            <v>559</v>
          </cell>
          <cell r="R19">
            <v>615</v>
          </cell>
          <cell r="S19">
            <v>615</v>
          </cell>
          <cell r="T19">
            <v>559</v>
          </cell>
          <cell r="U19">
            <v>559</v>
          </cell>
          <cell r="V19">
            <v>559</v>
          </cell>
          <cell r="W19">
            <v>578</v>
          </cell>
          <cell r="X19">
            <v>578</v>
          </cell>
          <cell r="Y19">
            <v>615</v>
          </cell>
          <cell r="Z19">
            <v>559</v>
          </cell>
          <cell r="AB19">
            <v>578</v>
          </cell>
          <cell r="AC19">
            <v>817</v>
          </cell>
          <cell r="AD19">
            <v>685</v>
          </cell>
          <cell r="AE19">
            <v>615</v>
          </cell>
          <cell r="AF19">
            <v>578</v>
          </cell>
          <cell r="AG19">
            <v>615</v>
          </cell>
          <cell r="AH19">
            <v>615</v>
          </cell>
          <cell r="AI19">
            <v>559</v>
          </cell>
          <cell r="AJ19">
            <v>559</v>
          </cell>
          <cell r="AK19">
            <v>817</v>
          </cell>
          <cell r="AL19">
            <v>559</v>
          </cell>
          <cell r="AM19">
            <v>615</v>
          </cell>
          <cell r="AN19">
            <v>817</v>
          </cell>
          <cell r="AO19">
            <v>685</v>
          </cell>
          <cell r="AP19">
            <v>817</v>
          </cell>
          <cell r="AQ19">
            <v>578</v>
          </cell>
          <cell r="AR19">
            <v>559</v>
          </cell>
          <cell r="AS19">
            <v>559</v>
          </cell>
          <cell r="AT19">
            <v>615</v>
          </cell>
          <cell r="AU19">
            <v>578</v>
          </cell>
          <cell r="AV19">
            <v>559</v>
          </cell>
          <cell r="AW19">
            <v>615</v>
          </cell>
          <cell r="AX19">
            <v>578</v>
          </cell>
          <cell r="AY19">
            <v>615</v>
          </cell>
          <cell r="AZ19">
            <v>559</v>
          </cell>
          <cell r="BA19">
            <v>559</v>
          </cell>
          <cell r="BC19">
            <v>817</v>
          </cell>
          <cell r="BD19">
            <v>559</v>
          </cell>
          <cell r="BG19">
            <v>615</v>
          </cell>
          <cell r="BH19">
            <v>615</v>
          </cell>
          <cell r="BI19">
            <v>615</v>
          </cell>
          <cell r="BJ19">
            <v>578</v>
          </cell>
          <cell r="BK19">
            <v>685</v>
          </cell>
          <cell r="BL19">
            <v>578</v>
          </cell>
          <cell r="BM19">
            <v>578</v>
          </cell>
          <cell r="BN19">
            <v>559</v>
          </cell>
          <cell r="BO19">
            <v>615</v>
          </cell>
          <cell r="BP19">
            <v>559</v>
          </cell>
          <cell r="BQ19">
            <v>578</v>
          </cell>
          <cell r="BR19">
            <v>817</v>
          </cell>
          <cell r="BS19">
            <v>559</v>
          </cell>
          <cell r="BT19">
            <v>685</v>
          </cell>
          <cell r="BU19">
            <v>578</v>
          </cell>
          <cell r="BV19">
            <v>578</v>
          </cell>
          <cell r="BW19">
            <v>615</v>
          </cell>
          <cell r="BX19">
            <v>578</v>
          </cell>
          <cell r="BY19">
            <v>559</v>
          </cell>
          <cell r="BZ19">
            <v>615</v>
          </cell>
          <cell r="CA19">
            <v>578</v>
          </cell>
          <cell r="CC19">
            <v>578</v>
          </cell>
          <cell r="CE19">
            <v>817</v>
          </cell>
          <cell r="CF19">
            <v>578</v>
          </cell>
          <cell r="CG19">
            <v>615</v>
          </cell>
          <cell r="CH19">
            <v>578</v>
          </cell>
          <cell r="CI19">
            <v>559</v>
          </cell>
          <cell r="CJ19">
            <v>559</v>
          </cell>
          <cell r="CK19">
            <v>578</v>
          </cell>
          <cell r="CL19">
            <v>685</v>
          </cell>
          <cell r="CM19">
            <v>559</v>
          </cell>
          <cell r="CN19">
            <v>559</v>
          </cell>
          <cell r="CO19">
            <v>615</v>
          </cell>
          <cell r="CP19">
            <v>559</v>
          </cell>
          <cell r="CQ19">
            <v>559</v>
          </cell>
          <cell r="CR19">
            <v>578</v>
          </cell>
          <cell r="CS19">
            <v>578</v>
          </cell>
          <cell r="CT19">
            <v>578</v>
          </cell>
          <cell r="CU19">
            <v>685</v>
          </cell>
          <cell r="CV19">
            <v>559</v>
          </cell>
          <cell r="CW19">
            <v>615</v>
          </cell>
          <cell r="CX19">
            <v>559</v>
          </cell>
          <cell r="CY19">
            <v>615</v>
          </cell>
          <cell r="CZ19">
            <v>615</v>
          </cell>
          <cell r="DA19">
            <v>685</v>
          </cell>
          <cell r="DB19">
            <v>615</v>
          </cell>
          <cell r="DC19">
            <v>578</v>
          </cell>
          <cell r="DD19">
            <v>685</v>
          </cell>
          <cell r="DF19">
            <v>615</v>
          </cell>
          <cell r="DG19">
            <v>559</v>
          </cell>
          <cell r="DH19">
            <v>559</v>
          </cell>
          <cell r="DI19">
            <v>559</v>
          </cell>
          <cell r="DJ19">
            <v>615</v>
          </cell>
          <cell r="DK19">
            <v>559</v>
          </cell>
          <cell r="DL19">
            <v>559</v>
          </cell>
          <cell r="DM19">
            <v>578</v>
          </cell>
          <cell r="DN19">
            <v>615</v>
          </cell>
          <cell r="DO19">
            <v>615</v>
          </cell>
          <cell r="DP19">
            <v>615</v>
          </cell>
          <cell r="DQ19">
            <v>615</v>
          </cell>
          <cell r="DR19">
            <v>578</v>
          </cell>
        </row>
        <row r="20">
          <cell r="F20">
            <v>574</v>
          </cell>
          <cell r="G20">
            <v>633</v>
          </cell>
          <cell r="H20">
            <v>633</v>
          </cell>
          <cell r="I20">
            <v>633</v>
          </cell>
          <cell r="J20">
            <v>593</v>
          </cell>
          <cell r="K20">
            <v>633</v>
          </cell>
          <cell r="L20">
            <v>633</v>
          </cell>
          <cell r="M20">
            <v>593</v>
          </cell>
          <cell r="N20">
            <v>574</v>
          </cell>
          <cell r="O20">
            <v>633</v>
          </cell>
          <cell r="P20">
            <v>706</v>
          </cell>
          <cell r="Q20">
            <v>574</v>
          </cell>
          <cell r="R20">
            <v>633</v>
          </cell>
          <cell r="S20">
            <v>633</v>
          </cell>
          <cell r="T20">
            <v>574</v>
          </cell>
          <cell r="U20">
            <v>574</v>
          </cell>
          <cell r="V20">
            <v>574</v>
          </cell>
          <cell r="W20">
            <v>593</v>
          </cell>
          <cell r="X20">
            <v>593</v>
          </cell>
          <cell r="Y20">
            <v>633</v>
          </cell>
          <cell r="Z20">
            <v>574</v>
          </cell>
          <cell r="AB20">
            <v>593</v>
          </cell>
          <cell r="AC20">
            <v>842</v>
          </cell>
          <cell r="AD20">
            <v>706</v>
          </cell>
          <cell r="AE20">
            <v>633</v>
          </cell>
          <cell r="AF20">
            <v>593</v>
          </cell>
          <cell r="AG20">
            <v>633</v>
          </cell>
          <cell r="AH20">
            <v>633</v>
          </cell>
          <cell r="AI20">
            <v>574</v>
          </cell>
          <cell r="AJ20">
            <v>574</v>
          </cell>
          <cell r="AK20">
            <v>842</v>
          </cell>
          <cell r="AL20">
            <v>574</v>
          </cell>
          <cell r="AM20">
            <v>633</v>
          </cell>
          <cell r="AN20">
            <v>842</v>
          </cell>
          <cell r="AO20">
            <v>706</v>
          </cell>
          <cell r="AP20">
            <v>842</v>
          </cell>
          <cell r="AQ20">
            <v>593</v>
          </cell>
          <cell r="AR20">
            <v>574</v>
          </cell>
          <cell r="AS20">
            <v>574</v>
          </cell>
          <cell r="AT20">
            <v>633</v>
          </cell>
          <cell r="AU20">
            <v>593</v>
          </cell>
          <cell r="AV20">
            <v>574</v>
          </cell>
          <cell r="AW20">
            <v>633</v>
          </cell>
          <cell r="AX20">
            <v>593</v>
          </cell>
          <cell r="AY20">
            <v>633</v>
          </cell>
          <cell r="AZ20">
            <v>574</v>
          </cell>
          <cell r="BA20">
            <v>574</v>
          </cell>
          <cell r="BC20">
            <v>842</v>
          </cell>
          <cell r="BD20">
            <v>574</v>
          </cell>
          <cell r="BG20">
            <v>633</v>
          </cell>
          <cell r="BH20">
            <v>633</v>
          </cell>
          <cell r="BI20">
            <v>633</v>
          </cell>
          <cell r="BJ20">
            <v>593</v>
          </cell>
          <cell r="BK20">
            <v>706</v>
          </cell>
          <cell r="BL20">
            <v>593</v>
          </cell>
          <cell r="BM20">
            <v>593</v>
          </cell>
          <cell r="BN20">
            <v>574</v>
          </cell>
          <cell r="BO20">
            <v>633</v>
          </cell>
          <cell r="BP20">
            <v>574</v>
          </cell>
          <cell r="BQ20">
            <v>593</v>
          </cell>
          <cell r="BR20">
            <v>842</v>
          </cell>
          <cell r="BS20">
            <v>574</v>
          </cell>
          <cell r="BT20">
            <v>706</v>
          </cell>
          <cell r="BU20">
            <v>593</v>
          </cell>
          <cell r="BV20">
            <v>593</v>
          </cell>
          <cell r="BW20">
            <v>633</v>
          </cell>
          <cell r="BX20">
            <v>593</v>
          </cell>
          <cell r="BY20">
            <v>574</v>
          </cell>
          <cell r="BZ20">
            <v>633</v>
          </cell>
          <cell r="CA20">
            <v>593</v>
          </cell>
          <cell r="CC20">
            <v>593</v>
          </cell>
          <cell r="CE20">
            <v>842</v>
          </cell>
          <cell r="CF20">
            <v>593</v>
          </cell>
          <cell r="CG20">
            <v>633</v>
          </cell>
          <cell r="CH20">
            <v>593</v>
          </cell>
          <cell r="CI20">
            <v>574</v>
          </cell>
          <cell r="CJ20">
            <v>574</v>
          </cell>
          <cell r="CK20">
            <v>593</v>
          </cell>
          <cell r="CL20">
            <v>706</v>
          </cell>
          <cell r="CM20">
            <v>574</v>
          </cell>
          <cell r="CN20">
            <v>574</v>
          </cell>
          <cell r="CO20">
            <v>633</v>
          </cell>
          <cell r="CP20">
            <v>574</v>
          </cell>
          <cell r="CQ20">
            <v>574</v>
          </cell>
          <cell r="CR20">
            <v>593</v>
          </cell>
          <cell r="CS20">
            <v>593</v>
          </cell>
          <cell r="CT20">
            <v>593</v>
          </cell>
          <cell r="CU20">
            <v>706</v>
          </cell>
          <cell r="CV20">
            <v>574</v>
          </cell>
          <cell r="CW20">
            <v>633</v>
          </cell>
          <cell r="CX20">
            <v>574</v>
          </cell>
          <cell r="CY20">
            <v>633</v>
          </cell>
          <cell r="CZ20">
            <v>633</v>
          </cell>
          <cell r="DA20">
            <v>706</v>
          </cell>
          <cell r="DB20">
            <v>633</v>
          </cell>
          <cell r="DC20">
            <v>593</v>
          </cell>
          <cell r="DD20">
            <v>706</v>
          </cell>
          <cell r="DF20">
            <v>633</v>
          </cell>
          <cell r="DG20">
            <v>574</v>
          </cell>
          <cell r="DH20">
            <v>574</v>
          </cell>
          <cell r="DI20">
            <v>574</v>
          </cell>
          <cell r="DJ20">
            <v>633</v>
          </cell>
          <cell r="DK20">
            <v>574</v>
          </cell>
          <cell r="DL20">
            <v>574</v>
          </cell>
          <cell r="DM20">
            <v>593</v>
          </cell>
          <cell r="DN20">
            <v>633</v>
          </cell>
          <cell r="DO20">
            <v>633</v>
          </cell>
          <cell r="DP20">
            <v>633</v>
          </cell>
          <cell r="DQ20">
            <v>633</v>
          </cell>
          <cell r="DR20">
            <v>593</v>
          </cell>
        </row>
        <row r="21">
          <cell r="F21">
            <v>621</v>
          </cell>
          <cell r="G21">
            <v>686</v>
          </cell>
          <cell r="H21">
            <v>686</v>
          </cell>
          <cell r="I21">
            <v>686</v>
          </cell>
          <cell r="J21">
            <v>643</v>
          </cell>
          <cell r="K21">
            <v>686</v>
          </cell>
          <cell r="L21">
            <v>686</v>
          </cell>
          <cell r="M21">
            <v>643</v>
          </cell>
          <cell r="N21">
            <v>621</v>
          </cell>
          <cell r="O21">
            <v>686</v>
          </cell>
          <cell r="P21">
            <v>765</v>
          </cell>
          <cell r="Q21">
            <v>621</v>
          </cell>
          <cell r="R21">
            <v>686</v>
          </cell>
          <cell r="S21">
            <v>686</v>
          </cell>
          <cell r="T21">
            <v>621</v>
          </cell>
          <cell r="U21">
            <v>621</v>
          </cell>
          <cell r="V21">
            <v>621</v>
          </cell>
          <cell r="W21">
            <v>643</v>
          </cell>
          <cell r="X21">
            <v>643</v>
          </cell>
          <cell r="Y21">
            <v>686</v>
          </cell>
          <cell r="Z21">
            <v>621</v>
          </cell>
          <cell r="AB21">
            <v>643</v>
          </cell>
          <cell r="AC21">
            <v>914</v>
          </cell>
          <cell r="AD21">
            <v>765</v>
          </cell>
          <cell r="AE21">
            <v>686</v>
          </cell>
          <cell r="AF21">
            <v>643</v>
          </cell>
          <cell r="AG21">
            <v>686</v>
          </cell>
          <cell r="AH21">
            <v>686</v>
          </cell>
          <cell r="AI21">
            <v>621</v>
          </cell>
          <cell r="AJ21">
            <v>621</v>
          </cell>
          <cell r="AK21">
            <v>914</v>
          </cell>
          <cell r="AL21">
            <v>621</v>
          </cell>
          <cell r="AM21">
            <v>686</v>
          </cell>
          <cell r="AN21">
            <v>914</v>
          </cell>
          <cell r="AO21">
            <v>765</v>
          </cell>
          <cell r="AP21">
            <v>914</v>
          </cell>
          <cell r="AQ21">
            <v>643</v>
          </cell>
          <cell r="AR21">
            <v>621</v>
          </cell>
          <cell r="AS21">
            <v>621</v>
          </cell>
          <cell r="AT21">
            <v>686</v>
          </cell>
          <cell r="AU21">
            <v>643</v>
          </cell>
          <cell r="AV21">
            <v>621</v>
          </cell>
          <cell r="AW21">
            <v>686</v>
          </cell>
          <cell r="AX21">
            <v>643</v>
          </cell>
          <cell r="AY21">
            <v>686</v>
          </cell>
          <cell r="AZ21">
            <v>621</v>
          </cell>
          <cell r="BA21">
            <v>621</v>
          </cell>
          <cell r="BC21">
            <v>914</v>
          </cell>
          <cell r="BD21">
            <v>621</v>
          </cell>
          <cell r="BG21">
            <v>686</v>
          </cell>
          <cell r="BH21">
            <v>686</v>
          </cell>
          <cell r="BI21">
            <v>686</v>
          </cell>
          <cell r="BJ21">
            <v>643</v>
          </cell>
          <cell r="BK21">
            <v>765</v>
          </cell>
          <cell r="BL21">
            <v>643</v>
          </cell>
          <cell r="BM21">
            <v>643</v>
          </cell>
          <cell r="BN21">
            <v>621</v>
          </cell>
          <cell r="BO21">
            <v>686</v>
          </cell>
          <cell r="BP21">
            <v>621</v>
          </cell>
          <cell r="BQ21">
            <v>643</v>
          </cell>
          <cell r="BR21">
            <v>914</v>
          </cell>
          <cell r="BS21">
            <v>621</v>
          </cell>
          <cell r="BT21">
            <v>765</v>
          </cell>
          <cell r="BU21">
            <v>643</v>
          </cell>
          <cell r="BV21">
            <v>643</v>
          </cell>
          <cell r="BW21">
            <v>686</v>
          </cell>
          <cell r="BX21">
            <v>643</v>
          </cell>
          <cell r="BY21">
            <v>621</v>
          </cell>
          <cell r="BZ21">
            <v>686</v>
          </cell>
          <cell r="CA21">
            <v>643</v>
          </cell>
          <cell r="CC21">
            <v>643</v>
          </cell>
          <cell r="CE21">
            <v>914</v>
          </cell>
          <cell r="CF21">
            <v>643</v>
          </cell>
          <cell r="CG21">
            <v>686</v>
          </cell>
          <cell r="CH21">
            <v>643</v>
          </cell>
          <cell r="CI21">
            <v>621</v>
          </cell>
          <cell r="CJ21">
            <v>621</v>
          </cell>
          <cell r="CK21">
            <v>643</v>
          </cell>
          <cell r="CL21">
            <v>765</v>
          </cell>
          <cell r="CM21">
            <v>621</v>
          </cell>
          <cell r="CN21">
            <v>621</v>
          </cell>
          <cell r="CO21">
            <v>686</v>
          </cell>
          <cell r="CP21">
            <v>621</v>
          </cell>
          <cell r="CQ21">
            <v>621</v>
          </cell>
          <cell r="CR21">
            <v>643</v>
          </cell>
          <cell r="CS21">
            <v>643</v>
          </cell>
          <cell r="CT21">
            <v>643</v>
          </cell>
          <cell r="CU21">
            <v>765</v>
          </cell>
          <cell r="CV21">
            <v>621</v>
          </cell>
          <cell r="CW21">
            <v>686</v>
          </cell>
          <cell r="CX21">
            <v>621</v>
          </cell>
          <cell r="CY21">
            <v>686</v>
          </cell>
          <cell r="CZ21">
            <v>686</v>
          </cell>
          <cell r="DA21">
            <v>765</v>
          </cell>
          <cell r="DB21">
            <v>686</v>
          </cell>
          <cell r="DC21">
            <v>643</v>
          </cell>
          <cell r="DD21">
            <v>765</v>
          </cell>
          <cell r="DF21">
            <v>686</v>
          </cell>
          <cell r="DG21">
            <v>621</v>
          </cell>
          <cell r="DH21">
            <v>621</v>
          </cell>
          <cell r="DI21">
            <v>621</v>
          </cell>
          <cell r="DJ21">
            <v>686</v>
          </cell>
          <cell r="DK21">
            <v>621</v>
          </cell>
          <cell r="DL21">
            <v>621</v>
          </cell>
          <cell r="DM21">
            <v>643</v>
          </cell>
          <cell r="DN21">
            <v>686</v>
          </cell>
          <cell r="DO21">
            <v>686</v>
          </cell>
          <cell r="DP21">
            <v>686</v>
          </cell>
          <cell r="DQ21">
            <v>686</v>
          </cell>
          <cell r="DR21">
            <v>643</v>
          </cell>
        </row>
        <row r="22">
          <cell r="F22">
            <v>624</v>
          </cell>
          <cell r="G22">
            <v>691</v>
          </cell>
          <cell r="H22">
            <v>691</v>
          </cell>
          <cell r="I22">
            <v>691</v>
          </cell>
          <cell r="J22">
            <v>647</v>
          </cell>
          <cell r="K22">
            <v>691</v>
          </cell>
          <cell r="L22">
            <v>691</v>
          </cell>
          <cell r="M22">
            <v>647</v>
          </cell>
          <cell r="N22">
            <v>624</v>
          </cell>
          <cell r="O22">
            <v>691</v>
          </cell>
          <cell r="P22">
            <v>771</v>
          </cell>
          <cell r="Q22">
            <v>624</v>
          </cell>
          <cell r="R22">
            <v>691</v>
          </cell>
          <cell r="S22">
            <v>691</v>
          </cell>
          <cell r="T22">
            <v>624</v>
          </cell>
          <cell r="U22">
            <v>624</v>
          </cell>
          <cell r="V22">
            <v>624</v>
          </cell>
          <cell r="W22">
            <v>647</v>
          </cell>
          <cell r="X22">
            <v>647</v>
          </cell>
          <cell r="Y22">
            <v>691</v>
          </cell>
          <cell r="Z22">
            <v>624</v>
          </cell>
          <cell r="AB22">
            <v>647</v>
          </cell>
          <cell r="AC22">
            <v>921</v>
          </cell>
          <cell r="AD22">
            <v>771</v>
          </cell>
          <cell r="AE22">
            <v>691</v>
          </cell>
          <cell r="AF22">
            <v>647</v>
          </cell>
          <cell r="AG22">
            <v>691</v>
          </cell>
          <cell r="AH22">
            <v>691</v>
          </cell>
          <cell r="AI22">
            <v>624</v>
          </cell>
          <cell r="AJ22">
            <v>624</v>
          </cell>
          <cell r="AK22">
            <v>921</v>
          </cell>
          <cell r="AL22">
            <v>624</v>
          </cell>
          <cell r="AM22">
            <v>691</v>
          </cell>
          <cell r="AN22">
            <v>921</v>
          </cell>
          <cell r="AO22">
            <v>771</v>
          </cell>
          <cell r="AP22">
            <v>921</v>
          </cell>
          <cell r="AQ22">
            <v>647</v>
          </cell>
          <cell r="AR22">
            <v>624</v>
          </cell>
          <cell r="AS22">
            <v>624</v>
          </cell>
          <cell r="AT22">
            <v>691</v>
          </cell>
          <cell r="AU22">
            <v>647</v>
          </cell>
          <cell r="AV22">
            <v>624</v>
          </cell>
          <cell r="AW22">
            <v>691</v>
          </cell>
          <cell r="AX22">
            <v>647</v>
          </cell>
          <cell r="AY22">
            <v>691</v>
          </cell>
          <cell r="AZ22">
            <v>624</v>
          </cell>
          <cell r="BA22">
            <v>624</v>
          </cell>
          <cell r="BC22">
            <v>921</v>
          </cell>
          <cell r="BD22">
            <v>624</v>
          </cell>
          <cell r="BG22">
            <v>691</v>
          </cell>
          <cell r="BH22">
            <v>691</v>
          </cell>
          <cell r="BI22">
            <v>691</v>
          </cell>
          <cell r="BJ22">
            <v>647</v>
          </cell>
          <cell r="BK22">
            <v>771</v>
          </cell>
          <cell r="BL22">
            <v>647</v>
          </cell>
          <cell r="BM22">
            <v>647</v>
          </cell>
          <cell r="BN22">
            <v>624</v>
          </cell>
          <cell r="BO22">
            <v>691</v>
          </cell>
          <cell r="BP22">
            <v>624</v>
          </cell>
          <cell r="BQ22">
            <v>647</v>
          </cell>
          <cell r="BR22">
            <v>921</v>
          </cell>
          <cell r="BS22">
            <v>624</v>
          </cell>
          <cell r="BT22">
            <v>771</v>
          </cell>
          <cell r="BU22">
            <v>647</v>
          </cell>
          <cell r="BV22">
            <v>647</v>
          </cell>
          <cell r="BW22">
            <v>691</v>
          </cell>
          <cell r="BX22">
            <v>647</v>
          </cell>
          <cell r="BY22">
            <v>624</v>
          </cell>
          <cell r="BZ22">
            <v>691</v>
          </cell>
          <cell r="CA22">
            <v>647</v>
          </cell>
          <cell r="CC22">
            <v>647</v>
          </cell>
          <cell r="CE22">
            <v>921</v>
          </cell>
          <cell r="CF22">
            <v>647</v>
          </cell>
          <cell r="CG22">
            <v>691</v>
          </cell>
          <cell r="CH22">
            <v>647</v>
          </cell>
          <cell r="CI22">
            <v>624</v>
          </cell>
          <cell r="CJ22">
            <v>624</v>
          </cell>
          <cell r="CK22">
            <v>647</v>
          </cell>
          <cell r="CL22">
            <v>771</v>
          </cell>
          <cell r="CM22">
            <v>624</v>
          </cell>
          <cell r="CN22">
            <v>624</v>
          </cell>
          <cell r="CO22">
            <v>691</v>
          </cell>
          <cell r="CP22">
            <v>624</v>
          </cell>
          <cell r="CQ22">
            <v>624</v>
          </cell>
          <cell r="CR22">
            <v>647</v>
          </cell>
          <cell r="CS22">
            <v>647</v>
          </cell>
          <cell r="CT22">
            <v>647</v>
          </cell>
          <cell r="CU22">
            <v>771</v>
          </cell>
          <cell r="CV22">
            <v>624</v>
          </cell>
          <cell r="CW22">
            <v>691</v>
          </cell>
          <cell r="CX22">
            <v>624</v>
          </cell>
          <cell r="CY22">
            <v>691</v>
          </cell>
          <cell r="CZ22">
            <v>691</v>
          </cell>
          <cell r="DA22">
            <v>771</v>
          </cell>
          <cell r="DB22">
            <v>691</v>
          </cell>
          <cell r="DC22">
            <v>647</v>
          </cell>
          <cell r="DD22">
            <v>771</v>
          </cell>
          <cell r="DF22">
            <v>691</v>
          </cell>
          <cell r="DG22">
            <v>624</v>
          </cell>
          <cell r="DH22">
            <v>624</v>
          </cell>
          <cell r="DI22">
            <v>624</v>
          </cell>
          <cell r="DJ22">
            <v>691</v>
          </cell>
          <cell r="DK22">
            <v>624</v>
          </cell>
          <cell r="DL22">
            <v>624</v>
          </cell>
          <cell r="DM22">
            <v>647</v>
          </cell>
          <cell r="DN22">
            <v>691</v>
          </cell>
          <cell r="DO22">
            <v>691</v>
          </cell>
          <cell r="DP22">
            <v>691</v>
          </cell>
          <cell r="DQ22">
            <v>691</v>
          </cell>
          <cell r="DR22">
            <v>647</v>
          </cell>
        </row>
        <row r="23">
          <cell r="F23">
            <v>653</v>
          </cell>
          <cell r="G23">
            <v>725</v>
          </cell>
          <cell r="H23">
            <v>725</v>
          </cell>
          <cell r="I23">
            <v>725</v>
          </cell>
          <cell r="J23">
            <v>680</v>
          </cell>
          <cell r="K23">
            <v>725</v>
          </cell>
          <cell r="L23">
            <v>725</v>
          </cell>
          <cell r="M23">
            <v>680</v>
          </cell>
          <cell r="N23">
            <v>653</v>
          </cell>
          <cell r="O23">
            <v>725</v>
          </cell>
          <cell r="P23">
            <v>809</v>
          </cell>
          <cell r="Q23">
            <v>653</v>
          </cell>
          <cell r="R23">
            <v>725</v>
          </cell>
          <cell r="S23">
            <v>725</v>
          </cell>
          <cell r="T23">
            <v>653</v>
          </cell>
          <cell r="U23">
            <v>653</v>
          </cell>
          <cell r="V23">
            <v>653</v>
          </cell>
          <cell r="W23">
            <v>680</v>
          </cell>
          <cell r="X23">
            <v>680</v>
          </cell>
          <cell r="Y23">
            <v>725</v>
          </cell>
          <cell r="Z23">
            <v>653</v>
          </cell>
          <cell r="AB23">
            <v>680</v>
          </cell>
          <cell r="AC23">
            <v>967</v>
          </cell>
          <cell r="AD23">
            <v>809</v>
          </cell>
          <cell r="AE23">
            <v>725</v>
          </cell>
          <cell r="AF23">
            <v>680</v>
          </cell>
          <cell r="AG23">
            <v>725</v>
          </cell>
          <cell r="AH23">
            <v>725</v>
          </cell>
          <cell r="AI23">
            <v>653</v>
          </cell>
          <cell r="AJ23">
            <v>653</v>
          </cell>
          <cell r="AK23">
            <v>967</v>
          </cell>
          <cell r="AL23">
            <v>653</v>
          </cell>
          <cell r="AM23">
            <v>725</v>
          </cell>
          <cell r="AN23">
            <v>967</v>
          </cell>
          <cell r="AO23">
            <v>809</v>
          </cell>
          <cell r="AP23">
            <v>967</v>
          </cell>
          <cell r="AQ23">
            <v>680</v>
          </cell>
          <cell r="AR23">
            <v>653</v>
          </cell>
          <cell r="AS23">
            <v>653</v>
          </cell>
          <cell r="AT23">
            <v>725</v>
          </cell>
          <cell r="AU23">
            <v>680</v>
          </cell>
          <cell r="AV23">
            <v>653</v>
          </cell>
          <cell r="AW23">
            <v>725</v>
          </cell>
          <cell r="AX23">
            <v>680</v>
          </cell>
          <cell r="AY23">
            <v>725</v>
          </cell>
          <cell r="AZ23">
            <v>653</v>
          </cell>
          <cell r="BA23">
            <v>653</v>
          </cell>
          <cell r="BC23">
            <v>967</v>
          </cell>
          <cell r="BD23">
            <v>653</v>
          </cell>
          <cell r="BG23">
            <v>725</v>
          </cell>
          <cell r="BH23">
            <v>725</v>
          </cell>
          <cell r="BI23">
            <v>725</v>
          </cell>
          <cell r="BJ23">
            <v>680</v>
          </cell>
          <cell r="BK23">
            <v>809</v>
          </cell>
          <cell r="BL23">
            <v>680</v>
          </cell>
          <cell r="BM23">
            <v>680</v>
          </cell>
          <cell r="BN23">
            <v>653</v>
          </cell>
          <cell r="BO23">
            <v>725</v>
          </cell>
          <cell r="BP23">
            <v>653</v>
          </cell>
          <cell r="BQ23">
            <v>680</v>
          </cell>
          <cell r="BR23">
            <v>967</v>
          </cell>
          <cell r="BS23">
            <v>653</v>
          </cell>
          <cell r="BT23">
            <v>809</v>
          </cell>
          <cell r="BU23">
            <v>680</v>
          </cell>
          <cell r="BV23">
            <v>680</v>
          </cell>
          <cell r="BW23">
            <v>725</v>
          </cell>
          <cell r="BX23">
            <v>680</v>
          </cell>
          <cell r="BY23">
            <v>653</v>
          </cell>
          <cell r="BZ23">
            <v>725</v>
          </cell>
          <cell r="CA23">
            <v>680</v>
          </cell>
          <cell r="CC23">
            <v>680</v>
          </cell>
          <cell r="CE23">
            <v>967</v>
          </cell>
          <cell r="CF23">
            <v>680</v>
          </cell>
          <cell r="CG23">
            <v>725</v>
          </cell>
          <cell r="CH23">
            <v>680</v>
          </cell>
          <cell r="CI23">
            <v>653</v>
          </cell>
          <cell r="CJ23">
            <v>653</v>
          </cell>
          <cell r="CK23">
            <v>680</v>
          </cell>
          <cell r="CL23">
            <v>809</v>
          </cell>
          <cell r="CM23">
            <v>653</v>
          </cell>
          <cell r="CN23">
            <v>653</v>
          </cell>
          <cell r="CO23">
            <v>725</v>
          </cell>
          <cell r="CP23">
            <v>653</v>
          </cell>
          <cell r="CQ23">
            <v>653</v>
          </cell>
          <cell r="CR23">
            <v>680</v>
          </cell>
          <cell r="CS23">
            <v>680</v>
          </cell>
          <cell r="CT23">
            <v>680</v>
          </cell>
          <cell r="CU23">
            <v>809</v>
          </cell>
          <cell r="CV23">
            <v>653</v>
          </cell>
          <cell r="CW23">
            <v>725</v>
          </cell>
          <cell r="CX23">
            <v>653</v>
          </cell>
          <cell r="CY23">
            <v>725</v>
          </cell>
          <cell r="CZ23">
            <v>725</v>
          </cell>
          <cell r="DA23">
            <v>809</v>
          </cell>
          <cell r="DB23">
            <v>725</v>
          </cell>
          <cell r="DC23">
            <v>680</v>
          </cell>
          <cell r="DD23">
            <v>809</v>
          </cell>
          <cell r="DF23">
            <v>725</v>
          </cell>
          <cell r="DG23">
            <v>653</v>
          </cell>
          <cell r="DH23">
            <v>653</v>
          </cell>
          <cell r="DI23">
            <v>653</v>
          </cell>
          <cell r="DJ23">
            <v>725</v>
          </cell>
          <cell r="DK23">
            <v>653</v>
          </cell>
          <cell r="DL23">
            <v>653</v>
          </cell>
          <cell r="DM23">
            <v>680</v>
          </cell>
          <cell r="DN23">
            <v>725</v>
          </cell>
          <cell r="DO23">
            <v>725</v>
          </cell>
          <cell r="DP23">
            <v>725</v>
          </cell>
          <cell r="DQ23">
            <v>725</v>
          </cell>
          <cell r="DR23">
            <v>680</v>
          </cell>
        </row>
        <row r="24">
          <cell r="F24">
            <v>697</v>
          </cell>
          <cell r="G24">
            <v>775</v>
          </cell>
          <cell r="H24">
            <v>775</v>
          </cell>
          <cell r="I24">
            <v>775</v>
          </cell>
          <cell r="J24">
            <v>726</v>
          </cell>
          <cell r="K24">
            <v>775</v>
          </cell>
          <cell r="L24">
            <v>775</v>
          </cell>
          <cell r="M24">
            <v>726</v>
          </cell>
          <cell r="N24">
            <v>697</v>
          </cell>
          <cell r="O24">
            <v>775</v>
          </cell>
          <cell r="P24">
            <v>867</v>
          </cell>
          <cell r="Q24">
            <v>697</v>
          </cell>
          <cell r="R24">
            <v>775</v>
          </cell>
          <cell r="S24">
            <v>775</v>
          </cell>
          <cell r="T24">
            <v>697</v>
          </cell>
          <cell r="U24">
            <v>697</v>
          </cell>
          <cell r="V24">
            <v>697</v>
          </cell>
          <cell r="W24">
            <v>726</v>
          </cell>
          <cell r="X24">
            <v>726</v>
          </cell>
          <cell r="Y24">
            <v>775</v>
          </cell>
          <cell r="Z24">
            <v>697</v>
          </cell>
          <cell r="AB24">
            <v>726</v>
          </cell>
          <cell r="AC24">
            <v>1036</v>
          </cell>
          <cell r="AD24">
            <v>867</v>
          </cell>
          <cell r="AE24">
            <v>775</v>
          </cell>
          <cell r="AF24">
            <v>726</v>
          </cell>
          <cell r="AG24">
            <v>775</v>
          </cell>
          <cell r="AH24">
            <v>775</v>
          </cell>
          <cell r="AI24">
            <v>697</v>
          </cell>
          <cell r="AJ24">
            <v>697</v>
          </cell>
          <cell r="AK24">
            <v>1036</v>
          </cell>
          <cell r="AL24">
            <v>697</v>
          </cell>
          <cell r="AM24">
            <v>775</v>
          </cell>
          <cell r="AN24">
            <v>1036</v>
          </cell>
          <cell r="AO24">
            <v>867</v>
          </cell>
          <cell r="AP24">
            <v>1036</v>
          </cell>
          <cell r="AQ24">
            <v>726</v>
          </cell>
          <cell r="AR24">
            <v>697</v>
          </cell>
          <cell r="AS24">
            <v>697</v>
          </cell>
          <cell r="AT24">
            <v>775</v>
          </cell>
          <cell r="AU24">
            <v>726</v>
          </cell>
          <cell r="AV24">
            <v>697</v>
          </cell>
          <cell r="AW24">
            <v>775</v>
          </cell>
          <cell r="AX24">
            <v>726</v>
          </cell>
          <cell r="AY24">
            <v>775</v>
          </cell>
          <cell r="AZ24">
            <v>697</v>
          </cell>
          <cell r="BA24">
            <v>697</v>
          </cell>
          <cell r="BC24">
            <v>1036</v>
          </cell>
          <cell r="BD24">
            <v>697</v>
          </cell>
          <cell r="BG24">
            <v>775</v>
          </cell>
          <cell r="BH24">
            <v>775</v>
          </cell>
          <cell r="BI24">
            <v>775</v>
          </cell>
          <cell r="BJ24">
            <v>726</v>
          </cell>
          <cell r="BK24">
            <v>867</v>
          </cell>
          <cell r="BL24">
            <v>726</v>
          </cell>
          <cell r="BM24">
            <v>726</v>
          </cell>
          <cell r="BN24">
            <v>697</v>
          </cell>
          <cell r="BO24">
            <v>775</v>
          </cell>
          <cell r="BP24">
            <v>697</v>
          </cell>
          <cell r="BQ24">
            <v>726</v>
          </cell>
          <cell r="BR24">
            <v>1036</v>
          </cell>
          <cell r="BS24">
            <v>697</v>
          </cell>
          <cell r="BT24">
            <v>867</v>
          </cell>
          <cell r="BU24">
            <v>726</v>
          </cell>
          <cell r="BV24">
            <v>726</v>
          </cell>
          <cell r="BW24">
            <v>775</v>
          </cell>
          <cell r="BX24">
            <v>726</v>
          </cell>
          <cell r="BY24">
            <v>697</v>
          </cell>
          <cell r="BZ24">
            <v>775</v>
          </cell>
          <cell r="CA24">
            <v>726</v>
          </cell>
          <cell r="CC24">
            <v>726</v>
          </cell>
          <cell r="CE24">
            <v>1036</v>
          </cell>
          <cell r="CF24">
            <v>726</v>
          </cell>
          <cell r="CG24">
            <v>775</v>
          </cell>
          <cell r="CH24">
            <v>726</v>
          </cell>
          <cell r="CI24">
            <v>697</v>
          </cell>
          <cell r="CJ24">
            <v>697</v>
          </cell>
          <cell r="CK24">
            <v>726</v>
          </cell>
          <cell r="CL24">
            <v>867</v>
          </cell>
          <cell r="CM24">
            <v>697</v>
          </cell>
          <cell r="CN24">
            <v>697</v>
          </cell>
          <cell r="CO24">
            <v>775</v>
          </cell>
          <cell r="CP24">
            <v>697</v>
          </cell>
          <cell r="CQ24">
            <v>697</v>
          </cell>
          <cell r="CR24">
            <v>726</v>
          </cell>
          <cell r="CS24">
            <v>726</v>
          </cell>
          <cell r="CT24">
            <v>726</v>
          </cell>
          <cell r="CU24">
            <v>867</v>
          </cell>
          <cell r="CV24">
            <v>697</v>
          </cell>
          <cell r="CW24">
            <v>775</v>
          </cell>
          <cell r="CX24">
            <v>697</v>
          </cell>
          <cell r="CY24">
            <v>775</v>
          </cell>
          <cell r="CZ24">
            <v>775</v>
          </cell>
          <cell r="DA24">
            <v>867</v>
          </cell>
          <cell r="DB24">
            <v>775</v>
          </cell>
          <cell r="DC24">
            <v>726</v>
          </cell>
          <cell r="DD24">
            <v>867</v>
          </cell>
          <cell r="DF24">
            <v>775</v>
          </cell>
          <cell r="DG24">
            <v>697</v>
          </cell>
          <cell r="DH24">
            <v>697</v>
          </cell>
          <cell r="DI24">
            <v>697</v>
          </cell>
          <cell r="DJ24">
            <v>775</v>
          </cell>
          <cell r="DK24">
            <v>697</v>
          </cell>
          <cell r="DL24">
            <v>697</v>
          </cell>
          <cell r="DM24">
            <v>726</v>
          </cell>
          <cell r="DN24">
            <v>775</v>
          </cell>
          <cell r="DO24">
            <v>775</v>
          </cell>
          <cell r="DP24">
            <v>775</v>
          </cell>
          <cell r="DQ24">
            <v>775</v>
          </cell>
          <cell r="DR24">
            <v>726</v>
          </cell>
        </row>
        <row r="25">
          <cell r="F25">
            <v>712</v>
          </cell>
          <cell r="G25">
            <v>793</v>
          </cell>
          <cell r="H25">
            <v>793</v>
          </cell>
          <cell r="I25">
            <v>793</v>
          </cell>
          <cell r="J25">
            <v>742</v>
          </cell>
          <cell r="K25">
            <v>793</v>
          </cell>
          <cell r="L25">
            <v>793</v>
          </cell>
          <cell r="M25">
            <v>742</v>
          </cell>
          <cell r="N25">
            <v>712</v>
          </cell>
          <cell r="O25">
            <v>793</v>
          </cell>
          <cell r="P25">
            <v>886</v>
          </cell>
          <cell r="Q25">
            <v>712</v>
          </cell>
          <cell r="R25">
            <v>793</v>
          </cell>
          <cell r="S25">
            <v>793</v>
          </cell>
          <cell r="T25">
            <v>712</v>
          </cell>
          <cell r="U25">
            <v>712</v>
          </cell>
          <cell r="V25">
            <v>712</v>
          </cell>
          <cell r="W25">
            <v>742</v>
          </cell>
          <cell r="X25">
            <v>742</v>
          </cell>
          <cell r="Y25">
            <v>793</v>
          </cell>
          <cell r="Z25">
            <v>712</v>
          </cell>
          <cell r="AB25">
            <v>742</v>
          </cell>
          <cell r="AC25">
            <v>1058</v>
          </cell>
          <cell r="AD25">
            <v>886</v>
          </cell>
          <cell r="AE25">
            <v>793</v>
          </cell>
          <cell r="AF25">
            <v>742</v>
          </cell>
          <cell r="AG25">
            <v>793</v>
          </cell>
          <cell r="AH25">
            <v>793</v>
          </cell>
          <cell r="AI25">
            <v>712</v>
          </cell>
          <cell r="AJ25">
            <v>712</v>
          </cell>
          <cell r="AK25">
            <v>1058</v>
          </cell>
          <cell r="AL25">
            <v>712</v>
          </cell>
          <cell r="AM25">
            <v>793</v>
          </cell>
          <cell r="AN25">
            <v>1058</v>
          </cell>
          <cell r="AO25">
            <v>886</v>
          </cell>
          <cell r="AP25">
            <v>1058</v>
          </cell>
          <cell r="AQ25">
            <v>742</v>
          </cell>
          <cell r="AR25">
            <v>712</v>
          </cell>
          <cell r="AS25">
            <v>712</v>
          </cell>
          <cell r="AT25">
            <v>793</v>
          </cell>
          <cell r="AU25">
            <v>742</v>
          </cell>
          <cell r="AV25">
            <v>712</v>
          </cell>
          <cell r="AW25">
            <v>793</v>
          </cell>
          <cell r="AX25">
            <v>742</v>
          </cell>
          <cell r="AY25">
            <v>793</v>
          </cell>
          <cell r="AZ25">
            <v>712</v>
          </cell>
          <cell r="BA25">
            <v>712</v>
          </cell>
          <cell r="BC25">
            <v>1058</v>
          </cell>
          <cell r="BD25">
            <v>712</v>
          </cell>
          <cell r="BG25">
            <v>793</v>
          </cell>
          <cell r="BH25">
            <v>793</v>
          </cell>
          <cell r="BI25">
            <v>793</v>
          </cell>
          <cell r="BJ25">
            <v>742</v>
          </cell>
          <cell r="BK25">
            <v>886</v>
          </cell>
          <cell r="BL25">
            <v>742</v>
          </cell>
          <cell r="BM25">
            <v>742</v>
          </cell>
          <cell r="BN25">
            <v>712</v>
          </cell>
          <cell r="BO25">
            <v>793</v>
          </cell>
          <cell r="BP25">
            <v>712</v>
          </cell>
          <cell r="BQ25">
            <v>742</v>
          </cell>
          <cell r="BR25">
            <v>1058</v>
          </cell>
          <cell r="BS25">
            <v>712</v>
          </cell>
          <cell r="BT25">
            <v>886</v>
          </cell>
          <cell r="BU25">
            <v>742</v>
          </cell>
          <cell r="BV25">
            <v>742</v>
          </cell>
          <cell r="BW25">
            <v>793</v>
          </cell>
          <cell r="BX25">
            <v>742</v>
          </cell>
          <cell r="BY25">
            <v>712</v>
          </cell>
          <cell r="BZ25">
            <v>793</v>
          </cell>
          <cell r="CA25">
            <v>742</v>
          </cell>
          <cell r="CC25">
            <v>742</v>
          </cell>
          <cell r="CE25">
            <v>1058</v>
          </cell>
          <cell r="CF25">
            <v>742</v>
          </cell>
          <cell r="CG25">
            <v>793</v>
          </cell>
          <cell r="CH25">
            <v>742</v>
          </cell>
          <cell r="CI25">
            <v>712</v>
          </cell>
          <cell r="CJ25">
            <v>712</v>
          </cell>
          <cell r="CK25">
            <v>742</v>
          </cell>
          <cell r="CL25">
            <v>886</v>
          </cell>
          <cell r="CM25">
            <v>712</v>
          </cell>
          <cell r="CN25">
            <v>712</v>
          </cell>
          <cell r="CO25">
            <v>793</v>
          </cell>
          <cell r="CP25">
            <v>712</v>
          </cell>
          <cell r="CQ25">
            <v>712</v>
          </cell>
          <cell r="CR25">
            <v>742</v>
          </cell>
          <cell r="CS25">
            <v>742</v>
          </cell>
          <cell r="CT25">
            <v>742</v>
          </cell>
          <cell r="CU25">
            <v>886</v>
          </cell>
          <cell r="CV25">
            <v>712</v>
          </cell>
          <cell r="CW25">
            <v>793</v>
          </cell>
          <cell r="CX25">
            <v>712</v>
          </cell>
          <cell r="CY25">
            <v>793</v>
          </cell>
          <cell r="CZ25">
            <v>793</v>
          </cell>
          <cell r="DA25">
            <v>886</v>
          </cell>
          <cell r="DB25">
            <v>793</v>
          </cell>
          <cell r="DC25">
            <v>742</v>
          </cell>
          <cell r="DD25">
            <v>886</v>
          </cell>
          <cell r="DF25">
            <v>793</v>
          </cell>
          <cell r="DG25">
            <v>712</v>
          </cell>
          <cell r="DH25">
            <v>712</v>
          </cell>
          <cell r="DI25">
            <v>712</v>
          </cell>
          <cell r="DJ25">
            <v>793</v>
          </cell>
          <cell r="DK25">
            <v>712</v>
          </cell>
          <cell r="DL25">
            <v>712</v>
          </cell>
          <cell r="DM25">
            <v>742</v>
          </cell>
          <cell r="DN25">
            <v>793</v>
          </cell>
          <cell r="DO25">
            <v>793</v>
          </cell>
          <cell r="DP25">
            <v>793</v>
          </cell>
          <cell r="DQ25">
            <v>793</v>
          </cell>
          <cell r="DR25">
            <v>742</v>
          </cell>
        </row>
        <row r="26">
          <cell r="F26">
            <v>770</v>
          </cell>
          <cell r="G26">
            <v>858</v>
          </cell>
          <cell r="H26">
            <v>858</v>
          </cell>
          <cell r="I26">
            <v>858</v>
          </cell>
          <cell r="J26">
            <v>803</v>
          </cell>
          <cell r="K26">
            <v>858</v>
          </cell>
          <cell r="L26">
            <v>858</v>
          </cell>
          <cell r="M26">
            <v>803</v>
          </cell>
          <cell r="N26">
            <v>770</v>
          </cell>
          <cell r="O26">
            <v>858</v>
          </cell>
          <cell r="P26">
            <v>962</v>
          </cell>
          <cell r="Q26">
            <v>770</v>
          </cell>
          <cell r="R26">
            <v>858</v>
          </cell>
          <cell r="S26">
            <v>858</v>
          </cell>
          <cell r="T26">
            <v>770</v>
          </cell>
          <cell r="U26">
            <v>770</v>
          </cell>
          <cell r="V26">
            <v>770</v>
          </cell>
          <cell r="W26">
            <v>803</v>
          </cell>
          <cell r="X26">
            <v>803</v>
          </cell>
          <cell r="Y26">
            <v>858</v>
          </cell>
          <cell r="Z26">
            <v>770</v>
          </cell>
          <cell r="AB26">
            <v>803</v>
          </cell>
          <cell r="AC26">
            <v>1151</v>
          </cell>
          <cell r="AD26">
            <v>962</v>
          </cell>
          <cell r="AE26">
            <v>858</v>
          </cell>
          <cell r="AF26">
            <v>803</v>
          </cell>
          <cell r="AG26">
            <v>858</v>
          </cell>
          <cell r="AH26">
            <v>858</v>
          </cell>
          <cell r="AI26">
            <v>770</v>
          </cell>
          <cell r="AJ26">
            <v>770</v>
          </cell>
          <cell r="AK26">
            <v>1151</v>
          </cell>
          <cell r="AL26">
            <v>770</v>
          </cell>
          <cell r="AM26">
            <v>858</v>
          </cell>
          <cell r="AN26">
            <v>1151</v>
          </cell>
          <cell r="AO26">
            <v>962</v>
          </cell>
          <cell r="AP26">
            <v>1151</v>
          </cell>
          <cell r="AQ26">
            <v>803</v>
          </cell>
          <cell r="AR26">
            <v>770</v>
          </cell>
          <cell r="AS26">
            <v>770</v>
          </cell>
          <cell r="AT26">
            <v>858</v>
          </cell>
          <cell r="AU26">
            <v>803</v>
          </cell>
          <cell r="AV26">
            <v>770</v>
          </cell>
          <cell r="AW26">
            <v>858</v>
          </cell>
          <cell r="AX26">
            <v>803</v>
          </cell>
          <cell r="AY26">
            <v>858</v>
          </cell>
          <cell r="AZ26">
            <v>770</v>
          </cell>
          <cell r="BA26">
            <v>770</v>
          </cell>
          <cell r="BC26">
            <v>1151</v>
          </cell>
          <cell r="BD26">
            <v>770</v>
          </cell>
          <cell r="BG26">
            <v>858</v>
          </cell>
          <cell r="BH26">
            <v>858</v>
          </cell>
          <cell r="BI26">
            <v>858</v>
          </cell>
          <cell r="BJ26">
            <v>803</v>
          </cell>
          <cell r="BK26">
            <v>962</v>
          </cell>
          <cell r="BL26">
            <v>803</v>
          </cell>
          <cell r="BM26">
            <v>803</v>
          </cell>
          <cell r="BN26">
            <v>770</v>
          </cell>
          <cell r="BO26">
            <v>858</v>
          </cell>
          <cell r="BP26">
            <v>770</v>
          </cell>
          <cell r="BQ26">
            <v>803</v>
          </cell>
          <cell r="BR26">
            <v>1151</v>
          </cell>
          <cell r="BS26">
            <v>770</v>
          </cell>
          <cell r="BT26">
            <v>962</v>
          </cell>
          <cell r="BU26">
            <v>803</v>
          </cell>
          <cell r="BV26">
            <v>803</v>
          </cell>
          <cell r="BW26">
            <v>858</v>
          </cell>
          <cell r="BX26">
            <v>803</v>
          </cell>
          <cell r="BY26">
            <v>770</v>
          </cell>
          <cell r="BZ26">
            <v>858</v>
          </cell>
          <cell r="CA26">
            <v>803</v>
          </cell>
          <cell r="CC26">
            <v>803</v>
          </cell>
          <cell r="CE26">
            <v>1151</v>
          </cell>
          <cell r="CF26">
            <v>803</v>
          </cell>
          <cell r="CG26">
            <v>858</v>
          </cell>
          <cell r="CH26">
            <v>803</v>
          </cell>
          <cell r="CI26">
            <v>770</v>
          </cell>
          <cell r="CJ26">
            <v>770</v>
          </cell>
          <cell r="CK26">
            <v>803</v>
          </cell>
          <cell r="CL26">
            <v>962</v>
          </cell>
          <cell r="CM26">
            <v>770</v>
          </cell>
          <cell r="CN26">
            <v>770</v>
          </cell>
          <cell r="CO26">
            <v>858</v>
          </cell>
          <cell r="CP26">
            <v>770</v>
          </cell>
          <cell r="CQ26">
            <v>770</v>
          </cell>
          <cell r="CR26">
            <v>803</v>
          </cell>
          <cell r="CS26">
            <v>803</v>
          </cell>
          <cell r="CT26">
            <v>803</v>
          </cell>
          <cell r="CU26">
            <v>962</v>
          </cell>
          <cell r="CV26">
            <v>770</v>
          </cell>
          <cell r="CW26">
            <v>858</v>
          </cell>
          <cell r="CX26">
            <v>770</v>
          </cell>
          <cell r="CY26">
            <v>858</v>
          </cell>
          <cell r="CZ26">
            <v>858</v>
          </cell>
          <cell r="DA26">
            <v>962</v>
          </cell>
          <cell r="DB26">
            <v>858</v>
          </cell>
          <cell r="DC26">
            <v>803</v>
          </cell>
          <cell r="DD26">
            <v>962</v>
          </cell>
          <cell r="DF26">
            <v>858</v>
          </cell>
          <cell r="DG26">
            <v>770</v>
          </cell>
          <cell r="DH26">
            <v>770</v>
          </cell>
          <cell r="DI26">
            <v>770</v>
          </cell>
          <cell r="DJ26">
            <v>858</v>
          </cell>
          <cell r="DK26">
            <v>770</v>
          </cell>
          <cell r="DL26">
            <v>770</v>
          </cell>
          <cell r="DM26">
            <v>803</v>
          </cell>
          <cell r="DN26">
            <v>858</v>
          </cell>
          <cell r="DO26">
            <v>858</v>
          </cell>
          <cell r="DP26">
            <v>858</v>
          </cell>
          <cell r="DQ26">
            <v>858</v>
          </cell>
          <cell r="DR26">
            <v>803</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operations@tfflogistics.com" TargetMode="External"/><Relationship Id="rId1" Type="http://schemas.openxmlformats.org/officeDocument/2006/relationships/hyperlink" Target="mailto:sales.nl@xpo.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mailto:XPOUK-IE.nl@xpo.com" TargetMode="External"/><Relationship Id="rId13" Type="http://schemas.openxmlformats.org/officeDocument/2006/relationships/hyperlink" Target="mailto:XPOhungary.nl@xpo.com" TargetMode="External"/><Relationship Id="rId18" Type="http://schemas.openxmlformats.org/officeDocument/2006/relationships/hyperlink" Target="mailto:XPOcz-sk.nl@xpo.com" TargetMode="External"/><Relationship Id="rId26" Type="http://schemas.openxmlformats.org/officeDocument/2006/relationships/hyperlink" Target="mailto:sales.nl@xpo.com" TargetMode="External"/><Relationship Id="rId3" Type="http://schemas.openxmlformats.org/officeDocument/2006/relationships/hyperlink" Target="mailto:maarten.baggerman@xpo.com" TargetMode="External"/><Relationship Id="rId21" Type="http://schemas.openxmlformats.org/officeDocument/2006/relationships/hyperlink" Target="mailto:XPObaltics.nl@xpo.com" TargetMode="External"/><Relationship Id="rId7" Type="http://schemas.openxmlformats.org/officeDocument/2006/relationships/hyperlink" Target="mailto:XPOScandinavia.nl@xpo.com" TargetMode="External"/><Relationship Id="rId12" Type="http://schemas.openxmlformats.org/officeDocument/2006/relationships/hyperlink" Target="mailto:XPOItalyexport.nl@xpo.com" TargetMode="External"/><Relationship Id="rId17" Type="http://schemas.openxmlformats.org/officeDocument/2006/relationships/hyperlink" Target="mailto:XPODE-AT-CH.nl@xpo.com" TargetMode="External"/><Relationship Id="rId25" Type="http://schemas.openxmlformats.org/officeDocument/2006/relationships/hyperlink" Target="mailto:xpofinance.nl@xpo.com" TargetMode="External"/><Relationship Id="rId2" Type="http://schemas.openxmlformats.org/officeDocument/2006/relationships/hyperlink" Target="mailto:etienne.vanheusden@xpo.com" TargetMode="External"/><Relationship Id="rId16" Type="http://schemas.openxmlformats.org/officeDocument/2006/relationships/hyperlink" Target="mailto:xpoES-PT.nl@xpo.com" TargetMode="External"/><Relationship Id="rId20" Type="http://schemas.openxmlformats.org/officeDocument/2006/relationships/hyperlink" Target="mailto:XPOcis.nl@xpo.com" TargetMode="External"/><Relationship Id="rId29" Type="http://schemas.openxmlformats.org/officeDocument/2006/relationships/drawing" Target="../drawings/drawing29.xml"/><Relationship Id="rId1" Type="http://schemas.openxmlformats.org/officeDocument/2006/relationships/hyperlink" Target="mailto:Pascal.Tenhaaf@xpo.com" TargetMode="External"/><Relationship Id="rId6" Type="http://schemas.openxmlformats.org/officeDocument/2006/relationships/hyperlink" Target="mailto:XPOturkey.nl@xpo.com" TargetMode="External"/><Relationship Id="rId11" Type="http://schemas.openxmlformats.org/officeDocument/2006/relationships/hyperlink" Target="mailto:XPOItalyimport.nl@xpo.com" TargetMode="External"/><Relationship Id="rId24" Type="http://schemas.openxmlformats.org/officeDocument/2006/relationships/hyperlink" Target="mailto:cs.eastsouth@xpo.com" TargetMode="External"/><Relationship Id="rId5" Type="http://schemas.openxmlformats.org/officeDocument/2006/relationships/hyperlink" Target="mailto:XPOFTL.nl@xpo.com" TargetMode="External"/><Relationship Id="rId15" Type="http://schemas.openxmlformats.org/officeDocument/2006/relationships/hyperlink" Target="mailto:xpoFR.nl@xpo.com" TargetMode="External"/><Relationship Id="rId23" Type="http://schemas.openxmlformats.org/officeDocument/2006/relationships/hyperlink" Target="mailto:XPOBenelux.nl@xpo.com" TargetMode="External"/><Relationship Id="rId28" Type="http://schemas.openxmlformats.org/officeDocument/2006/relationships/printerSettings" Target="../printerSettings/printerSettings29.bin"/><Relationship Id="rId10" Type="http://schemas.openxmlformats.org/officeDocument/2006/relationships/hyperlink" Target="mailto:XPOpoland.nl@xpo.com" TargetMode="External"/><Relationship Id="rId19" Type="http://schemas.openxmlformats.org/officeDocument/2006/relationships/hyperlink" Target="mailto:XPObulgaria.nl@xpo.com" TargetMode="External"/><Relationship Id="rId4" Type="http://schemas.openxmlformats.org/officeDocument/2006/relationships/hyperlink" Target="mailto:robbie.demers@xpo.com" TargetMode="External"/><Relationship Id="rId9" Type="http://schemas.openxmlformats.org/officeDocument/2006/relationships/hyperlink" Target="mailto:XPOromania.nl@xpo.com" TargetMode="External"/><Relationship Id="rId14" Type="http://schemas.openxmlformats.org/officeDocument/2006/relationships/hyperlink" Target="mailto:XPOgreece.nl@xpo.com" TargetMode="External"/><Relationship Id="rId22" Type="http://schemas.openxmlformats.org/officeDocument/2006/relationships/hyperlink" Target="mailto:XPObalkan.nl@xpo.com" TargetMode="External"/><Relationship Id="rId27" Type="http://schemas.openxmlformats.org/officeDocument/2006/relationships/hyperlink" Target="https://europe.xpo.com/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341AC-1775-4292-A9B9-0C54CEB2BA10}">
  <dimension ref="A1:I23"/>
  <sheetViews>
    <sheetView showGridLines="0" tabSelected="1" workbookViewId="0"/>
  </sheetViews>
  <sheetFormatPr defaultRowHeight="15"/>
  <cols>
    <col min="1" max="4" width="10.5703125" style="1" customWidth="1"/>
    <col min="5" max="5" width="10.5703125" style="3" customWidth="1"/>
    <col min="75" max="75" width="9.7109375" bestFit="1" customWidth="1"/>
  </cols>
  <sheetData>
    <row r="1" spans="1:9" ht="15" customHeight="1"/>
    <row r="2" spans="1:9" ht="15" customHeight="1">
      <c r="A2" s="9"/>
      <c r="B2" s="9"/>
      <c r="C2" s="9"/>
      <c r="D2" s="9"/>
      <c r="E2" s="9"/>
      <c r="F2" s="9"/>
      <c r="G2" s="9"/>
      <c r="H2" s="9"/>
      <c r="I2" s="9"/>
    </row>
    <row r="3" spans="1:9" s="25" customFormat="1" ht="18.75">
      <c r="A3" s="9" t="s">
        <v>0</v>
      </c>
      <c r="B3" s="46"/>
      <c r="C3" s="46"/>
      <c r="D3" s="46"/>
      <c r="E3" s="46"/>
      <c r="F3" s="46"/>
      <c r="G3" s="46"/>
      <c r="H3" s="46"/>
      <c r="I3" s="46"/>
    </row>
    <row r="4" spans="1:9" s="25" customFormat="1" ht="15" customHeight="1">
      <c r="A4" s="46"/>
      <c r="B4" s="46"/>
      <c r="C4" s="46"/>
      <c r="D4" s="46"/>
      <c r="E4" s="46"/>
      <c r="F4" s="46"/>
      <c r="G4" s="46"/>
      <c r="H4" s="46"/>
      <c r="I4" s="46"/>
    </row>
    <row r="5" spans="1:9" ht="15" customHeight="1">
      <c r="A5" s="35" t="s">
        <v>1</v>
      </c>
      <c r="B5" s="7"/>
      <c r="C5" s="7"/>
      <c r="D5" s="7"/>
      <c r="E5" s="36" t="s">
        <v>2</v>
      </c>
    </row>
    <row r="6" spans="1:9" ht="15" customHeight="1">
      <c r="A6" s="3" t="s">
        <v>3</v>
      </c>
      <c r="B6" s="7"/>
      <c r="C6" s="7"/>
      <c r="D6" s="7"/>
      <c r="E6" s="26" t="s">
        <v>4</v>
      </c>
    </row>
    <row r="7" spans="1:9" ht="15" customHeight="1">
      <c r="A7" s="3" t="s">
        <v>5</v>
      </c>
      <c r="B7" s="7"/>
      <c r="C7" s="7"/>
      <c r="D7" s="7"/>
      <c r="E7" s="26" t="s">
        <v>6</v>
      </c>
    </row>
    <row r="8" spans="1:9" ht="15" customHeight="1">
      <c r="A8" s="34" t="s">
        <v>7</v>
      </c>
      <c r="B8" s="7"/>
      <c r="C8" s="7"/>
      <c r="D8" s="7"/>
      <c r="E8" s="26" t="s">
        <v>8</v>
      </c>
    </row>
    <row r="9" spans="1:9" ht="15" customHeight="1">
      <c r="A9" s="52"/>
      <c r="B9" s="3"/>
      <c r="C9" s="3"/>
      <c r="D9" s="3"/>
      <c r="E9" s="34" t="s">
        <v>9</v>
      </c>
    </row>
    <row r="10" spans="1:9" ht="15" customHeight="1">
      <c r="A10" s="47"/>
      <c r="B10" s="3"/>
      <c r="C10" s="3"/>
      <c r="D10" s="3"/>
    </row>
    <row r="11" spans="1:9" ht="15" customHeight="1">
      <c r="A11" s="47"/>
      <c r="B11" s="3"/>
      <c r="C11" s="3"/>
      <c r="D11" s="3"/>
    </row>
    <row r="12" spans="1:9" ht="15" customHeight="1">
      <c r="B12" s="3"/>
      <c r="C12" s="3"/>
      <c r="D12" s="3"/>
    </row>
    <row r="13" spans="1:9" ht="15" customHeight="1">
      <c r="A13" s="35" t="s">
        <v>10</v>
      </c>
      <c r="B13" s="3"/>
      <c r="C13" s="3"/>
      <c r="D13" s="3"/>
      <c r="E13" s="35" t="s">
        <v>11</v>
      </c>
    </row>
    <row r="14" spans="1:9" ht="15" customHeight="1">
      <c r="A14" s="61" t="s">
        <v>12</v>
      </c>
      <c r="B14" s="3"/>
      <c r="C14" s="3"/>
      <c r="D14" s="3"/>
      <c r="E14" s="61" t="s">
        <v>13</v>
      </c>
    </row>
    <row r="15" spans="1:9" ht="15" customHeight="1">
      <c r="A15" s="3"/>
      <c r="B15" s="3"/>
      <c r="C15" s="3"/>
      <c r="D15" s="3"/>
    </row>
    <row r="16" spans="1:9" ht="15" customHeight="1">
      <c r="A16" s="3"/>
    </row>
    <row r="17" spans="1:6" ht="15" customHeight="1">
      <c r="A17" s="35" t="s">
        <v>14</v>
      </c>
      <c r="E17" s="1"/>
      <c r="F17" s="3"/>
    </row>
    <row r="18" spans="1:6" ht="15" customHeight="1">
      <c r="A18" s="3" t="s">
        <v>15</v>
      </c>
    </row>
    <row r="19" spans="1:6" ht="15" customHeight="1">
      <c r="A19" s="3" t="s">
        <v>16</v>
      </c>
      <c r="B19" s="32"/>
      <c r="C19" s="32"/>
      <c r="D19" s="32"/>
    </row>
    <row r="20" spans="1:6" ht="15" customHeight="1">
      <c r="D20" s="32"/>
    </row>
    <row r="21" spans="1:6" ht="15" customHeight="1">
      <c r="A21" s="32" t="s">
        <v>17</v>
      </c>
      <c r="B21" s="32"/>
      <c r="C21" s="32"/>
      <c r="D21" s="32"/>
    </row>
    <row r="22" spans="1:6" ht="15" customHeight="1">
      <c r="B22" s="32"/>
      <c r="C22" s="32"/>
      <c r="D22" s="32"/>
    </row>
    <row r="23" spans="1:6" ht="15" customHeight="1">
      <c r="A23" s="32" t="s">
        <v>18</v>
      </c>
      <c r="B23" s="32"/>
      <c r="C23" s="32" t="str">
        <f>A5</f>
        <v>Team Freight Forwarding Logistics</v>
      </c>
    </row>
  </sheetData>
  <hyperlinks>
    <hyperlink ref="E9" r:id="rId1" xr:uid="{6A85EAA3-1419-4C61-87F7-47C8C8B7C42C}"/>
    <hyperlink ref="A8" r:id="rId2" xr:uid="{B44D8649-F37E-4C41-A8E1-6C9834AE1C47}"/>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CA41-D597-4CC1-82C6-DB4681401785}">
  <dimension ref="A1:CC35"/>
  <sheetViews>
    <sheetView showGridLines="0" workbookViewId="0">
      <pane xSplit="4" ySplit="6" topLeftCell="E7" activePane="bottomRight" state="frozen"/>
      <selection pane="bottomRight" activeCell="E7" sqref="E7"/>
      <selection pane="bottomLeft" activeCell="E9" sqref="E9:CC26"/>
      <selection pane="topRight" activeCell="E9" sqref="E9:CC26"/>
    </sheetView>
  </sheetViews>
  <sheetFormatPr defaultRowHeight="15"/>
  <cols>
    <col min="1" max="4" width="11.7109375" style="1" customWidth="1"/>
    <col min="5" max="5" width="10.5703125" style="3" customWidth="1"/>
    <col min="6" max="340" width="10.5703125" customWidth="1"/>
  </cols>
  <sheetData>
    <row r="1" spans="1:81" ht="15" customHeight="1"/>
    <row r="2" spans="1:81" ht="15" customHeight="1">
      <c r="A2" s="9"/>
      <c r="B2" s="7"/>
      <c r="C2" s="7"/>
      <c r="D2" s="7"/>
      <c r="E2" s="7"/>
    </row>
    <row r="3" spans="1:81" ht="20.45" customHeight="1">
      <c r="A3" s="9" t="str">
        <f>Voorblad!A5</f>
        <v>Team Freight Forwarding Logistics</v>
      </c>
      <c r="B3" s="8"/>
      <c r="C3" s="8"/>
      <c r="D3" s="8"/>
      <c r="E3" s="48"/>
    </row>
    <row r="4" spans="1:81" s="51" customFormat="1" ht="15.75">
      <c r="A4" s="62" t="s">
        <v>19</v>
      </c>
      <c r="B4" s="49"/>
      <c r="C4" s="50"/>
      <c r="D4" s="50"/>
      <c r="E4" s="50"/>
    </row>
    <row r="5" spans="1:81" ht="15" customHeight="1">
      <c r="A5" s="7"/>
      <c r="B5" s="7"/>
      <c r="C5" s="7"/>
      <c r="D5" s="7"/>
      <c r="E5" s="26"/>
    </row>
    <row r="6" spans="1:81" ht="15" customHeight="1">
      <c r="A6" s="63" t="s">
        <v>20</v>
      </c>
      <c r="B6" s="63" t="s">
        <v>21</v>
      </c>
      <c r="C6" s="64" t="s">
        <v>22</v>
      </c>
      <c r="D6" s="64" t="s">
        <v>23</v>
      </c>
      <c r="E6" s="2">
        <v>10</v>
      </c>
      <c r="F6" s="2">
        <v>11</v>
      </c>
      <c r="G6" s="2">
        <v>12</v>
      </c>
      <c r="H6" s="2">
        <v>13</v>
      </c>
      <c r="I6" s="2">
        <v>20</v>
      </c>
      <c r="J6" s="2">
        <v>21</v>
      </c>
      <c r="K6" s="2">
        <v>22</v>
      </c>
      <c r="L6" s="2">
        <v>23</v>
      </c>
      <c r="M6" s="2">
        <v>24</v>
      </c>
      <c r="N6" s="2">
        <v>25</v>
      </c>
      <c r="O6" s="65">
        <v>26</v>
      </c>
      <c r="P6" s="2">
        <v>27</v>
      </c>
      <c r="Q6" s="2">
        <v>28</v>
      </c>
      <c r="R6" s="2">
        <v>30</v>
      </c>
      <c r="S6" s="2">
        <v>31</v>
      </c>
      <c r="T6" s="2">
        <v>32</v>
      </c>
      <c r="U6" s="2">
        <v>33</v>
      </c>
      <c r="V6" s="2">
        <v>34</v>
      </c>
      <c r="W6" s="2">
        <v>35</v>
      </c>
      <c r="X6" s="2">
        <v>36</v>
      </c>
      <c r="Y6" s="2">
        <v>37</v>
      </c>
      <c r="Z6" s="2">
        <v>38</v>
      </c>
      <c r="AA6" s="65">
        <v>39</v>
      </c>
      <c r="AB6" s="2">
        <v>40</v>
      </c>
      <c r="AC6" s="2">
        <v>41</v>
      </c>
      <c r="AD6" s="65">
        <v>42</v>
      </c>
      <c r="AE6" s="65">
        <v>43</v>
      </c>
      <c r="AF6" s="2">
        <v>44</v>
      </c>
      <c r="AG6" s="2">
        <v>45</v>
      </c>
      <c r="AH6" s="2">
        <v>46</v>
      </c>
      <c r="AI6" s="2">
        <v>47</v>
      </c>
      <c r="AJ6" s="2">
        <v>48</v>
      </c>
      <c r="AK6" s="2">
        <v>49</v>
      </c>
      <c r="AL6" s="2">
        <v>50</v>
      </c>
      <c r="AM6" s="63">
        <v>51</v>
      </c>
      <c r="AN6" s="2">
        <v>52</v>
      </c>
      <c r="AO6" s="2">
        <v>53</v>
      </c>
      <c r="AP6" s="2">
        <v>54</v>
      </c>
      <c r="AQ6" s="2">
        <v>55</v>
      </c>
      <c r="AR6" s="2">
        <v>56</v>
      </c>
      <c r="AS6" s="63">
        <v>57</v>
      </c>
      <c r="AT6" s="63">
        <v>60</v>
      </c>
      <c r="AU6" s="2">
        <v>61</v>
      </c>
      <c r="AV6" s="63">
        <v>62</v>
      </c>
      <c r="AW6" s="2">
        <v>63</v>
      </c>
      <c r="AX6" s="2">
        <v>64</v>
      </c>
      <c r="AY6" s="2">
        <v>65</v>
      </c>
      <c r="AZ6" s="2">
        <v>66</v>
      </c>
      <c r="BA6" s="63">
        <v>67</v>
      </c>
      <c r="BB6" s="63">
        <v>68</v>
      </c>
      <c r="BC6" s="2">
        <v>69</v>
      </c>
      <c r="BD6" s="63">
        <v>70</v>
      </c>
      <c r="BE6" s="2">
        <v>71</v>
      </c>
      <c r="BF6" s="2">
        <v>72</v>
      </c>
      <c r="BG6" s="2">
        <v>73</v>
      </c>
      <c r="BH6" s="2">
        <v>74</v>
      </c>
      <c r="BI6" s="66">
        <v>75</v>
      </c>
      <c r="BJ6" s="63">
        <v>80</v>
      </c>
      <c r="BK6" s="2">
        <v>81</v>
      </c>
      <c r="BL6" s="2">
        <v>82</v>
      </c>
      <c r="BM6" s="2">
        <v>83</v>
      </c>
      <c r="BN6" s="2">
        <v>84</v>
      </c>
      <c r="BO6" s="2">
        <v>85</v>
      </c>
      <c r="BP6" s="2">
        <v>86</v>
      </c>
      <c r="BQ6" s="2">
        <v>87</v>
      </c>
      <c r="BR6" s="2">
        <v>88</v>
      </c>
      <c r="BS6" s="2">
        <v>89</v>
      </c>
      <c r="BT6" s="63">
        <v>90</v>
      </c>
      <c r="BU6" s="2">
        <v>91</v>
      </c>
      <c r="BV6" s="2">
        <v>92</v>
      </c>
      <c r="BW6" s="2">
        <v>93</v>
      </c>
      <c r="BX6" s="2">
        <v>94</v>
      </c>
      <c r="BY6" s="2">
        <v>95</v>
      </c>
      <c r="BZ6" s="2">
        <v>96</v>
      </c>
      <c r="CA6" s="2">
        <v>97</v>
      </c>
      <c r="CB6" s="2">
        <v>98</v>
      </c>
      <c r="CC6" s="2">
        <v>99</v>
      </c>
    </row>
    <row r="7" spans="1:81" ht="15" customHeight="1">
      <c r="A7" s="67">
        <v>300</v>
      </c>
      <c r="B7" s="64">
        <v>0.2</v>
      </c>
      <c r="C7" s="64">
        <v>0.5</v>
      </c>
      <c r="D7" s="64"/>
      <c r="E7" s="68">
        <v>235</v>
      </c>
      <c r="F7" s="68">
        <v>235</v>
      </c>
      <c r="G7" s="68">
        <v>235</v>
      </c>
      <c r="H7" s="68">
        <v>235</v>
      </c>
      <c r="I7" s="68">
        <v>235</v>
      </c>
      <c r="J7" s="68">
        <v>235</v>
      </c>
      <c r="K7" s="68">
        <v>235</v>
      </c>
      <c r="L7" s="68">
        <v>235</v>
      </c>
      <c r="M7" s="68">
        <v>235</v>
      </c>
      <c r="N7" s="68">
        <v>235</v>
      </c>
      <c r="O7" s="68">
        <v>235</v>
      </c>
      <c r="P7" s="68">
        <v>235</v>
      </c>
      <c r="Q7" s="68">
        <v>235</v>
      </c>
      <c r="R7" s="68">
        <v>235</v>
      </c>
      <c r="S7" s="68">
        <v>235</v>
      </c>
      <c r="T7" s="68">
        <v>235</v>
      </c>
      <c r="U7" s="68">
        <v>235</v>
      </c>
      <c r="V7" s="68">
        <v>235</v>
      </c>
      <c r="W7" s="68">
        <v>235</v>
      </c>
      <c r="X7" s="68">
        <v>235</v>
      </c>
      <c r="Y7" s="68">
        <v>235</v>
      </c>
      <c r="Z7" s="68">
        <v>235</v>
      </c>
      <c r="AA7" s="68">
        <v>235</v>
      </c>
      <c r="AB7" s="68">
        <v>230</v>
      </c>
      <c r="AC7" s="68">
        <v>230</v>
      </c>
      <c r="AD7" s="68">
        <v>230</v>
      </c>
      <c r="AE7" s="68">
        <v>230</v>
      </c>
      <c r="AF7" s="68">
        <v>230</v>
      </c>
      <c r="AG7" s="68">
        <v>230</v>
      </c>
      <c r="AH7" s="68">
        <v>230</v>
      </c>
      <c r="AI7" s="68">
        <v>230</v>
      </c>
      <c r="AJ7" s="68">
        <v>230</v>
      </c>
      <c r="AK7" s="68">
        <v>230</v>
      </c>
      <c r="AL7" s="68">
        <v>230</v>
      </c>
      <c r="AM7" s="68">
        <v>230</v>
      </c>
      <c r="AN7" s="68">
        <v>230</v>
      </c>
      <c r="AO7" s="68">
        <v>230</v>
      </c>
      <c r="AP7" s="68">
        <v>230</v>
      </c>
      <c r="AQ7" s="68">
        <v>230</v>
      </c>
      <c r="AR7" s="68">
        <v>230</v>
      </c>
      <c r="AS7" s="68">
        <v>230</v>
      </c>
      <c r="AT7" s="68">
        <v>230</v>
      </c>
      <c r="AU7" s="68">
        <v>230</v>
      </c>
      <c r="AV7" s="68">
        <v>230</v>
      </c>
      <c r="AW7" s="68">
        <v>230</v>
      </c>
      <c r="AX7" s="68">
        <v>230</v>
      </c>
      <c r="AY7" s="68">
        <v>230</v>
      </c>
      <c r="AZ7" s="68">
        <v>230</v>
      </c>
      <c r="BA7" s="68">
        <v>230</v>
      </c>
      <c r="BB7" s="68">
        <v>230</v>
      </c>
      <c r="BC7" s="68">
        <v>230</v>
      </c>
      <c r="BD7" s="68">
        <v>255</v>
      </c>
      <c r="BE7" s="68">
        <v>255</v>
      </c>
      <c r="BF7" s="68">
        <v>255</v>
      </c>
      <c r="BG7" s="68">
        <v>255</v>
      </c>
      <c r="BH7" s="68">
        <v>255</v>
      </c>
      <c r="BI7" s="68">
        <v>255</v>
      </c>
      <c r="BJ7" s="68">
        <v>255</v>
      </c>
      <c r="BK7" s="68">
        <v>255</v>
      </c>
      <c r="BL7" s="68">
        <v>255</v>
      </c>
      <c r="BM7" s="68">
        <v>255</v>
      </c>
      <c r="BN7" s="68">
        <v>255</v>
      </c>
      <c r="BO7" s="68">
        <v>255</v>
      </c>
      <c r="BP7" s="68">
        <v>255</v>
      </c>
      <c r="BQ7" s="68">
        <v>255</v>
      </c>
      <c r="BR7" s="68">
        <v>255</v>
      </c>
      <c r="BS7" s="68">
        <v>255</v>
      </c>
      <c r="BT7" s="68">
        <v>275</v>
      </c>
      <c r="BU7" s="68">
        <v>275</v>
      </c>
      <c r="BV7" s="68">
        <v>275</v>
      </c>
      <c r="BW7" s="68">
        <v>275</v>
      </c>
      <c r="BX7" s="68">
        <v>275</v>
      </c>
      <c r="BY7" s="68">
        <v>275</v>
      </c>
      <c r="BZ7" s="68">
        <v>275</v>
      </c>
      <c r="CA7" s="68">
        <v>275</v>
      </c>
      <c r="CB7" s="68">
        <v>275</v>
      </c>
      <c r="CC7" s="68">
        <v>275</v>
      </c>
    </row>
    <row r="8" spans="1:81" ht="15" customHeight="1">
      <c r="A8" s="2">
        <v>700</v>
      </c>
      <c r="B8" s="64">
        <v>0.4</v>
      </c>
      <c r="C8" s="64">
        <v>1</v>
      </c>
      <c r="D8" s="64"/>
      <c r="E8" s="68">
        <v>235</v>
      </c>
      <c r="F8" s="68">
        <v>235</v>
      </c>
      <c r="G8" s="68">
        <v>235</v>
      </c>
      <c r="H8" s="68">
        <v>235</v>
      </c>
      <c r="I8" s="68">
        <v>235</v>
      </c>
      <c r="J8" s="68">
        <v>235</v>
      </c>
      <c r="K8" s="68">
        <v>235</v>
      </c>
      <c r="L8" s="68">
        <v>235</v>
      </c>
      <c r="M8" s="68">
        <v>235</v>
      </c>
      <c r="N8" s="68">
        <v>235</v>
      </c>
      <c r="O8" s="68">
        <v>235</v>
      </c>
      <c r="P8" s="68">
        <v>235</v>
      </c>
      <c r="Q8" s="68">
        <v>235</v>
      </c>
      <c r="R8" s="68">
        <v>235</v>
      </c>
      <c r="S8" s="68">
        <v>235</v>
      </c>
      <c r="T8" s="68">
        <v>235</v>
      </c>
      <c r="U8" s="68">
        <v>235</v>
      </c>
      <c r="V8" s="68">
        <v>235</v>
      </c>
      <c r="W8" s="68">
        <v>235</v>
      </c>
      <c r="X8" s="68">
        <v>235</v>
      </c>
      <c r="Y8" s="68">
        <v>235</v>
      </c>
      <c r="Z8" s="68">
        <v>235</v>
      </c>
      <c r="AA8" s="68">
        <v>235</v>
      </c>
      <c r="AB8" s="68">
        <v>230</v>
      </c>
      <c r="AC8" s="68">
        <v>230</v>
      </c>
      <c r="AD8" s="68">
        <v>230</v>
      </c>
      <c r="AE8" s="68">
        <v>230</v>
      </c>
      <c r="AF8" s="68">
        <v>230</v>
      </c>
      <c r="AG8" s="68">
        <v>230</v>
      </c>
      <c r="AH8" s="68">
        <v>230</v>
      </c>
      <c r="AI8" s="68">
        <v>230</v>
      </c>
      <c r="AJ8" s="68">
        <v>230</v>
      </c>
      <c r="AK8" s="68">
        <v>230</v>
      </c>
      <c r="AL8" s="68">
        <v>230</v>
      </c>
      <c r="AM8" s="68">
        <v>230</v>
      </c>
      <c r="AN8" s="68">
        <v>230</v>
      </c>
      <c r="AO8" s="68">
        <v>230</v>
      </c>
      <c r="AP8" s="68">
        <v>230</v>
      </c>
      <c r="AQ8" s="68">
        <v>230</v>
      </c>
      <c r="AR8" s="68">
        <v>230</v>
      </c>
      <c r="AS8" s="68">
        <v>230</v>
      </c>
      <c r="AT8" s="68">
        <v>230</v>
      </c>
      <c r="AU8" s="68">
        <v>230</v>
      </c>
      <c r="AV8" s="68">
        <v>230</v>
      </c>
      <c r="AW8" s="68">
        <v>230</v>
      </c>
      <c r="AX8" s="68">
        <v>230</v>
      </c>
      <c r="AY8" s="68">
        <v>230</v>
      </c>
      <c r="AZ8" s="68">
        <v>230</v>
      </c>
      <c r="BA8" s="68">
        <v>230</v>
      </c>
      <c r="BB8" s="68">
        <v>230</v>
      </c>
      <c r="BC8" s="68">
        <v>230</v>
      </c>
      <c r="BD8" s="68">
        <v>255</v>
      </c>
      <c r="BE8" s="68">
        <v>255</v>
      </c>
      <c r="BF8" s="68">
        <v>255</v>
      </c>
      <c r="BG8" s="68">
        <v>255</v>
      </c>
      <c r="BH8" s="68">
        <v>255</v>
      </c>
      <c r="BI8" s="68">
        <v>255</v>
      </c>
      <c r="BJ8" s="68">
        <v>255</v>
      </c>
      <c r="BK8" s="68">
        <v>255</v>
      </c>
      <c r="BL8" s="68">
        <v>255</v>
      </c>
      <c r="BM8" s="68">
        <v>255</v>
      </c>
      <c r="BN8" s="68">
        <v>255</v>
      </c>
      <c r="BO8" s="68">
        <v>255</v>
      </c>
      <c r="BP8" s="68">
        <v>255</v>
      </c>
      <c r="BQ8" s="68">
        <v>255</v>
      </c>
      <c r="BR8" s="68">
        <v>255</v>
      </c>
      <c r="BS8" s="68">
        <v>255</v>
      </c>
      <c r="BT8" s="68">
        <v>275</v>
      </c>
      <c r="BU8" s="68">
        <v>275</v>
      </c>
      <c r="BV8" s="68">
        <v>275</v>
      </c>
      <c r="BW8" s="68">
        <v>275</v>
      </c>
      <c r="BX8" s="68">
        <v>275</v>
      </c>
      <c r="BY8" s="68">
        <v>275</v>
      </c>
      <c r="BZ8" s="68">
        <v>275</v>
      </c>
      <c r="CA8" s="68">
        <v>275</v>
      </c>
      <c r="CB8" s="68">
        <v>275</v>
      </c>
      <c r="CC8" s="68">
        <v>275</v>
      </c>
    </row>
    <row r="9" spans="1:81" ht="15" customHeight="1">
      <c r="A9" s="2">
        <v>875</v>
      </c>
      <c r="B9" s="64">
        <v>0.5</v>
      </c>
      <c r="C9" s="64"/>
      <c r="D9" s="64">
        <v>1</v>
      </c>
      <c r="E9" s="68">
        <v>257</v>
      </c>
      <c r="F9" s="68">
        <v>257</v>
      </c>
      <c r="G9" s="68">
        <v>257</v>
      </c>
      <c r="H9" s="68">
        <v>257</v>
      </c>
      <c r="I9" s="68">
        <v>257</v>
      </c>
      <c r="J9" s="68">
        <v>257</v>
      </c>
      <c r="K9" s="68">
        <v>257</v>
      </c>
      <c r="L9" s="68">
        <v>257</v>
      </c>
      <c r="M9" s="68">
        <v>257</v>
      </c>
      <c r="N9" s="68">
        <v>257</v>
      </c>
      <c r="O9" s="68">
        <v>257</v>
      </c>
      <c r="P9" s="68">
        <v>257</v>
      </c>
      <c r="Q9" s="68">
        <v>257</v>
      </c>
      <c r="R9" s="68">
        <v>257</v>
      </c>
      <c r="S9" s="68">
        <v>257</v>
      </c>
      <c r="T9" s="68">
        <v>257</v>
      </c>
      <c r="U9" s="68">
        <v>257</v>
      </c>
      <c r="V9" s="68">
        <v>257</v>
      </c>
      <c r="W9" s="68">
        <v>257</v>
      </c>
      <c r="X9" s="68">
        <v>257</v>
      </c>
      <c r="Y9" s="68">
        <v>257</v>
      </c>
      <c r="Z9" s="68">
        <v>257</v>
      </c>
      <c r="AA9" s="68">
        <v>257</v>
      </c>
      <c r="AB9" s="68">
        <v>247</v>
      </c>
      <c r="AC9" s="68">
        <v>247</v>
      </c>
      <c r="AD9" s="68">
        <v>247</v>
      </c>
      <c r="AE9" s="68">
        <v>247</v>
      </c>
      <c r="AF9" s="68">
        <v>247</v>
      </c>
      <c r="AG9" s="68">
        <v>247</v>
      </c>
      <c r="AH9" s="68">
        <v>247</v>
      </c>
      <c r="AI9" s="68">
        <v>247</v>
      </c>
      <c r="AJ9" s="68">
        <v>247</v>
      </c>
      <c r="AK9" s="68">
        <v>247</v>
      </c>
      <c r="AL9" s="68">
        <v>247</v>
      </c>
      <c r="AM9" s="68">
        <v>247</v>
      </c>
      <c r="AN9" s="68">
        <v>247</v>
      </c>
      <c r="AO9" s="68">
        <v>247</v>
      </c>
      <c r="AP9" s="68">
        <v>247</v>
      </c>
      <c r="AQ9" s="68">
        <v>247</v>
      </c>
      <c r="AR9" s="68">
        <v>247</v>
      </c>
      <c r="AS9" s="68">
        <v>247</v>
      </c>
      <c r="AT9" s="68">
        <v>247</v>
      </c>
      <c r="AU9" s="68">
        <v>247</v>
      </c>
      <c r="AV9" s="68">
        <v>247</v>
      </c>
      <c r="AW9" s="68">
        <v>247</v>
      </c>
      <c r="AX9" s="68">
        <v>247</v>
      </c>
      <c r="AY9" s="68">
        <v>247</v>
      </c>
      <c r="AZ9" s="68">
        <v>247</v>
      </c>
      <c r="BA9" s="68">
        <v>247</v>
      </c>
      <c r="BB9" s="68">
        <v>247</v>
      </c>
      <c r="BC9" s="68">
        <v>247</v>
      </c>
      <c r="BD9" s="68">
        <v>277</v>
      </c>
      <c r="BE9" s="68">
        <v>277</v>
      </c>
      <c r="BF9" s="68">
        <v>277</v>
      </c>
      <c r="BG9" s="68">
        <v>277</v>
      </c>
      <c r="BH9" s="68">
        <v>277</v>
      </c>
      <c r="BI9" s="68">
        <v>277</v>
      </c>
      <c r="BJ9" s="68">
        <v>277</v>
      </c>
      <c r="BK9" s="68">
        <v>277</v>
      </c>
      <c r="BL9" s="68">
        <v>277</v>
      </c>
      <c r="BM9" s="68">
        <v>277</v>
      </c>
      <c r="BN9" s="68">
        <v>277</v>
      </c>
      <c r="BO9" s="68">
        <v>277</v>
      </c>
      <c r="BP9" s="68">
        <v>277</v>
      </c>
      <c r="BQ9" s="68">
        <v>277</v>
      </c>
      <c r="BR9" s="68">
        <v>277</v>
      </c>
      <c r="BS9" s="68">
        <v>277</v>
      </c>
      <c r="BT9" s="68">
        <v>303</v>
      </c>
      <c r="BU9" s="68">
        <v>303</v>
      </c>
      <c r="BV9" s="68">
        <v>303</v>
      </c>
      <c r="BW9" s="68">
        <v>303</v>
      </c>
      <c r="BX9" s="68">
        <v>303</v>
      </c>
      <c r="BY9" s="68">
        <v>303</v>
      </c>
      <c r="BZ9" s="68">
        <v>303</v>
      </c>
      <c r="CA9" s="68">
        <v>303</v>
      </c>
      <c r="CB9" s="68">
        <v>303</v>
      </c>
      <c r="CC9" s="68">
        <v>303</v>
      </c>
    </row>
    <row r="10" spans="1:81" ht="15" customHeight="1">
      <c r="A10" s="2">
        <v>1050</v>
      </c>
      <c r="B10" s="64">
        <v>0.6</v>
      </c>
      <c r="C10" s="64"/>
      <c r="D10" s="64"/>
      <c r="E10" s="68">
        <v>304</v>
      </c>
      <c r="F10" s="68">
        <v>304</v>
      </c>
      <c r="G10" s="68">
        <v>304</v>
      </c>
      <c r="H10" s="68">
        <v>304</v>
      </c>
      <c r="I10" s="68">
        <v>304</v>
      </c>
      <c r="J10" s="68">
        <v>304</v>
      </c>
      <c r="K10" s="68">
        <v>304</v>
      </c>
      <c r="L10" s="68">
        <v>304</v>
      </c>
      <c r="M10" s="68">
        <v>304</v>
      </c>
      <c r="N10" s="68">
        <v>304</v>
      </c>
      <c r="O10" s="68">
        <v>304</v>
      </c>
      <c r="P10" s="68">
        <v>304</v>
      </c>
      <c r="Q10" s="68">
        <v>304</v>
      </c>
      <c r="R10" s="68">
        <v>304</v>
      </c>
      <c r="S10" s="68">
        <v>304</v>
      </c>
      <c r="T10" s="68">
        <v>304</v>
      </c>
      <c r="U10" s="68">
        <v>304</v>
      </c>
      <c r="V10" s="68">
        <v>304</v>
      </c>
      <c r="W10" s="68">
        <v>304</v>
      </c>
      <c r="X10" s="68">
        <v>304</v>
      </c>
      <c r="Y10" s="68">
        <v>304</v>
      </c>
      <c r="Z10" s="68">
        <v>304</v>
      </c>
      <c r="AA10" s="68">
        <v>304</v>
      </c>
      <c r="AB10" s="68">
        <v>265</v>
      </c>
      <c r="AC10" s="68">
        <v>265</v>
      </c>
      <c r="AD10" s="68">
        <v>265</v>
      </c>
      <c r="AE10" s="68">
        <v>265</v>
      </c>
      <c r="AF10" s="68">
        <v>265</v>
      </c>
      <c r="AG10" s="68">
        <v>265</v>
      </c>
      <c r="AH10" s="68">
        <v>265</v>
      </c>
      <c r="AI10" s="68">
        <v>265</v>
      </c>
      <c r="AJ10" s="68">
        <v>265</v>
      </c>
      <c r="AK10" s="68">
        <v>265</v>
      </c>
      <c r="AL10" s="68">
        <v>265</v>
      </c>
      <c r="AM10" s="68">
        <v>265</v>
      </c>
      <c r="AN10" s="68">
        <v>265</v>
      </c>
      <c r="AO10" s="68">
        <v>265</v>
      </c>
      <c r="AP10" s="68">
        <v>265</v>
      </c>
      <c r="AQ10" s="68">
        <v>265</v>
      </c>
      <c r="AR10" s="68">
        <v>265</v>
      </c>
      <c r="AS10" s="68">
        <v>265</v>
      </c>
      <c r="AT10" s="68">
        <v>284</v>
      </c>
      <c r="AU10" s="68">
        <v>284</v>
      </c>
      <c r="AV10" s="68">
        <v>284</v>
      </c>
      <c r="AW10" s="68">
        <v>284</v>
      </c>
      <c r="AX10" s="68">
        <v>284</v>
      </c>
      <c r="AY10" s="68">
        <v>284</v>
      </c>
      <c r="AZ10" s="68">
        <v>284</v>
      </c>
      <c r="BA10" s="68">
        <v>284</v>
      </c>
      <c r="BB10" s="68">
        <v>284</v>
      </c>
      <c r="BC10" s="68">
        <v>284</v>
      </c>
      <c r="BD10" s="68">
        <v>304</v>
      </c>
      <c r="BE10" s="68">
        <v>304</v>
      </c>
      <c r="BF10" s="68">
        <v>304</v>
      </c>
      <c r="BG10" s="68">
        <v>304</v>
      </c>
      <c r="BH10" s="68">
        <v>304</v>
      </c>
      <c r="BI10" s="68">
        <v>304</v>
      </c>
      <c r="BJ10" s="68">
        <v>319</v>
      </c>
      <c r="BK10" s="68">
        <v>319</v>
      </c>
      <c r="BL10" s="68">
        <v>319</v>
      </c>
      <c r="BM10" s="68">
        <v>319</v>
      </c>
      <c r="BN10" s="68">
        <v>319</v>
      </c>
      <c r="BO10" s="68">
        <v>319</v>
      </c>
      <c r="BP10" s="68">
        <v>319</v>
      </c>
      <c r="BQ10" s="68">
        <v>319</v>
      </c>
      <c r="BR10" s="68">
        <v>319</v>
      </c>
      <c r="BS10" s="68">
        <v>319</v>
      </c>
      <c r="BT10" s="68">
        <v>340</v>
      </c>
      <c r="BU10" s="68">
        <v>340</v>
      </c>
      <c r="BV10" s="68">
        <v>340</v>
      </c>
      <c r="BW10" s="68">
        <v>340</v>
      </c>
      <c r="BX10" s="68">
        <v>340</v>
      </c>
      <c r="BY10" s="68">
        <v>340</v>
      </c>
      <c r="BZ10" s="68">
        <v>340</v>
      </c>
      <c r="CA10" s="68">
        <v>340</v>
      </c>
      <c r="CB10" s="68">
        <v>340</v>
      </c>
      <c r="CC10" s="68">
        <v>340</v>
      </c>
    </row>
    <row r="11" spans="1:81" ht="15" customHeight="1">
      <c r="A11" s="2">
        <v>1400</v>
      </c>
      <c r="B11" s="64">
        <v>0.8</v>
      </c>
      <c r="C11" s="64">
        <v>2</v>
      </c>
      <c r="D11" s="64"/>
      <c r="E11" s="68">
        <v>371</v>
      </c>
      <c r="F11" s="68">
        <v>371</v>
      </c>
      <c r="G11" s="68">
        <v>371</v>
      </c>
      <c r="H11" s="68">
        <v>371</v>
      </c>
      <c r="I11" s="68">
        <v>371</v>
      </c>
      <c r="J11" s="68">
        <v>371</v>
      </c>
      <c r="K11" s="68">
        <v>371</v>
      </c>
      <c r="L11" s="68">
        <v>371</v>
      </c>
      <c r="M11" s="68">
        <v>371</v>
      </c>
      <c r="N11" s="68">
        <v>371</v>
      </c>
      <c r="O11" s="68">
        <v>371</v>
      </c>
      <c r="P11" s="68">
        <v>371</v>
      </c>
      <c r="Q11" s="68">
        <v>371</v>
      </c>
      <c r="R11" s="68">
        <v>371</v>
      </c>
      <c r="S11" s="68">
        <v>371</v>
      </c>
      <c r="T11" s="68">
        <v>371</v>
      </c>
      <c r="U11" s="68">
        <v>371</v>
      </c>
      <c r="V11" s="68">
        <v>371</v>
      </c>
      <c r="W11" s="68">
        <v>371</v>
      </c>
      <c r="X11" s="68">
        <v>371</v>
      </c>
      <c r="Y11" s="68">
        <v>371</v>
      </c>
      <c r="Z11" s="68">
        <v>371</v>
      </c>
      <c r="AA11" s="68">
        <v>371</v>
      </c>
      <c r="AB11" s="68">
        <v>290</v>
      </c>
      <c r="AC11" s="68">
        <v>290</v>
      </c>
      <c r="AD11" s="68">
        <v>290</v>
      </c>
      <c r="AE11" s="68">
        <v>290</v>
      </c>
      <c r="AF11" s="68">
        <v>290</v>
      </c>
      <c r="AG11" s="68">
        <v>290</v>
      </c>
      <c r="AH11" s="68">
        <v>290</v>
      </c>
      <c r="AI11" s="68">
        <v>290</v>
      </c>
      <c r="AJ11" s="68">
        <v>290</v>
      </c>
      <c r="AK11" s="68">
        <v>290</v>
      </c>
      <c r="AL11" s="68">
        <v>290</v>
      </c>
      <c r="AM11" s="68">
        <v>290</v>
      </c>
      <c r="AN11" s="68">
        <v>290</v>
      </c>
      <c r="AO11" s="68">
        <v>290</v>
      </c>
      <c r="AP11" s="68">
        <v>290</v>
      </c>
      <c r="AQ11" s="68">
        <v>290</v>
      </c>
      <c r="AR11" s="68">
        <v>290</v>
      </c>
      <c r="AS11" s="68">
        <v>290</v>
      </c>
      <c r="AT11" s="68">
        <v>345</v>
      </c>
      <c r="AU11" s="68">
        <v>345</v>
      </c>
      <c r="AV11" s="68">
        <v>345</v>
      </c>
      <c r="AW11" s="68">
        <v>345</v>
      </c>
      <c r="AX11" s="68">
        <v>345</v>
      </c>
      <c r="AY11" s="68">
        <v>345</v>
      </c>
      <c r="AZ11" s="68">
        <v>345</v>
      </c>
      <c r="BA11" s="68">
        <v>345</v>
      </c>
      <c r="BB11" s="68">
        <v>345</v>
      </c>
      <c r="BC11" s="68">
        <v>345</v>
      </c>
      <c r="BD11" s="68">
        <v>371</v>
      </c>
      <c r="BE11" s="68">
        <v>371</v>
      </c>
      <c r="BF11" s="68">
        <v>371</v>
      </c>
      <c r="BG11" s="68">
        <v>371</v>
      </c>
      <c r="BH11" s="68">
        <v>371</v>
      </c>
      <c r="BI11" s="68">
        <v>371</v>
      </c>
      <c r="BJ11" s="68">
        <v>391</v>
      </c>
      <c r="BK11" s="68">
        <v>391</v>
      </c>
      <c r="BL11" s="68">
        <v>391</v>
      </c>
      <c r="BM11" s="68">
        <v>391</v>
      </c>
      <c r="BN11" s="68">
        <v>391</v>
      </c>
      <c r="BO11" s="68">
        <v>391</v>
      </c>
      <c r="BP11" s="68">
        <v>391</v>
      </c>
      <c r="BQ11" s="68">
        <v>391</v>
      </c>
      <c r="BR11" s="68">
        <v>391</v>
      </c>
      <c r="BS11" s="68">
        <v>391</v>
      </c>
      <c r="BT11" s="68">
        <v>412</v>
      </c>
      <c r="BU11" s="68">
        <v>412</v>
      </c>
      <c r="BV11" s="68">
        <v>412</v>
      </c>
      <c r="BW11" s="68">
        <v>412</v>
      </c>
      <c r="BX11" s="68">
        <v>412</v>
      </c>
      <c r="BY11" s="68">
        <v>412</v>
      </c>
      <c r="BZ11" s="68">
        <v>412</v>
      </c>
      <c r="CA11" s="68">
        <v>412</v>
      </c>
      <c r="CB11" s="68">
        <v>412</v>
      </c>
      <c r="CC11" s="68">
        <v>412</v>
      </c>
    </row>
    <row r="12" spans="1:81" ht="15" customHeight="1">
      <c r="A12" s="2">
        <v>1750</v>
      </c>
      <c r="B12" s="64">
        <v>1</v>
      </c>
      <c r="C12" s="64"/>
      <c r="D12" s="64">
        <v>2</v>
      </c>
      <c r="E12" s="68">
        <v>448</v>
      </c>
      <c r="F12" s="68">
        <v>448</v>
      </c>
      <c r="G12" s="68">
        <v>448</v>
      </c>
      <c r="H12" s="68">
        <v>448</v>
      </c>
      <c r="I12" s="68">
        <v>448</v>
      </c>
      <c r="J12" s="68">
        <v>448</v>
      </c>
      <c r="K12" s="68">
        <v>448</v>
      </c>
      <c r="L12" s="68">
        <v>448</v>
      </c>
      <c r="M12" s="68">
        <v>448</v>
      </c>
      <c r="N12" s="68">
        <v>448</v>
      </c>
      <c r="O12" s="68">
        <v>448</v>
      </c>
      <c r="P12" s="68">
        <v>448</v>
      </c>
      <c r="Q12" s="68">
        <v>448</v>
      </c>
      <c r="R12" s="68">
        <v>448</v>
      </c>
      <c r="S12" s="68">
        <v>448</v>
      </c>
      <c r="T12" s="68">
        <v>448</v>
      </c>
      <c r="U12" s="68">
        <v>448</v>
      </c>
      <c r="V12" s="68">
        <v>448</v>
      </c>
      <c r="W12" s="68">
        <v>448</v>
      </c>
      <c r="X12" s="68">
        <v>448</v>
      </c>
      <c r="Y12" s="68">
        <v>448</v>
      </c>
      <c r="Z12" s="68">
        <v>448</v>
      </c>
      <c r="AA12" s="68">
        <v>448</v>
      </c>
      <c r="AB12" s="68">
        <v>359</v>
      </c>
      <c r="AC12" s="68">
        <v>359</v>
      </c>
      <c r="AD12" s="68">
        <v>359</v>
      </c>
      <c r="AE12" s="68">
        <v>359</v>
      </c>
      <c r="AF12" s="68">
        <v>359</v>
      </c>
      <c r="AG12" s="68">
        <v>359</v>
      </c>
      <c r="AH12" s="68">
        <v>359</v>
      </c>
      <c r="AI12" s="68">
        <v>359</v>
      </c>
      <c r="AJ12" s="68">
        <v>359</v>
      </c>
      <c r="AK12" s="68">
        <v>359</v>
      </c>
      <c r="AL12" s="68">
        <v>359</v>
      </c>
      <c r="AM12" s="68">
        <v>359</v>
      </c>
      <c r="AN12" s="68">
        <v>359</v>
      </c>
      <c r="AO12" s="68">
        <v>359</v>
      </c>
      <c r="AP12" s="68">
        <v>359</v>
      </c>
      <c r="AQ12" s="68">
        <v>359</v>
      </c>
      <c r="AR12" s="68">
        <v>359</v>
      </c>
      <c r="AS12" s="68">
        <v>359</v>
      </c>
      <c r="AT12" s="68">
        <v>415</v>
      </c>
      <c r="AU12" s="68">
        <v>415</v>
      </c>
      <c r="AV12" s="68">
        <v>415</v>
      </c>
      <c r="AW12" s="68">
        <v>415</v>
      </c>
      <c r="AX12" s="68">
        <v>415</v>
      </c>
      <c r="AY12" s="68">
        <v>415</v>
      </c>
      <c r="AZ12" s="68">
        <v>415</v>
      </c>
      <c r="BA12" s="68">
        <v>415</v>
      </c>
      <c r="BB12" s="68">
        <v>415</v>
      </c>
      <c r="BC12" s="68">
        <v>415</v>
      </c>
      <c r="BD12" s="68">
        <v>448</v>
      </c>
      <c r="BE12" s="68">
        <v>448</v>
      </c>
      <c r="BF12" s="68">
        <v>448</v>
      </c>
      <c r="BG12" s="68">
        <v>448</v>
      </c>
      <c r="BH12" s="68">
        <v>448</v>
      </c>
      <c r="BI12" s="68">
        <v>448</v>
      </c>
      <c r="BJ12" s="68">
        <v>463</v>
      </c>
      <c r="BK12" s="68">
        <v>463</v>
      </c>
      <c r="BL12" s="68">
        <v>463</v>
      </c>
      <c r="BM12" s="68">
        <v>463</v>
      </c>
      <c r="BN12" s="68">
        <v>463</v>
      </c>
      <c r="BO12" s="68">
        <v>463</v>
      </c>
      <c r="BP12" s="68">
        <v>463</v>
      </c>
      <c r="BQ12" s="68">
        <v>463</v>
      </c>
      <c r="BR12" s="68">
        <v>463</v>
      </c>
      <c r="BS12" s="68">
        <v>463</v>
      </c>
      <c r="BT12" s="68">
        <v>487</v>
      </c>
      <c r="BU12" s="68">
        <v>487</v>
      </c>
      <c r="BV12" s="68">
        <v>487</v>
      </c>
      <c r="BW12" s="68">
        <v>487</v>
      </c>
      <c r="BX12" s="68">
        <v>487</v>
      </c>
      <c r="BY12" s="68">
        <v>487</v>
      </c>
      <c r="BZ12" s="68">
        <v>487</v>
      </c>
      <c r="CA12" s="68">
        <v>487</v>
      </c>
      <c r="CB12" s="68">
        <v>487</v>
      </c>
      <c r="CC12" s="68">
        <v>487</v>
      </c>
    </row>
    <row r="13" spans="1:81" ht="15" customHeight="1">
      <c r="A13" s="2">
        <v>2100</v>
      </c>
      <c r="B13" s="64">
        <v>1.2</v>
      </c>
      <c r="C13" s="64">
        <v>3</v>
      </c>
      <c r="D13" s="64"/>
      <c r="E13" s="68">
        <v>472</v>
      </c>
      <c r="F13" s="68">
        <v>472</v>
      </c>
      <c r="G13" s="68">
        <v>472</v>
      </c>
      <c r="H13" s="68">
        <v>472</v>
      </c>
      <c r="I13" s="68">
        <v>472</v>
      </c>
      <c r="J13" s="68">
        <v>472</v>
      </c>
      <c r="K13" s="68">
        <v>472</v>
      </c>
      <c r="L13" s="68">
        <v>472</v>
      </c>
      <c r="M13" s="68">
        <v>472</v>
      </c>
      <c r="N13" s="68">
        <v>472</v>
      </c>
      <c r="O13" s="68">
        <v>472</v>
      </c>
      <c r="P13" s="68">
        <v>472</v>
      </c>
      <c r="Q13" s="68">
        <v>472</v>
      </c>
      <c r="R13" s="68">
        <v>472</v>
      </c>
      <c r="S13" s="68">
        <v>472</v>
      </c>
      <c r="T13" s="68">
        <v>472</v>
      </c>
      <c r="U13" s="68">
        <v>472</v>
      </c>
      <c r="V13" s="68">
        <v>472</v>
      </c>
      <c r="W13" s="68">
        <v>472</v>
      </c>
      <c r="X13" s="68">
        <v>472</v>
      </c>
      <c r="Y13" s="68">
        <v>472</v>
      </c>
      <c r="Z13" s="68">
        <v>472</v>
      </c>
      <c r="AA13" s="68">
        <v>472</v>
      </c>
      <c r="AB13" s="68">
        <v>384</v>
      </c>
      <c r="AC13" s="68">
        <v>384</v>
      </c>
      <c r="AD13" s="68">
        <v>384</v>
      </c>
      <c r="AE13" s="68">
        <v>384</v>
      </c>
      <c r="AF13" s="68">
        <v>384</v>
      </c>
      <c r="AG13" s="68">
        <v>384</v>
      </c>
      <c r="AH13" s="68">
        <v>384</v>
      </c>
      <c r="AI13" s="68">
        <v>384</v>
      </c>
      <c r="AJ13" s="68">
        <v>384</v>
      </c>
      <c r="AK13" s="68">
        <v>384</v>
      </c>
      <c r="AL13" s="68">
        <v>384</v>
      </c>
      <c r="AM13" s="68">
        <v>384</v>
      </c>
      <c r="AN13" s="68">
        <v>384</v>
      </c>
      <c r="AO13" s="68">
        <v>384</v>
      </c>
      <c r="AP13" s="68">
        <v>384</v>
      </c>
      <c r="AQ13" s="68">
        <v>384</v>
      </c>
      <c r="AR13" s="68">
        <v>384</v>
      </c>
      <c r="AS13" s="68">
        <v>384</v>
      </c>
      <c r="AT13" s="68">
        <v>456</v>
      </c>
      <c r="AU13" s="68">
        <v>456</v>
      </c>
      <c r="AV13" s="68">
        <v>456</v>
      </c>
      <c r="AW13" s="68">
        <v>456</v>
      </c>
      <c r="AX13" s="68">
        <v>456</v>
      </c>
      <c r="AY13" s="68">
        <v>456</v>
      </c>
      <c r="AZ13" s="68">
        <v>456</v>
      </c>
      <c r="BA13" s="68">
        <v>456</v>
      </c>
      <c r="BB13" s="68">
        <v>456</v>
      </c>
      <c r="BC13" s="68">
        <v>456</v>
      </c>
      <c r="BD13" s="68">
        <v>472</v>
      </c>
      <c r="BE13" s="68">
        <v>472</v>
      </c>
      <c r="BF13" s="68">
        <v>472</v>
      </c>
      <c r="BG13" s="68">
        <v>472</v>
      </c>
      <c r="BH13" s="68">
        <v>472</v>
      </c>
      <c r="BI13" s="68">
        <v>472</v>
      </c>
      <c r="BJ13" s="68">
        <v>489</v>
      </c>
      <c r="BK13" s="68">
        <v>489</v>
      </c>
      <c r="BL13" s="68">
        <v>489</v>
      </c>
      <c r="BM13" s="68">
        <v>489</v>
      </c>
      <c r="BN13" s="68">
        <v>489</v>
      </c>
      <c r="BO13" s="68">
        <v>489</v>
      </c>
      <c r="BP13" s="68">
        <v>489</v>
      </c>
      <c r="BQ13" s="68">
        <v>489</v>
      </c>
      <c r="BR13" s="68">
        <v>489</v>
      </c>
      <c r="BS13" s="68">
        <v>489</v>
      </c>
      <c r="BT13" s="68">
        <v>512</v>
      </c>
      <c r="BU13" s="68">
        <v>512</v>
      </c>
      <c r="BV13" s="68">
        <v>512</v>
      </c>
      <c r="BW13" s="68">
        <v>512</v>
      </c>
      <c r="BX13" s="68">
        <v>512</v>
      </c>
      <c r="BY13" s="68">
        <v>512</v>
      </c>
      <c r="BZ13" s="68">
        <v>512</v>
      </c>
      <c r="CA13" s="68">
        <v>512</v>
      </c>
      <c r="CB13" s="68">
        <v>512</v>
      </c>
      <c r="CC13" s="68">
        <v>512</v>
      </c>
    </row>
    <row r="14" spans="1:81" ht="15" customHeight="1">
      <c r="A14" s="2">
        <v>2625</v>
      </c>
      <c r="B14" s="64">
        <v>1.5</v>
      </c>
      <c r="C14" s="64"/>
      <c r="D14" s="64">
        <v>3</v>
      </c>
      <c r="E14" s="68">
        <v>550</v>
      </c>
      <c r="F14" s="68">
        <v>550</v>
      </c>
      <c r="G14" s="68">
        <v>550</v>
      </c>
      <c r="H14" s="68">
        <v>550</v>
      </c>
      <c r="I14" s="68">
        <v>550</v>
      </c>
      <c r="J14" s="68">
        <v>550</v>
      </c>
      <c r="K14" s="68">
        <v>550</v>
      </c>
      <c r="L14" s="68">
        <v>550</v>
      </c>
      <c r="M14" s="68">
        <v>550</v>
      </c>
      <c r="N14" s="68">
        <v>550</v>
      </c>
      <c r="O14" s="68">
        <v>550</v>
      </c>
      <c r="P14" s="68">
        <v>550</v>
      </c>
      <c r="Q14" s="68">
        <v>550</v>
      </c>
      <c r="R14" s="68">
        <v>550</v>
      </c>
      <c r="S14" s="68">
        <v>550</v>
      </c>
      <c r="T14" s="68">
        <v>550</v>
      </c>
      <c r="U14" s="68">
        <v>550</v>
      </c>
      <c r="V14" s="68">
        <v>550</v>
      </c>
      <c r="W14" s="68">
        <v>550</v>
      </c>
      <c r="X14" s="68">
        <v>550</v>
      </c>
      <c r="Y14" s="68">
        <v>550</v>
      </c>
      <c r="Z14" s="68">
        <v>550</v>
      </c>
      <c r="AA14" s="68">
        <v>550</v>
      </c>
      <c r="AB14" s="68">
        <v>463</v>
      </c>
      <c r="AC14" s="68">
        <v>463</v>
      </c>
      <c r="AD14" s="68">
        <v>463</v>
      </c>
      <c r="AE14" s="68">
        <v>463</v>
      </c>
      <c r="AF14" s="68">
        <v>463</v>
      </c>
      <c r="AG14" s="68">
        <v>463</v>
      </c>
      <c r="AH14" s="68">
        <v>463</v>
      </c>
      <c r="AI14" s="68">
        <v>463</v>
      </c>
      <c r="AJ14" s="68">
        <v>463</v>
      </c>
      <c r="AK14" s="68">
        <v>463</v>
      </c>
      <c r="AL14" s="68">
        <v>463</v>
      </c>
      <c r="AM14" s="68">
        <v>463</v>
      </c>
      <c r="AN14" s="68">
        <v>463</v>
      </c>
      <c r="AO14" s="68">
        <v>463</v>
      </c>
      <c r="AP14" s="68">
        <v>463</v>
      </c>
      <c r="AQ14" s="68">
        <v>463</v>
      </c>
      <c r="AR14" s="68">
        <v>463</v>
      </c>
      <c r="AS14" s="68">
        <v>463</v>
      </c>
      <c r="AT14" s="68">
        <v>527</v>
      </c>
      <c r="AU14" s="68">
        <v>527</v>
      </c>
      <c r="AV14" s="68">
        <v>527</v>
      </c>
      <c r="AW14" s="68">
        <v>527</v>
      </c>
      <c r="AX14" s="68">
        <v>527</v>
      </c>
      <c r="AY14" s="68">
        <v>527</v>
      </c>
      <c r="AZ14" s="68">
        <v>527</v>
      </c>
      <c r="BA14" s="68">
        <v>527</v>
      </c>
      <c r="BB14" s="68">
        <v>527</v>
      </c>
      <c r="BC14" s="68">
        <v>527</v>
      </c>
      <c r="BD14" s="68">
        <v>550</v>
      </c>
      <c r="BE14" s="68">
        <v>550</v>
      </c>
      <c r="BF14" s="68">
        <v>550</v>
      </c>
      <c r="BG14" s="68">
        <v>550</v>
      </c>
      <c r="BH14" s="68">
        <v>550</v>
      </c>
      <c r="BI14" s="68">
        <v>550</v>
      </c>
      <c r="BJ14" s="68">
        <v>574</v>
      </c>
      <c r="BK14" s="68">
        <v>574</v>
      </c>
      <c r="BL14" s="68">
        <v>574</v>
      </c>
      <c r="BM14" s="68">
        <v>574</v>
      </c>
      <c r="BN14" s="68">
        <v>574</v>
      </c>
      <c r="BO14" s="68">
        <v>574</v>
      </c>
      <c r="BP14" s="68">
        <v>574</v>
      </c>
      <c r="BQ14" s="68">
        <v>574</v>
      </c>
      <c r="BR14" s="68">
        <v>574</v>
      </c>
      <c r="BS14" s="68">
        <v>574</v>
      </c>
      <c r="BT14" s="68">
        <v>591</v>
      </c>
      <c r="BU14" s="68">
        <v>591</v>
      </c>
      <c r="BV14" s="68">
        <v>591</v>
      </c>
      <c r="BW14" s="68">
        <v>591</v>
      </c>
      <c r="BX14" s="68">
        <v>591</v>
      </c>
      <c r="BY14" s="68">
        <v>591</v>
      </c>
      <c r="BZ14" s="68">
        <v>591</v>
      </c>
      <c r="CA14" s="68">
        <v>591</v>
      </c>
      <c r="CB14" s="68">
        <v>591</v>
      </c>
      <c r="CC14" s="68">
        <v>591</v>
      </c>
    </row>
    <row r="15" spans="1:81" ht="15" customHeight="1">
      <c r="A15" s="2">
        <v>2800</v>
      </c>
      <c r="B15" s="64">
        <v>1.6</v>
      </c>
      <c r="C15" s="64">
        <v>4</v>
      </c>
      <c r="D15" s="64"/>
      <c r="E15" s="68">
        <v>561</v>
      </c>
      <c r="F15" s="68">
        <v>561</v>
      </c>
      <c r="G15" s="68">
        <v>561</v>
      </c>
      <c r="H15" s="68">
        <v>561</v>
      </c>
      <c r="I15" s="68">
        <v>561</v>
      </c>
      <c r="J15" s="68">
        <v>561</v>
      </c>
      <c r="K15" s="68">
        <v>561</v>
      </c>
      <c r="L15" s="68">
        <v>561</v>
      </c>
      <c r="M15" s="68">
        <v>561</v>
      </c>
      <c r="N15" s="68">
        <v>561</v>
      </c>
      <c r="O15" s="68">
        <v>561</v>
      </c>
      <c r="P15" s="68">
        <v>561</v>
      </c>
      <c r="Q15" s="68">
        <v>561</v>
      </c>
      <c r="R15" s="68">
        <v>561</v>
      </c>
      <c r="S15" s="68">
        <v>561</v>
      </c>
      <c r="T15" s="68">
        <v>561</v>
      </c>
      <c r="U15" s="68">
        <v>561</v>
      </c>
      <c r="V15" s="68">
        <v>561</v>
      </c>
      <c r="W15" s="68">
        <v>561</v>
      </c>
      <c r="X15" s="68">
        <v>561</v>
      </c>
      <c r="Y15" s="68">
        <v>561</v>
      </c>
      <c r="Z15" s="68">
        <v>561</v>
      </c>
      <c r="AA15" s="68">
        <v>561</v>
      </c>
      <c r="AB15" s="68">
        <v>466</v>
      </c>
      <c r="AC15" s="68">
        <v>466</v>
      </c>
      <c r="AD15" s="68">
        <v>466</v>
      </c>
      <c r="AE15" s="68">
        <v>466</v>
      </c>
      <c r="AF15" s="68">
        <v>466</v>
      </c>
      <c r="AG15" s="68">
        <v>466</v>
      </c>
      <c r="AH15" s="68">
        <v>466</v>
      </c>
      <c r="AI15" s="68">
        <v>466</v>
      </c>
      <c r="AJ15" s="68">
        <v>466</v>
      </c>
      <c r="AK15" s="68">
        <v>466</v>
      </c>
      <c r="AL15" s="68">
        <v>466</v>
      </c>
      <c r="AM15" s="68">
        <v>466</v>
      </c>
      <c r="AN15" s="68">
        <v>466</v>
      </c>
      <c r="AO15" s="68">
        <v>466</v>
      </c>
      <c r="AP15" s="68">
        <v>466</v>
      </c>
      <c r="AQ15" s="68">
        <v>466</v>
      </c>
      <c r="AR15" s="68">
        <v>466</v>
      </c>
      <c r="AS15" s="68">
        <v>466</v>
      </c>
      <c r="AT15" s="68">
        <v>536</v>
      </c>
      <c r="AU15" s="68">
        <v>536</v>
      </c>
      <c r="AV15" s="68">
        <v>536</v>
      </c>
      <c r="AW15" s="68">
        <v>536</v>
      </c>
      <c r="AX15" s="68">
        <v>536</v>
      </c>
      <c r="AY15" s="68">
        <v>536</v>
      </c>
      <c r="AZ15" s="68">
        <v>536</v>
      </c>
      <c r="BA15" s="68">
        <v>536</v>
      </c>
      <c r="BB15" s="68">
        <v>536</v>
      </c>
      <c r="BC15" s="68">
        <v>536</v>
      </c>
      <c r="BD15" s="68">
        <v>561</v>
      </c>
      <c r="BE15" s="68">
        <v>561</v>
      </c>
      <c r="BF15" s="68">
        <v>561</v>
      </c>
      <c r="BG15" s="68">
        <v>561</v>
      </c>
      <c r="BH15" s="68">
        <v>561</v>
      </c>
      <c r="BI15" s="68">
        <v>561</v>
      </c>
      <c r="BJ15" s="68">
        <v>615</v>
      </c>
      <c r="BK15" s="68">
        <v>615</v>
      </c>
      <c r="BL15" s="68">
        <v>615</v>
      </c>
      <c r="BM15" s="68">
        <v>615</v>
      </c>
      <c r="BN15" s="68">
        <v>615</v>
      </c>
      <c r="BO15" s="68">
        <v>615</v>
      </c>
      <c r="BP15" s="68">
        <v>615</v>
      </c>
      <c r="BQ15" s="68">
        <v>615</v>
      </c>
      <c r="BR15" s="68">
        <v>615</v>
      </c>
      <c r="BS15" s="68">
        <v>615</v>
      </c>
      <c r="BT15" s="68">
        <v>631</v>
      </c>
      <c r="BU15" s="68">
        <v>631</v>
      </c>
      <c r="BV15" s="68">
        <v>631</v>
      </c>
      <c r="BW15" s="68">
        <v>631</v>
      </c>
      <c r="BX15" s="68">
        <v>631</v>
      </c>
      <c r="BY15" s="68">
        <v>631</v>
      </c>
      <c r="BZ15" s="68">
        <v>631</v>
      </c>
      <c r="CA15" s="68">
        <v>631</v>
      </c>
      <c r="CB15" s="68">
        <v>631</v>
      </c>
      <c r="CC15" s="68">
        <v>631</v>
      </c>
    </row>
    <row r="16" spans="1:81" ht="15" customHeight="1">
      <c r="A16" s="2">
        <v>3500</v>
      </c>
      <c r="B16" s="64">
        <v>2</v>
      </c>
      <c r="C16" s="64">
        <v>5</v>
      </c>
      <c r="D16" s="64">
        <v>4</v>
      </c>
      <c r="E16" s="68">
        <v>654</v>
      </c>
      <c r="F16" s="68">
        <v>654</v>
      </c>
      <c r="G16" s="68">
        <v>654</v>
      </c>
      <c r="H16" s="68">
        <v>654</v>
      </c>
      <c r="I16" s="68">
        <v>654</v>
      </c>
      <c r="J16" s="68">
        <v>654</v>
      </c>
      <c r="K16" s="68">
        <v>654</v>
      </c>
      <c r="L16" s="68">
        <v>654</v>
      </c>
      <c r="M16" s="68">
        <v>654</v>
      </c>
      <c r="N16" s="68">
        <v>654</v>
      </c>
      <c r="O16" s="68">
        <v>654</v>
      </c>
      <c r="P16" s="68">
        <v>654</v>
      </c>
      <c r="Q16" s="68">
        <v>654</v>
      </c>
      <c r="R16" s="68">
        <v>654</v>
      </c>
      <c r="S16" s="68">
        <v>654</v>
      </c>
      <c r="T16" s="68">
        <v>654</v>
      </c>
      <c r="U16" s="68">
        <v>654</v>
      </c>
      <c r="V16" s="68">
        <v>654</v>
      </c>
      <c r="W16" s="68">
        <v>654</v>
      </c>
      <c r="X16" s="68">
        <v>654</v>
      </c>
      <c r="Y16" s="68">
        <v>654</v>
      </c>
      <c r="Z16" s="68">
        <v>654</v>
      </c>
      <c r="AA16" s="68">
        <v>654</v>
      </c>
      <c r="AB16" s="68">
        <v>561</v>
      </c>
      <c r="AC16" s="68">
        <v>561</v>
      </c>
      <c r="AD16" s="68">
        <v>561</v>
      </c>
      <c r="AE16" s="68">
        <v>561</v>
      </c>
      <c r="AF16" s="68">
        <v>561</v>
      </c>
      <c r="AG16" s="68">
        <v>561</v>
      </c>
      <c r="AH16" s="68">
        <v>561</v>
      </c>
      <c r="AI16" s="68">
        <v>561</v>
      </c>
      <c r="AJ16" s="68">
        <v>561</v>
      </c>
      <c r="AK16" s="68">
        <v>561</v>
      </c>
      <c r="AL16" s="68">
        <v>561</v>
      </c>
      <c r="AM16" s="68">
        <v>561</v>
      </c>
      <c r="AN16" s="68">
        <v>561</v>
      </c>
      <c r="AO16" s="68">
        <v>561</v>
      </c>
      <c r="AP16" s="68">
        <v>561</v>
      </c>
      <c r="AQ16" s="68">
        <v>561</v>
      </c>
      <c r="AR16" s="68">
        <v>561</v>
      </c>
      <c r="AS16" s="68">
        <v>561</v>
      </c>
      <c r="AT16" s="68">
        <v>623</v>
      </c>
      <c r="AU16" s="68">
        <v>623</v>
      </c>
      <c r="AV16" s="68">
        <v>623</v>
      </c>
      <c r="AW16" s="68">
        <v>623</v>
      </c>
      <c r="AX16" s="68">
        <v>623</v>
      </c>
      <c r="AY16" s="68">
        <v>623</v>
      </c>
      <c r="AZ16" s="68">
        <v>623</v>
      </c>
      <c r="BA16" s="68">
        <v>623</v>
      </c>
      <c r="BB16" s="68">
        <v>623</v>
      </c>
      <c r="BC16" s="68">
        <v>623</v>
      </c>
      <c r="BD16" s="68">
        <v>654</v>
      </c>
      <c r="BE16" s="68">
        <v>654</v>
      </c>
      <c r="BF16" s="68">
        <v>654</v>
      </c>
      <c r="BG16" s="68">
        <v>654</v>
      </c>
      <c r="BH16" s="68">
        <v>654</v>
      </c>
      <c r="BI16" s="68">
        <v>654</v>
      </c>
      <c r="BJ16" s="68">
        <v>686</v>
      </c>
      <c r="BK16" s="68">
        <v>686</v>
      </c>
      <c r="BL16" s="68">
        <v>686</v>
      </c>
      <c r="BM16" s="68">
        <v>686</v>
      </c>
      <c r="BN16" s="68">
        <v>686</v>
      </c>
      <c r="BO16" s="68">
        <v>686</v>
      </c>
      <c r="BP16" s="68">
        <v>686</v>
      </c>
      <c r="BQ16" s="68">
        <v>686</v>
      </c>
      <c r="BR16" s="68">
        <v>686</v>
      </c>
      <c r="BS16" s="68">
        <v>686</v>
      </c>
      <c r="BT16" s="68">
        <v>702</v>
      </c>
      <c r="BU16" s="68">
        <v>702</v>
      </c>
      <c r="BV16" s="68">
        <v>702</v>
      </c>
      <c r="BW16" s="68">
        <v>702</v>
      </c>
      <c r="BX16" s="68">
        <v>702</v>
      </c>
      <c r="BY16" s="68">
        <v>702</v>
      </c>
      <c r="BZ16" s="68">
        <v>702</v>
      </c>
      <c r="CA16" s="68">
        <v>702</v>
      </c>
      <c r="CB16" s="68">
        <v>702</v>
      </c>
      <c r="CC16" s="68">
        <v>702</v>
      </c>
    </row>
    <row r="17" spans="1:81" ht="15" customHeight="1">
      <c r="A17" s="2">
        <v>4200</v>
      </c>
      <c r="B17" s="2">
        <v>2.4</v>
      </c>
      <c r="C17" s="2">
        <v>6</v>
      </c>
      <c r="D17" s="2"/>
      <c r="E17" s="68">
        <v>743</v>
      </c>
      <c r="F17" s="68">
        <v>743</v>
      </c>
      <c r="G17" s="68">
        <v>743</v>
      </c>
      <c r="H17" s="68">
        <v>743</v>
      </c>
      <c r="I17" s="68">
        <v>743</v>
      </c>
      <c r="J17" s="68">
        <v>743</v>
      </c>
      <c r="K17" s="68">
        <v>743</v>
      </c>
      <c r="L17" s="68">
        <v>743</v>
      </c>
      <c r="M17" s="68">
        <v>743</v>
      </c>
      <c r="N17" s="68">
        <v>743</v>
      </c>
      <c r="O17" s="68">
        <v>743</v>
      </c>
      <c r="P17" s="68">
        <v>743</v>
      </c>
      <c r="Q17" s="68">
        <v>743</v>
      </c>
      <c r="R17" s="68">
        <v>743</v>
      </c>
      <c r="S17" s="68">
        <v>743</v>
      </c>
      <c r="T17" s="68">
        <v>743</v>
      </c>
      <c r="U17" s="68">
        <v>743</v>
      </c>
      <c r="V17" s="68">
        <v>743</v>
      </c>
      <c r="W17" s="68">
        <v>743</v>
      </c>
      <c r="X17" s="68">
        <v>743</v>
      </c>
      <c r="Y17" s="68">
        <v>743</v>
      </c>
      <c r="Z17" s="68">
        <v>743</v>
      </c>
      <c r="AA17" s="68">
        <v>743</v>
      </c>
      <c r="AB17" s="68">
        <v>614</v>
      </c>
      <c r="AC17" s="68">
        <v>614</v>
      </c>
      <c r="AD17" s="68">
        <v>614</v>
      </c>
      <c r="AE17" s="68">
        <v>614</v>
      </c>
      <c r="AF17" s="68">
        <v>614</v>
      </c>
      <c r="AG17" s="68">
        <v>614</v>
      </c>
      <c r="AH17" s="68">
        <v>614</v>
      </c>
      <c r="AI17" s="68">
        <v>614</v>
      </c>
      <c r="AJ17" s="68">
        <v>614</v>
      </c>
      <c r="AK17" s="68">
        <v>614</v>
      </c>
      <c r="AL17" s="68">
        <v>614</v>
      </c>
      <c r="AM17" s="68">
        <v>614</v>
      </c>
      <c r="AN17" s="68">
        <v>614</v>
      </c>
      <c r="AO17" s="68">
        <v>614</v>
      </c>
      <c r="AP17" s="68">
        <v>614</v>
      </c>
      <c r="AQ17" s="68">
        <v>614</v>
      </c>
      <c r="AR17" s="68">
        <v>614</v>
      </c>
      <c r="AS17" s="68">
        <v>614</v>
      </c>
      <c r="AT17" s="68">
        <v>687</v>
      </c>
      <c r="AU17" s="68">
        <v>687</v>
      </c>
      <c r="AV17" s="68">
        <v>687</v>
      </c>
      <c r="AW17" s="68">
        <v>687</v>
      </c>
      <c r="AX17" s="68">
        <v>687</v>
      </c>
      <c r="AY17" s="68">
        <v>687</v>
      </c>
      <c r="AZ17" s="68">
        <v>687</v>
      </c>
      <c r="BA17" s="68">
        <v>687</v>
      </c>
      <c r="BB17" s="68">
        <v>687</v>
      </c>
      <c r="BC17" s="68">
        <v>687</v>
      </c>
      <c r="BD17" s="68">
        <v>743</v>
      </c>
      <c r="BE17" s="68">
        <v>743</v>
      </c>
      <c r="BF17" s="68">
        <v>743</v>
      </c>
      <c r="BG17" s="68">
        <v>743</v>
      </c>
      <c r="BH17" s="68">
        <v>743</v>
      </c>
      <c r="BI17" s="68">
        <v>743</v>
      </c>
      <c r="BJ17" s="68">
        <v>762</v>
      </c>
      <c r="BK17" s="68">
        <v>762</v>
      </c>
      <c r="BL17" s="68">
        <v>762</v>
      </c>
      <c r="BM17" s="68">
        <v>762</v>
      </c>
      <c r="BN17" s="68">
        <v>762</v>
      </c>
      <c r="BO17" s="68">
        <v>762</v>
      </c>
      <c r="BP17" s="68">
        <v>762</v>
      </c>
      <c r="BQ17" s="68">
        <v>762</v>
      </c>
      <c r="BR17" s="68">
        <v>762</v>
      </c>
      <c r="BS17" s="68">
        <v>762</v>
      </c>
      <c r="BT17" s="68">
        <v>774</v>
      </c>
      <c r="BU17" s="68">
        <v>774</v>
      </c>
      <c r="BV17" s="68">
        <v>774</v>
      </c>
      <c r="BW17" s="68">
        <v>774</v>
      </c>
      <c r="BX17" s="68">
        <v>774</v>
      </c>
      <c r="BY17" s="68">
        <v>774</v>
      </c>
      <c r="BZ17" s="68">
        <v>774</v>
      </c>
      <c r="CA17" s="68">
        <v>774</v>
      </c>
      <c r="CB17" s="68">
        <v>774</v>
      </c>
      <c r="CC17" s="68">
        <v>774</v>
      </c>
    </row>
    <row r="18" spans="1:81" ht="15" customHeight="1">
      <c r="A18" s="2">
        <v>4375</v>
      </c>
      <c r="B18" s="2">
        <v>2.5</v>
      </c>
      <c r="C18" s="2"/>
      <c r="D18" s="2">
        <v>5</v>
      </c>
      <c r="E18" s="68">
        <v>760</v>
      </c>
      <c r="F18" s="68">
        <v>760</v>
      </c>
      <c r="G18" s="68">
        <v>760</v>
      </c>
      <c r="H18" s="68">
        <v>760</v>
      </c>
      <c r="I18" s="68">
        <v>760</v>
      </c>
      <c r="J18" s="68">
        <v>760</v>
      </c>
      <c r="K18" s="68">
        <v>760</v>
      </c>
      <c r="L18" s="68">
        <v>760</v>
      </c>
      <c r="M18" s="68">
        <v>760</v>
      </c>
      <c r="N18" s="68">
        <v>760</v>
      </c>
      <c r="O18" s="68">
        <v>760</v>
      </c>
      <c r="P18" s="68">
        <v>760</v>
      </c>
      <c r="Q18" s="68">
        <v>760</v>
      </c>
      <c r="R18" s="68">
        <v>760</v>
      </c>
      <c r="S18" s="68">
        <v>760</v>
      </c>
      <c r="T18" s="68">
        <v>760</v>
      </c>
      <c r="U18" s="68">
        <v>760</v>
      </c>
      <c r="V18" s="68">
        <v>760</v>
      </c>
      <c r="W18" s="68">
        <v>760</v>
      </c>
      <c r="X18" s="68">
        <v>760</v>
      </c>
      <c r="Y18" s="68">
        <v>760</v>
      </c>
      <c r="Z18" s="68">
        <v>760</v>
      </c>
      <c r="AA18" s="68">
        <v>760</v>
      </c>
      <c r="AB18" s="68">
        <v>617</v>
      </c>
      <c r="AC18" s="68">
        <v>617</v>
      </c>
      <c r="AD18" s="68">
        <v>617</v>
      </c>
      <c r="AE18" s="68">
        <v>617</v>
      </c>
      <c r="AF18" s="68">
        <v>617</v>
      </c>
      <c r="AG18" s="68">
        <v>617</v>
      </c>
      <c r="AH18" s="68">
        <v>617</v>
      </c>
      <c r="AI18" s="68">
        <v>617</v>
      </c>
      <c r="AJ18" s="68">
        <v>617</v>
      </c>
      <c r="AK18" s="68">
        <v>617</v>
      </c>
      <c r="AL18" s="68">
        <v>617</v>
      </c>
      <c r="AM18" s="68">
        <v>617</v>
      </c>
      <c r="AN18" s="68">
        <v>617</v>
      </c>
      <c r="AO18" s="68">
        <v>617</v>
      </c>
      <c r="AP18" s="68">
        <v>617</v>
      </c>
      <c r="AQ18" s="68">
        <v>617</v>
      </c>
      <c r="AR18" s="68">
        <v>617</v>
      </c>
      <c r="AS18" s="68">
        <v>617</v>
      </c>
      <c r="AT18" s="68">
        <v>699</v>
      </c>
      <c r="AU18" s="68">
        <v>699</v>
      </c>
      <c r="AV18" s="68">
        <v>699</v>
      </c>
      <c r="AW18" s="68">
        <v>699</v>
      </c>
      <c r="AX18" s="68">
        <v>699</v>
      </c>
      <c r="AY18" s="68">
        <v>699</v>
      </c>
      <c r="AZ18" s="68">
        <v>699</v>
      </c>
      <c r="BA18" s="68">
        <v>699</v>
      </c>
      <c r="BB18" s="68">
        <v>699</v>
      </c>
      <c r="BC18" s="68">
        <v>699</v>
      </c>
      <c r="BD18" s="68">
        <v>760</v>
      </c>
      <c r="BE18" s="68">
        <v>760</v>
      </c>
      <c r="BF18" s="68">
        <v>760</v>
      </c>
      <c r="BG18" s="68">
        <v>760</v>
      </c>
      <c r="BH18" s="68">
        <v>760</v>
      </c>
      <c r="BI18" s="68">
        <v>760</v>
      </c>
      <c r="BJ18" s="68">
        <v>774</v>
      </c>
      <c r="BK18" s="68">
        <v>774</v>
      </c>
      <c r="BL18" s="68">
        <v>774</v>
      </c>
      <c r="BM18" s="68">
        <v>774</v>
      </c>
      <c r="BN18" s="68">
        <v>774</v>
      </c>
      <c r="BO18" s="68">
        <v>774</v>
      </c>
      <c r="BP18" s="68">
        <v>774</v>
      </c>
      <c r="BQ18" s="68">
        <v>774</v>
      </c>
      <c r="BR18" s="68">
        <v>774</v>
      </c>
      <c r="BS18" s="68">
        <v>774</v>
      </c>
      <c r="BT18" s="68">
        <v>791</v>
      </c>
      <c r="BU18" s="68">
        <v>791</v>
      </c>
      <c r="BV18" s="68">
        <v>791</v>
      </c>
      <c r="BW18" s="68">
        <v>791</v>
      </c>
      <c r="BX18" s="68">
        <v>791</v>
      </c>
      <c r="BY18" s="68">
        <v>791</v>
      </c>
      <c r="BZ18" s="68">
        <v>791</v>
      </c>
      <c r="CA18" s="68">
        <v>791</v>
      </c>
      <c r="CB18" s="68">
        <v>791</v>
      </c>
      <c r="CC18" s="68">
        <v>791</v>
      </c>
    </row>
    <row r="19" spans="1:81" ht="15" customHeight="1">
      <c r="A19" s="2">
        <v>4900</v>
      </c>
      <c r="B19" s="2">
        <v>2.8</v>
      </c>
      <c r="C19" s="2">
        <v>7</v>
      </c>
      <c r="D19" s="2"/>
      <c r="E19" s="68">
        <v>774</v>
      </c>
      <c r="F19" s="68">
        <v>774</v>
      </c>
      <c r="G19" s="68">
        <v>774</v>
      </c>
      <c r="H19" s="68">
        <v>774</v>
      </c>
      <c r="I19" s="68">
        <v>774</v>
      </c>
      <c r="J19" s="68">
        <v>774</v>
      </c>
      <c r="K19" s="68">
        <v>774</v>
      </c>
      <c r="L19" s="68">
        <v>774</v>
      </c>
      <c r="M19" s="68">
        <v>774</v>
      </c>
      <c r="N19" s="68">
        <v>774</v>
      </c>
      <c r="O19" s="68">
        <v>774</v>
      </c>
      <c r="P19" s="68">
        <v>774</v>
      </c>
      <c r="Q19" s="68">
        <v>774</v>
      </c>
      <c r="R19" s="68">
        <v>774</v>
      </c>
      <c r="S19" s="68">
        <v>774</v>
      </c>
      <c r="T19" s="68">
        <v>774</v>
      </c>
      <c r="U19" s="68">
        <v>774</v>
      </c>
      <c r="V19" s="68">
        <v>774</v>
      </c>
      <c r="W19" s="68">
        <v>774</v>
      </c>
      <c r="X19" s="68">
        <v>774</v>
      </c>
      <c r="Y19" s="68">
        <v>774</v>
      </c>
      <c r="Z19" s="68">
        <v>774</v>
      </c>
      <c r="AA19" s="68">
        <v>774</v>
      </c>
      <c r="AB19" s="68">
        <v>638</v>
      </c>
      <c r="AC19" s="68">
        <v>638</v>
      </c>
      <c r="AD19" s="68">
        <v>638</v>
      </c>
      <c r="AE19" s="68">
        <v>638</v>
      </c>
      <c r="AF19" s="68">
        <v>638</v>
      </c>
      <c r="AG19" s="68">
        <v>638</v>
      </c>
      <c r="AH19" s="68">
        <v>638</v>
      </c>
      <c r="AI19" s="68">
        <v>638</v>
      </c>
      <c r="AJ19" s="68">
        <v>638</v>
      </c>
      <c r="AK19" s="68">
        <v>638</v>
      </c>
      <c r="AL19" s="68">
        <v>638</v>
      </c>
      <c r="AM19" s="68">
        <v>638</v>
      </c>
      <c r="AN19" s="68">
        <v>638</v>
      </c>
      <c r="AO19" s="68">
        <v>638</v>
      </c>
      <c r="AP19" s="68">
        <v>638</v>
      </c>
      <c r="AQ19" s="68">
        <v>638</v>
      </c>
      <c r="AR19" s="68">
        <v>638</v>
      </c>
      <c r="AS19" s="68">
        <v>638</v>
      </c>
      <c r="AT19" s="68">
        <v>707</v>
      </c>
      <c r="AU19" s="68">
        <v>707</v>
      </c>
      <c r="AV19" s="68">
        <v>707</v>
      </c>
      <c r="AW19" s="68">
        <v>707</v>
      </c>
      <c r="AX19" s="68">
        <v>707</v>
      </c>
      <c r="AY19" s="68">
        <v>707</v>
      </c>
      <c r="AZ19" s="68">
        <v>707</v>
      </c>
      <c r="BA19" s="68">
        <v>707</v>
      </c>
      <c r="BB19" s="68">
        <v>707</v>
      </c>
      <c r="BC19" s="68">
        <v>707</v>
      </c>
      <c r="BD19" s="68">
        <v>774</v>
      </c>
      <c r="BE19" s="68">
        <v>774</v>
      </c>
      <c r="BF19" s="68">
        <v>774</v>
      </c>
      <c r="BG19" s="68">
        <v>774</v>
      </c>
      <c r="BH19" s="68">
        <v>774</v>
      </c>
      <c r="BI19" s="68">
        <v>774</v>
      </c>
      <c r="BJ19" s="68">
        <v>799</v>
      </c>
      <c r="BK19" s="68">
        <v>799</v>
      </c>
      <c r="BL19" s="68">
        <v>799</v>
      </c>
      <c r="BM19" s="68">
        <v>799</v>
      </c>
      <c r="BN19" s="68">
        <v>799</v>
      </c>
      <c r="BO19" s="68">
        <v>799</v>
      </c>
      <c r="BP19" s="68">
        <v>799</v>
      </c>
      <c r="BQ19" s="68">
        <v>799</v>
      </c>
      <c r="BR19" s="68">
        <v>799</v>
      </c>
      <c r="BS19" s="68">
        <v>799</v>
      </c>
      <c r="BT19" s="68">
        <v>821</v>
      </c>
      <c r="BU19" s="68">
        <v>821</v>
      </c>
      <c r="BV19" s="68">
        <v>821</v>
      </c>
      <c r="BW19" s="68">
        <v>821</v>
      </c>
      <c r="BX19" s="68">
        <v>821</v>
      </c>
      <c r="BY19" s="68">
        <v>821</v>
      </c>
      <c r="BZ19" s="68">
        <v>821</v>
      </c>
      <c r="CA19" s="68">
        <v>821</v>
      </c>
      <c r="CB19" s="68">
        <v>821</v>
      </c>
      <c r="CC19" s="68">
        <v>821</v>
      </c>
    </row>
    <row r="20" spans="1:81" ht="15" customHeight="1">
      <c r="A20" s="2">
        <v>5250</v>
      </c>
      <c r="B20" s="2">
        <v>3</v>
      </c>
      <c r="C20" s="2"/>
      <c r="D20" s="2">
        <v>6</v>
      </c>
      <c r="E20" s="68">
        <v>809</v>
      </c>
      <c r="F20" s="68">
        <v>809</v>
      </c>
      <c r="G20" s="68">
        <v>809</v>
      </c>
      <c r="H20" s="68">
        <v>809</v>
      </c>
      <c r="I20" s="68">
        <v>809</v>
      </c>
      <c r="J20" s="68">
        <v>809</v>
      </c>
      <c r="K20" s="68">
        <v>809</v>
      </c>
      <c r="L20" s="68">
        <v>809</v>
      </c>
      <c r="M20" s="68">
        <v>809</v>
      </c>
      <c r="N20" s="68">
        <v>809</v>
      </c>
      <c r="O20" s="68">
        <v>809</v>
      </c>
      <c r="P20" s="68">
        <v>809</v>
      </c>
      <c r="Q20" s="68">
        <v>809</v>
      </c>
      <c r="R20" s="68">
        <v>809</v>
      </c>
      <c r="S20" s="68">
        <v>809</v>
      </c>
      <c r="T20" s="68">
        <v>809</v>
      </c>
      <c r="U20" s="68">
        <v>809</v>
      </c>
      <c r="V20" s="68">
        <v>809</v>
      </c>
      <c r="W20" s="68">
        <v>809</v>
      </c>
      <c r="X20" s="68">
        <v>809</v>
      </c>
      <c r="Y20" s="68">
        <v>809</v>
      </c>
      <c r="Z20" s="68">
        <v>809</v>
      </c>
      <c r="AA20" s="68">
        <v>809</v>
      </c>
      <c r="AB20" s="68">
        <v>644</v>
      </c>
      <c r="AC20" s="68">
        <v>644</v>
      </c>
      <c r="AD20" s="68">
        <v>644</v>
      </c>
      <c r="AE20" s="68">
        <v>644</v>
      </c>
      <c r="AF20" s="68">
        <v>644</v>
      </c>
      <c r="AG20" s="68">
        <v>644</v>
      </c>
      <c r="AH20" s="68">
        <v>644</v>
      </c>
      <c r="AI20" s="68">
        <v>644</v>
      </c>
      <c r="AJ20" s="68">
        <v>644</v>
      </c>
      <c r="AK20" s="68">
        <v>644</v>
      </c>
      <c r="AL20" s="68">
        <v>644</v>
      </c>
      <c r="AM20" s="68">
        <v>644</v>
      </c>
      <c r="AN20" s="68">
        <v>644</v>
      </c>
      <c r="AO20" s="68">
        <v>644</v>
      </c>
      <c r="AP20" s="68">
        <v>644</v>
      </c>
      <c r="AQ20" s="68">
        <v>644</v>
      </c>
      <c r="AR20" s="68">
        <v>644</v>
      </c>
      <c r="AS20" s="68">
        <v>644</v>
      </c>
      <c r="AT20" s="68">
        <v>716</v>
      </c>
      <c r="AU20" s="68">
        <v>716</v>
      </c>
      <c r="AV20" s="68">
        <v>716</v>
      </c>
      <c r="AW20" s="68">
        <v>716</v>
      </c>
      <c r="AX20" s="68">
        <v>716</v>
      </c>
      <c r="AY20" s="68">
        <v>716</v>
      </c>
      <c r="AZ20" s="68">
        <v>716</v>
      </c>
      <c r="BA20" s="68">
        <v>716</v>
      </c>
      <c r="BB20" s="68">
        <v>716</v>
      </c>
      <c r="BC20" s="68">
        <v>716</v>
      </c>
      <c r="BD20" s="68">
        <v>809</v>
      </c>
      <c r="BE20" s="68">
        <v>809</v>
      </c>
      <c r="BF20" s="68">
        <v>809</v>
      </c>
      <c r="BG20" s="68">
        <v>809</v>
      </c>
      <c r="BH20" s="68">
        <v>809</v>
      </c>
      <c r="BI20" s="68">
        <v>809</v>
      </c>
      <c r="BJ20" s="68">
        <v>836</v>
      </c>
      <c r="BK20" s="68">
        <v>836</v>
      </c>
      <c r="BL20" s="68">
        <v>836</v>
      </c>
      <c r="BM20" s="68">
        <v>836</v>
      </c>
      <c r="BN20" s="68">
        <v>836</v>
      </c>
      <c r="BO20" s="68">
        <v>836</v>
      </c>
      <c r="BP20" s="68">
        <v>836</v>
      </c>
      <c r="BQ20" s="68">
        <v>836</v>
      </c>
      <c r="BR20" s="68">
        <v>836</v>
      </c>
      <c r="BS20" s="68">
        <v>836</v>
      </c>
      <c r="BT20" s="68">
        <v>854</v>
      </c>
      <c r="BU20" s="68">
        <v>854</v>
      </c>
      <c r="BV20" s="68">
        <v>854</v>
      </c>
      <c r="BW20" s="68">
        <v>854</v>
      </c>
      <c r="BX20" s="68">
        <v>854</v>
      </c>
      <c r="BY20" s="68">
        <v>854</v>
      </c>
      <c r="BZ20" s="68">
        <v>854</v>
      </c>
      <c r="CA20" s="68">
        <v>854</v>
      </c>
      <c r="CB20" s="68">
        <v>854</v>
      </c>
      <c r="CC20" s="68">
        <v>854</v>
      </c>
    </row>
    <row r="21" spans="1:81" ht="15" customHeight="1">
      <c r="A21" s="2">
        <v>5600</v>
      </c>
      <c r="B21" s="2">
        <v>3.2</v>
      </c>
      <c r="C21" s="2">
        <v>8</v>
      </c>
      <c r="D21" s="2"/>
      <c r="E21" s="68">
        <v>839</v>
      </c>
      <c r="F21" s="68">
        <v>839</v>
      </c>
      <c r="G21" s="68">
        <v>839</v>
      </c>
      <c r="H21" s="68">
        <v>839</v>
      </c>
      <c r="I21" s="68">
        <v>839</v>
      </c>
      <c r="J21" s="68">
        <v>839</v>
      </c>
      <c r="K21" s="68">
        <v>839</v>
      </c>
      <c r="L21" s="68">
        <v>839</v>
      </c>
      <c r="M21" s="68">
        <v>839</v>
      </c>
      <c r="N21" s="68">
        <v>839</v>
      </c>
      <c r="O21" s="68">
        <v>839</v>
      </c>
      <c r="P21" s="68">
        <v>839</v>
      </c>
      <c r="Q21" s="68">
        <v>839</v>
      </c>
      <c r="R21" s="68">
        <v>839</v>
      </c>
      <c r="S21" s="68">
        <v>839</v>
      </c>
      <c r="T21" s="68">
        <v>839</v>
      </c>
      <c r="U21" s="68">
        <v>839</v>
      </c>
      <c r="V21" s="68">
        <v>839</v>
      </c>
      <c r="W21" s="68">
        <v>839</v>
      </c>
      <c r="X21" s="68">
        <v>839</v>
      </c>
      <c r="Y21" s="68">
        <v>839</v>
      </c>
      <c r="Z21" s="68">
        <v>839</v>
      </c>
      <c r="AA21" s="68">
        <v>839</v>
      </c>
      <c r="AB21" s="68">
        <v>690</v>
      </c>
      <c r="AC21" s="68">
        <v>690</v>
      </c>
      <c r="AD21" s="68">
        <v>690</v>
      </c>
      <c r="AE21" s="68">
        <v>690</v>
      </c>
      <c r="AF21" s="68">
        <v>690</v>
      </c>
      <c r="AG21" s="68">
        <v>690</v>
      </c>
      <c r="AH21" s="68">
        <v>690</v>
      </c>
      <c r="AI21" s="68">
        <v>690</v>
      </c>
      <c r="AJ21" s="68">
        <v>690</v>
      </c>
      <c r="AK21" s="68">
        <v>690</v>
      </c>
      <c r="AL21" s="68">
        <v>690</v>
      </c>
      <c r="AM21" s="68">
        <v>690</v>
      </c>
      <c r="AN21" s="68">
        <v>690</v>
      </c>
      <c r="AO21" s="68">
        <v>690</v>
      </c>
      <c r="AP21" s="68">
        <v>690</v>
      </c>
      <c r="AQ21" s="68">
        <v>690</v>
      </c>
      <c r="AR21" s="68">
        <v>690</v>
      </c>
      <c r="AS21" s="68">
        <v>690</v>
      </c>
      <c r="AT21" s="68">
        <v>740</v>
      </c>
      <c r="AU21" s="68">
        <v>740</v>
      </c>
      <c r="AV21" s="68">
        <v>740</v>
      </c>
      <c r="AW21" s="68">
        <v>740</v>
      </c>
      <c r="AX21" s="68">
        <v>740</v>
      </c>
      <c r="AY21" s="68">
        <v>740</v>
      </c>
      <c r="AZ21" s="68">
        <v>740</v>
      </c>
      <c r="BA21" s="68">
        <v>740</v>
      </c>
      <c r="BB21" s="68">
        <v>740</v>
      </c>
      <c r="BC21" s="68">
        <v>740</v>
      </c>
      <c r="BD21" s="68">
        <v>839</v>
      </c>
      <c r="BE21" s="68">
        <v>839</v>
      </c>
      <c r="BF21" s="68">
        <v>839</v>
      </c>
      <c r="BG21" s="68">
        <v>839</v>
      </c>
      <c r="BH21" s="68">
        <v>839</v>
      </c>
      <c r="BI21" s="68">
        <v>839</v>
      </c>
      <c r="BJ21" s="68">
        <v>870</v>
      </c>
      <c r="BK21" s="68">
        <v>870</v>
      </c>
      <c r="BL21" s="68">
        <v>870</v>
      </c>
      <c r="BM21" s="68">
        <v>870</v>
      </c>
      <c r="BN21" s="68">
        <v>870</v>
      </c>
      <c r="BO21" s="68">
        <v>870</v>
      </c>
      <c r="BP21" s="68">
        <v>870</v>
      </c>
      <c r="BQ21" s="68">
        <v>870</v>
      </c>
      <c r="BR21" s="68">
        <v>870</v>
      </c>
      <c r="BS21" s="68">
        <v>870</v>
      </c>
      <c r="BT21" s="68">
        <v>885</v>
      </c>
      <c r="BU21" s="68">
        <v>885</v>
      </c>
      <c r="BV21" s="68">
        <v>885</v>
      </c>
      <c r="BW21" s="68">
        <v>885</v>
      </c>
      <c r="BX21" s="68">
        <v>885</v>
      </c>
      <c r="BY21" s="68">
        <v>885</v>
      </c>
      <c r="BZ21" s="68">
        <v>885</v>
      </c>
      <c r="CA21" s="68">
        <v>885</v>
      </c>
      <c r="CB21" s="68">
        <v>885</v>
      </c>
      <c r="CC21" s="68">
        <v>885</v>
      </c>
    </row>
    <row r="22" spans="1:81" ht="15" customHeight="1">
      <c r="A22" s="2">
        <v>6125</v>
      </c>
      <c r="B22" s="2">
        <v>3.5</v>
      </c>
      <c r="C22" s="2"/>
      <c r="D22" s="2">
        <v>7</v>
      </c>
      <c r="E22" s="68">
        <v>863</v>
      </c>
      <c r="F22" s="68">
        <v>863</v>
      </c>
      <c r="G22" s="68">
        <v>863</v>
      </c>
      <c r="H22" s="68">
        <v>863</v>
      </c>
      <c r="I22" s="68">
        <v>863</v>
      </c>
      <c r="J22" s="68">
        <v>863</v>
      </c>
      <c r="K22" s="68">
        <v>863</v>
      </c>
      <c r="L22" s="68">
        <v>863</v>
      </c>
      <c r="M22" s="68">
        <v>863</v>
      </c>
      <c r="N22" s="68">
        <v>863</v>
      </c>
      <c r="O22" s="68">
        <v>863</v>
      </c>
      <c r="P22" s="68">
        <v>863</v>
      </c>
      <c r="Q22" s="68">
        <v>863</v>
      </c>
      <c r="R22" s="68">
        <v>863</v>
      </c>
      <c r="S22" s="68">
        <v>863</v>
      </c>
      <c r="T22" s="68">
        <v>863</v>
      </c>
      <c r="U22" s="68">
        <v>863</v>
      </c>
      <c r="V22" s="68">
        <v>863</v>
      </c>
      <c r="W22" s="68">
        <v>863</v>
      </c>
      <c r="X22" s="68">
        <v>863</v>
      </c>
      <c r="Y22" s="68">
        <v>863</v>
      </c>
      <c r="Z22" s="68">
        <v>863</v>
      </c>
      <c r="AA22" s="68">
        <v>863</v>
      </c>
      <c r="AB22" s="68">
        <v>732</v>
      </c>
      <c r="AC22" s="68">
        <v>732</v>
      </c>
      <c r="AD22" s="68">
        <v>732</v>
      </c>
      <c r="AE22" s="68">
        <v>732</v>
      </c>
      <c r="AF22" s="68">
        <v>732</v>
      </c>
      <c r="AG22" s="68">
        <v>732</v>
      </c>
      <c r="AH22" s="68">
        <v>732</v>
      </c>
      <c r="AI22" s="68">
        <v>732</v>
      </c>
      <c r="AJ22" s="68">
        <v>732</v>
      </c>
      <c r="AK22" s="68">
        <v>732</v>
      </c>
      <c r="AL22" s="68">
        <v>732</v>
      </c>
      <c r="AM22" s="68">
        <v>732</v>
      </c>
      <c r="AN22" s="68">
        <v>732</v>
      </c>
      <c r="AO22" s="68">
        <v>732</v>
      </c>
      <c r="AP22" s="68">
        <v>732</v>
      </c>
      <c r="AQ22" s="68">
        <v>732</v>
      </c>
      <c r="AR22" s="68">
        <v>732</v>
      </c>
      <c r="AS22" s="68">
        <v>732</v>
      </c>
      <c r="AT22" s="68">
        <v>770</v>
      </c>
      <c r="AU22" s="68">
        <v>770</v>
      </c>
      <c r="AV22" s="68">
        <v>770</v>
      </c>
      <c r="AW22" s="68">
        <v>770</v>
      </c>
      <c r="AX22" s="68">
        <v>770</v>
      </c>
      <c r="AY22" s="68">
        <v>770</v>
      </c>
      <c r="AZ22" s="68">
        <v>770</v>
      </c>
      <c r="BA22" s="68">
        <v>770</v>
      </c>
      <c r="BB22" s="68">
        <v>770</v>
      </c>
      <c r="BC22" s="68">
        <v>770</v>
      </c>
      <c r="BD22" s="68">
        <v>863</v>
      </c>
      <c r="BE22" s="68">
        <v>863</v>
      </c>
      <c r="BF22" s="68">
        <v>863</v>
      </c>
      <c r="BG22" s="68">
        <v>863</v>
      </c>
      <c r="BH22" s="68">
        <v>863</v>
      </c>
      <c r="BI22" s="68">
        <v>863</v>
      </c>
      <c r="BJ22" s="68">
        <v>893</v>
      </c>
      <c r="BK22" s="68">
        <v>893</v>
      </c>
      <c r="BL22" s="68">
        <v>893</v>
      </c>
      <c r="BM22" s="68">
        <v>893</v>
      </c>
      <c r="BN22" s="68">
        <v>893</v>
      </c>
      <c r="BO22" s="68">
        <v>893</v>
      </c>
      <c r="BP22" s="68">
        <v>893</v>
      </c>
      <c r="BQ22" s="68">
        <v>893</v>
      </c>
      <c r="BR22" s="68">
        <v>893</v>
      </c>
      <c r="BS22" s="68">
        <v>893</v>
      </c>
      <c r="BT22" s="68">
        <v>894</v>
      </c>
      <c r="BU22" s="68">
        <v>894</v>
      </c>
      <c r="BV22" s="68">
        <v>894</v>
      </c>
      <c r="BW22" s="68">
        <v>894</v>
      </c>
      <c r="BX22" s="68">
        <v>894</v>
      </c>
      <c r="BY22" s="68">
        <v>894</v>
      </c>
      <c r="BZ22" s="68">
        <v>894</v>
      </c>
      <c r="CA22" s="68">
        <v>894</v>
      </c>
      <c r="CB22" s="68">
        <v>894</v>
      </c>
      <c r="CC22" s="68">
        <v>894</v>
      </c>
    </row>
    <row r="23" spans="1:81" ht="15" customHeight="1">
      <c r="A23" s="2">
        <v>6300</v>
      </c>
      <c r="B23" s="2">
        <v>3.6</v>
      </c>
      <c r="C23" s="2">
        <v>9</v>
      </c>
      <c r="D23" s="2"/>
      <c r="E23" s="68">
        <v>893</v>
      </c>
      <c r="F23" s="68">
        <v>893</v>
      </c>
      <c r="G23" s="68">
        <v>893</v>
      </c>
      <c r="H23" s="68">
        <v>893</v>
      </c>
      <c r="I23" s="68">
        <v>893</v>
      </c>
      <c r="J23" s="68">
        <v>893</v>
      </c>
      <c r="K23" s="68">
        <v>893</v>
      </c>
      <c r="L23" s="68">
        <v>893</v>
      </c>
      <c r="M23" s="68">
        <v>893</v>
      </c>
      <c r="N23" s="68">
        <v>893</v>
      </c>
      <c r="O23" s="68">
        <v>893</v>
      </c>
      <c r="P23" s="68">
        <v>893</v>
      </c>
      <c r="Q23" s="68">
        <v>893</v>
      </c>
      <c r="R23" s="68">
        <v>893</v>
      </c>
      <c r="S23" s="68">
        <v>893</v>
      </c>
      <c r="T23" s="68">
        <v>893</v>
      </c>
      <c r="U23" s="68">
        <v>893</v>
      </c>
      <c r="V23" s="68">
        <v>893</v>
      </c>
      <c r="W23" s="68">
        <v>893</v>
      </c>
      <c r="X23" s="68">
        <v>893</v>
      </c>
      <c r="Y23" s="68">
        <v>893</v>
      </c>
      <c r="Z23" s="68">
        <v>893</v>
      </c>
      <c r="AA23" s="68">
        <v>893</v>
      </c>
      <c r="AB23" s="68">
        <v>748</v>
      </c>
      <c r="AC23" s="68">
        <v>748</v>
      </c>
      <c r="AD23" s="68">
        <v>748</v>
      </c>
      <c r="AE23" s="68">
        <v>748</v>
      </c>
      <c r="AF23" s="68">
        <v>748</v>
      </c>
      <c r="AG23" s="68">
        <v>748</v>
      </c>
      <c r="AH23" s="68">
        <v>748</v>
      </c>
      <c r="AI23" s="68">
        <v>748</v>
      </c>
      <c r="AJ23" s="68">
        <v>748</v>
      </c>
      <c r="AK23" s="68">
        <v>748</v>
      </c>
      <c r="AL23" s="68">
        <v>748</v>
      </c>
      <c r="AM23" s="68">
        <v>748</v>
      </c>
      <c r="AN23" s="68">
        <v>748</v>
      </c>
      <c r="AO23" s="68">
        <v>748</v>
      </c>
      <c r="AP23" s="68">
        <v>748</v>
      </c>
      <c r="AQ23" s="68">
        <v>748</v>
      </c>
      <c r="AR23" s="68">
        <v>748</v>
      </c>
      <c r="AS23" s="68">
        <v>748</v>
      </c>
      <c r="AT23" s="68">
        <v>804</v>
      </c>
      <c r="AU23" s="68">
        <v>804</v>
      </c>
      <c r="AV23" s="68">
        <v>804</v>
      </c>
      <c r="AW23" s="68">
        <v>804</v>
      </c>
      <c r="AX23" s="68">
        <v>804</v>
      </c>
      <c r="AY23" s="68">
        <v>804</v>
      </c>
      <c r="AZ23" s="68">
        <v>804</v>
      </c>
      <c r="BA23" s="68">
        <v>804</v>
      </c>
      <c r="BB23" s="68">
        <v>804</v>
      </c>
      <c r="BC23" s="68">
        <v>804</v>
      </c>
      <c r="BD23" s="68">
        <v>893</v>
      </c>
      <c r="BE23" s="68">
        <v>893</v>
      </c>
      <c r="BF23" s="68">
        <v>893</v>
      </c>
      <c r="BG23" s="68">
        <v>893</v>
      </c>
      <c r="BH23" s="68">
        <v>893</v>
      </c>
      <c r="BI23" s="68">
        <v>893</v>
      </c>
      <c r="BJ23" s="68">
        <v>915</v>
      </c>
      <c r="BK23" s="68">
        <v>915</v>
      </c>
      <c r="BL23" s="68">
        <v>915</v>
      </c>
      <c r="BM23" s="68">
        <v>915</v>
      </c>
      <c r="BN23" s="68">
        <v>915</v>
      </c>
      <c r="BO23" s="68">
        <v>915</v>
      </c>
      <c r="BP23" s="68">
        <v>915</v>
      </c>
      <c r="BQ23" s="68">
        <v>915</v>
      </c>
      <c r="BR23" s="68">
        <v>915</v>
      </c>
      <c r="BS23" s="68">
        <v>915</v>
      </c>
      <c r="BT23" s="68">
        <v>910</v>
      </c>
      <c r="BU23" s="68">
        <v>910</v>
      </c>
      <c r="BV23" s="68">
        <v>910</v>
      </c>
      <c r="BW23" s="68">
        <v>910</v>
      </c>
      <c r="BX23" s="68">
        <v>910</v>
      </c>
      <c r="BY23" s="68">
        <v>910</v>
      </c>
      <c r="BZ23" s="68">
        <v>910</v>
      </c>
      <c r="CA23" s="68">
        <v>910</v>
      </c>
      <c r="CB23" s="68">
        <v>910</v>
      </c>
      <c r="CC23" s="68">
        <v>910</v>
      </c>
    </row>
    <row r="24" spans="1:81" ht="15" customHeight="1">
      <c r="A24" s="2">
        <v>7000</v>
      </c>
      <c r="B24" s="2">
        <v>4</v>
      </c>
      <c r="C24" s="2">
        <v>10</v>
      </c>
      <c r="D24" s="2">
        <v>8</v>
      </c>
      <c r="E24" s="68">
        <v>940</v>
      </c>
      <c r="F24" s="68">
        <v>940</v>
      </c>
      <c r="G24" s="68">
        <v>940</v>
      </c>
      <c r="H24" s="68">
        <v>940</v>
      </c>
      <c r="I24" s="68">
        <v>940</v>
      </c>
      <c r="J24" s="68">
        <v>940</v>
      </c>
      <c r="K24" s="68">
        <v>940</v>
      </c>
      <c r="L24" s="68">
        <v>940</v>
      </c>
      <c r="M24" s="68">
        <v>940</v>
      </c>
      <c r="N24" s="68">
        <v>940</v>
      </c>
      <c r="O24" s="68">
        <v>940</v>
      </c>
      <c r="P24" s="68">
        <v>940</v>
      </c>
      <c r="Q24" s="68">
        <v>940</v>
      </c>
      <c r="R24" s="68">
        <v>940</v>
      </c>
      <c r="S24" s="68">
        <v>940</v>
      </c>
      <c r="T24" s="68">
        <v>940</v>
      </c>
      <c r="U24" s="68">
        <v>940</v>
      </c>
      <c r="V24" s="68">
        <v>940</v>
      </c>
      <c r="W24" s="68">
        <v>940</v>
      </c>
      <c r="X24" s="68">
        <v>940</v>
      </c>
      <c r="Y24" s="68">
        <v>940</v>
      </c>
      <c r="Z24" s="68">
        <v>940</v>
      </c>
      <c r="AA24" s="68">
        <v>940</v>
      </c>
      <c r="AB24" s="68">
        <v>793</v>
      </c>
      <c r="AC24" s="68">
        <v>793</v>
      </c>
      <c r="AD24" s="68">
        <v>793</v>
      </c>
      <c r="AE24" s="68">
        <v>793</v>
      </c>
      <c r="AF24" s="68">
        <v>793</v>
      </c>
      <c r="AG24" s="68">
        <v>793</v>
      </c>
      <c r="AH24" s="68">
        <v>793</v>
      </c>
      <c r="AI24" s="68">
        <v>793</v>
      </c>
      <c r="AJ24" s="68">
        <v>793</v>
      </c>
      <c r="AK24" s="68">
        <v>793</v>
      </c>
      <c r="AL24" s="68">
        <v>793</v>
      </c>
      <c r="AM24" s="68">
        <v>793</v>
      </c>
      <c r="AN24" s="68">
        <v>793</v>
      </c>
      <c r="AO24" s="68">
        <v>793</v>
      </c>
      <c r="AP24" s="68">
        <v>793</v>
      </c>
      <c r="AQ24" s="68">
        <v>793</v>
      </c>
      <c r="AR24" s="68">
        <v>793</v>
      </c>
      <c r="AS24" s="68">
        <v>793</v>
      </c>
      <c r="AT24" s="68">
        <v>840</v>
      </c>
      <c r="AU24" s="68">
        <v>840</v>
      </c>
      <c r="AV24" s="68">
        <v>840</v>
      </c>
      <c r="AW24" s="68">
        <v>840</v>
      </c>
      <c r="AX24" s="68">
        <v>840</v>
      </c>
      <c r="AY24" s="68">
        <v>840</v>
      </c>
      <c r="AZ24" s="68">
        <v>840</v>
      </c>
      <c r="BA24" s="68">
        <v>840</v>
      </c>
      <c r="BB24" s="68">
        <v>840</v>
      </c>
      <c r="BC24" s="68">
        <v>840</v>
      </c>
      <c r="BD24" s="68">
        <v>940</v>
      </c>
      <c r="BE24" s="68">
        <v>940</v>
      </c>
      <c r="BF24" s="68">
        <v>940</v>
      </c>
      <c r="BG24" s="68">
        <v>940</v>
      </c>
      <c r="BH24" s="68">
        <v>940</v>
      </c>
      <c r="BI24" s="68">
        <v>940</v>
      </c>
      <c r="BJ24" s="68">
        <v>969</v>
      </c>
      <c r="BK24" s="68">
        <v>969</v>
      </c>
      <c r="BL24" s="68">
        <v>969</v>
      </c>
      <c r="BM24" s="68">
        <v>969</v>
      </c>
      <c r="BN24" s="68">
        <v>969</v>
      </c>
      <c r="BO24" s="68">
        <v>969</v>
      </c>
      <c r="BP24" s="68">
        <v>969</v>
      </c>
      <c r="BQ24" s="68">
        <v>969</v>
      </c>
      <c r="BR24" s="68">
        <v>969</v>
      </c>
      <c r="BS24" s="68">
        <v>969</v>
      </c>
      <c r="BT24" s="68">
        <v>985</v>
      </c>
      <c r="BU24" s="68">
        <v>985</v>
      </c>
      <c r="BV24" s="68">
        <v>985</v>
      </c>
      <c r="BW24" s="68">
        <v>985</v>
      </c>
      <c r="BX24" s="68">
        <v>985</v>
      </c>
      <c r="BY24" s="68">
        <v>985</v>
      </c>
      <c r="BZ24" s="68">
        <v>985</v>
      </c>
      <c r="CA24" s="68">
        <v>985</v>
      </c>
      <c r="CB24" s="68">
        <v>985</v>
      </c>
      <c r="CC24" s="68">
        <v>985</v>
      </c>
    </row>
    <row r="25" spans="1:81" ht="15" customHeight="1">
      <c r="A25" s="3"/>
      <c r="B25" s="3"/>
      <c r="C25" s="3"/>
      <c r="D25" s="3"/>
    </row>
    <row r="26" spans="1:81" ht="15" customHeight="1">
      <c r="A26" s="4" t="s">
        <v>24</v>
      </c>
      <c r="B26" s="3"/>
      <c r="C26" s="3"/>
      <c r="D26" s="3"/>
    </row>
    <row r="27" spans="1:81" ht="15" customHeight="1">
      <c r="A27" s="3"/>
      <c r="B27" s="3"/>
      <c r="C27" s="3"/>
      <c r="D27" s="3"/>
    </row>
    <row r="28" spans="1:81" ht="15" customHeight="1">
      <c r="A28" s="6" t="s">
        <v>25</v>
      </c>
      <c r="B28" s="40"/>
      <c r="C28" s="6" t="s">
        <v>26</v>
      </c>
      <c r="D28" s="27"/>
      <c r="E28" s="69"/>
      <c r="F28" s="70"/>
      <c r="G28" s="71" t="s">
        <v>27</v>
      </c>
      <c r="H28" s="70"/>
      <c r="I28" s="70"/>
      <c r="J28" s="70"/>
      <c r="K28" s="70"/>
      <c r="L28" s="70"/>
      <c r="M28" s="70"/>
      <c r="N28" s="70"/>
      <c r="O28" s="70"/>
      <c r="P28" s="70"/>
      <c r="Q28" s="70"/>
      <c r="R28" s="70"/>
      <c r="S28" s="70"/>
      <c r="T28" s="71" t="s">
        <v>27</v>
      </c>
      <c r="U28" s="70"/>
      <c r="V28" s="70"/>
      <c r="W28" s="70"/>
      <c r="X28" s="70"/>
      <c r="Y28" s="70"/>
      <c r="Z28" s="70"/>
      <c r="AA28" s="70"/>
      <c r="AB28" s="70"/>
      <c r="AC28" s="70"/>
      <c r="AD28" s="70"/>
      <c r="AE28" s="70"/>
      <c r="AF28" s="70"/>
      <c r="AG28" s="71" t="s">
        <v>27</v>
      </c>
      <c r="AH28" s="70"/>
      <c r="AI28" s="70"/>
      <c r="AJ28" s="70"/>
      <c r="AK28" s="70"/>
      <c r="AL28" s="70"/>
      <c r="AM28" s="70"/>
      <c r="AN28" s="70"/>
      <c r="AO28" s="71"/>
      <c r="AP28" s="70"/>
      <c r="AQ28" s="70"/>
      <c r="AR28" s="70"/>
      <c r="AS28" s="70"/>
      <c r="AT28" s="71" t="s">
        <v>27</v>
      </c>
      <c r="AU28" s="70"/>
      <c r="AV28" s="70"/>
      <c r="AW28" s="70"/>
      <c r="AX28" s="70"/>
      <c r="AY28" s="70"/>
      <c r="AZ28" s="70"/>
      <c r="BA28" s="70"/>
      <c r="BB28" s="70"/>
      <c r="BC28" s="71"/>
      <c r="BD28" s="70"/>
      <c r="BE28" s="70"/>
      <c r="BF28" s="70"/>
      <c r="BG28" s="71" t="s">
        <v>27</v>
      </c>
      <c r="BH28" s="70"/>
      <c r="BI28" s="70"/>
      <c r="BJ28" s="70"/>
      <c r="BK28" s="70"/>
      <c r="BL28" s="70"/>
      <c r="BM28" s="70"/>
      <c r="BN28" s="70"/>
      <c r="BO28" s="71"/>
      <c r="BP28" s="70"/>
      <c r="BQ28" s="70"/>
      <c r="BR28" s="70"/>
      <c r="BS28" s="70"/>
      <c r="BT28" s="71" t="s">
        <v>27</v>
      </c>
      <c r="BU28" s="70"/>
      <c r="BV28" s="70"/>
      <c r="BW28" s="70"/>
      <c r="BX28" s="70"/>
      <c r="BY28" s="70"/>
      <c r="BZ28" s="70"/>
      <c r="CA28" s="70"/>
      <c r="CB28" s="71"/>
      <c r="CC28" s="72"/>
    </row>
    <row r="29" spans="1:81" ht="15" customHeight="1">
      <c r="A29" s="222" t="s">
        <v>28</v>
      </c>
      <c r="B29" s="223"/>
      <c r="C29" s="6" t="s">
        <v>29</v>
      </c>
      <c r="D29" s="73"/>
      <c r="E29" s="74" t="s">
        <v>30</v>
      </c>
      <c r="F29" s="74" t="s">
        <v>30</v>
      </c>
      <c r="G29" s="74" t="s">
        <v>30</v>
      </c>
      <c r="H29" s="74" t="s">
        <v>30</v>
      </c>
      <c r="I29" s="74" t="s">
        <v>30</v>
      </c>
      <c r="J29" s="74" t="s">
        <v>30</v>
      </c>
      <c r="K29" s="74" t="s">
        <v>30</v>
      </c>
      <c r="L29" s="74" t="s">
        <v>30</v>
      </c>
      <c r="M29" s="74" t="s">
        <v>30</v>
      </c>
      <c r="N29" s="74" t="s">
        <v>30</v>
      </c>
      <c r="O29" s="74" t="s">
        <v>30</v>
      </c>
      <c r="P29" s="74" t="s">
        <v>30</v>
      </c>
      <c r="Q29" s="74" t="s">
        <v>30</v>
      </c>
      <c r="R29" s="74" t="s">
        <v>30</v>
      </c>
      <c r="S29" s="74" t="s">
        <v>30</v>
      </c>
      <c r="T29" s="74" t="s">
        <v>30</v>
      </c>
      <c r="U29" s="74" t="s">
        <v>30</v>
      </c>
      <c r="V29" s="74" t="s">
        <v>30</v>
      </c>
      <c r="W29" s="74" t="s">
        <v>30</v>
      </c>
      <c r="X29" s="74" t="s">
        <v>30</v>
      </c>
      <c r="Y29" s="74" t="s">
        <v>30</v>
      </c>
      <c r="Z29" s="74" t="s">
        <v>30</v>
      </c>
      <c r="AA29" s="74" t="s">
        <v>30</v>
      </c>
      <c r="AB29" s="74" t="s">
        <v>30</v>
      </c>
      <c r="AC29" s="74" t="s">
        <v>30</v>
      </c>
      <c r="AD29" s="74" t="s">
        <v>30</v>
      </c>
      <c r="AE29" s="74" t="s">
        <v>30</v>
      </c>
      <c r="AF29" s="74" t="s">
        <v>30</v>
      </c>
      <c r="AG29" s="74" t="s">
        <v>30</v>
      </c>
      <c r="AH29" s="74" t="s">
        <v>30</v>
      </c>
      <c r="AI29" s="74" t="s">
        <v>30</v>
      </c>
      <c r="AJ29" s="74" t="s">
        <v>30</v>
      </c>
      <c r="AK29" s="74" t="s">
        <v>30</v>
      </c>
      <c r="AL29" s="74" t="s">
        <v>30</v>
      </c>
      <c r="AM29" s="74" t="s">
        <v>30</v>
      </c>
      <c r="AN29" s="74" t="s">
        <v>30</v>
      </c>
      <c r="AO29" s="74" t="s">
        <v>30</v>
      </c>
      <c r="AP29" s="74" t="s">
        <v>30</v>
      </c>
      <c r="AQ29" s="74" t="s">
        <v>30</v>
      </c>
      <c r="AR29" s="74" t="s">
        <v>30</v>
      </c>
      <c r="AS29" s="74" t="s">
        <v>30</v>
      </c>
      <c r="AT29" s="74" t="s">
        <v>31</v>
      </c>
      <c r="AU29" s="74" t="s">
        <v>31</v>
      </c>
      <c r="AV29" s="74" t="s">
        <v>31</v>
      </c>
      <c r="AW29" s="74" t="s">
        <v>31</v>
      </c>
      <c r="AX29" s="74" t="s">
        <v>31</v>
      </c>
      <c r="AY29" s="74" t="s">
        <v>31</v>
      </c>
      <c r="AZ29" s="74" t="s">
        <v>31</v>
      </c>
      <c r="BA29" s="74" t="s">
        <v>31</v>
      </c>
      <c r="BB29" s="74" t="s">
        <v>31</v>
      </c>
      <c r="BC29" s="74" t="s">
        <v>31</v>
      </c>
      <c r="BD29" s="74" t="s">
        <v>30</v>
      </c>
      <c r="BE29" s="74" t="s">
        <v>30</v>
      </c>
      <c r="BF29" s="74" t="s">
        <v>30</v>
      </c>
      <c r="BG29" s="74" t="s">
        <v>30</v>
      </c>
      <c r="BH29" s="74" t="s">
        <v>30</v>
      </c>
      <c r="BI29" s="74" t="s">
        <v>30</v>
      </c>
      <c r="BJ29" s="74" t="s">
        <v>30</v>
      </c>
      <c r="BK29" s="74" t="s">
        <v>30</v>
      </c>
      <c r="BL29" s="74" t="s">
        <v>30</v>
      </c>
      <c r="BM29" s="74" t="s">
        <v>30</v>
      </c>
      <c r="BN29" s="74" t="s">
        <v>30</v>
      </c>
      <c r="BO29" s="74" t="s">
        <v>30</v>
      </c>
      <c r="BP29" s="74" t="s">
        <v>30</v>
      </c>
      <c r="BQ29" s="74" t="s">
        <v>30</v>
      </c>
      <c r="BR29" s="74" t="s">
        <v>30</v>
      </c>
      <c r="BS29" s="74" t="s">
        <v>30</v>
      </c>
      <c r="BT29" s="74" t="s">
        <v>31</v>
      </c>
      <c r="BU29" s="74" t="s">
        <v>31</v>
      </c>
      <c r="BV29" s="74" t="s">
        <v>31</v>
      </c>
      <c r="BW29" s="74" t="s">
        <v>31</v>
      </c>
      <c r="BX29" s="74" t="s">
        <v>31</v>
      </c>
      <c r="BY29" s="74" t="s">
        <v>31</v>
      </c>
      <c r="BZ29" s="74" t="s">
        <v>31</v>
      </c>
      <c r="CA29" s="74" t="s">
        <v>31</v>
      </c>
      <c r="CB29" s="74" t="s">
        <v>31</v>
      </c>
      <c r="CC29" s="74" t="s">
        <v>31</v>
      </c>
    </row>
    <row r="30" spans="1:81" ht="15" customHeight="1">
      <c r="A30" s="222" t="s">
        <v>32</v>
      </c>
      <c r="B30" s="223"/>
      <c r="C30" s="6" t="s">
        <v>29</v>
      </c>
      <c r="D30" s="73"/>
      <c r="E30" s="75">
        <v>2</v>
      </c>
      <c r="F30" s="75">
        <v>2</v>
      </c>
      <c r="G30" s="75">
        <v>2</v>
      </c>
      <c r="H30" s="75">
        <v>2</v>
      </c>
      <c r="I30" s="75">
        <v>2</v>
      </c>
      <c r="J30" s="75">
        <v>2</v>
      </c>
      <c r="K30" s="75">
        <v>2</v>
      </c>
      <c r="L30" s="75">
        <v>2</v>
      </c>
      <c r="M30" s="75">
        <v>2</v>
      </c>
      <c r="N30" s="75">
        <v>2</v>
      </c>
      <c r="O30" s="75">
        <v>2</v>
      </c>
      <c r="P30" s="75">
        <v>2</v>
      </c>
      <c r="Q30" s="75">
        <v>2</v>
      </c>
      <c r="R30" s="75">
        <v>2</v>
      </c>
      <c r="S30" s="75">
        <v>2</v>
      </c>
      <c r="T30" s="75">
        <v>2</v>
      </c>
      <c r="U30" s="75">
        <v>2</v>
      </c>
      <c r="V30" s="75">
        <v>2</v>
      </c>
      <c r="W30" s="75">
        <v>2</v>
      </c>
      <c r="X30" s="75">
        <v>2</v>
      </c>
      <c r="Y30" s="75">
        <v>2</v>
      </c>
      <c r="Z30" s="75">
        <v>2</v>
      </c>
      <c r="AA30" s="75">
        <v>2</v>
      </c>
      <c r="AB30" s="75">
        <v>2</v>
      </c>
      <c r="AC30" s="75">
        <v>2</v>
      </c>
      <c r="AD30" s="75">
        <v>2</v>
      </c>
      <c r="AE30" s="75">
        <v>2</v>
      </c>
      <c r="AF30" s="75">
        <v>2</v>
      </c>
      <c r="AG30" s="75">
        <v>2</v>
      </c>
      <c r="AH30" s="75">
        <v>2</v>
      </c>
      <c r="AI30" s="75">
        <v>2</v>
      </c>
      <c r="AJ30" s="75">
        <v>2</v>
      </c>
      <c r="AK30" s="75">
        <v>2</v>
      </c>
      <c r="AL30" s="75">
        <v>2</v>
      </c>
      <c r="AM30" s="75">
        <v>2</v>
      </c>
      <c r="AN30" s="75">
        <v>2</v>
      </c>
      <c r="AO30" s="75">
        <v>2</v>
      </c>
      <c r="AP30" s="75">
        <v>2</v>
      </c>
      <c r="AQ30" s="75">
        <v>2</v>
      </c>
      <c r="AR30" s="75">
        <v>2</v>
      </c>
      <c r="AS30" s="75">
        <v>2</v>
      </c>
      <c r="AT30" s="75">
        <v>3</v>
      </c>
      <c r="AU30" s="75">
        <v>3</v>
      </c>
      <c r="AV30" s="75">
        <v>3</v>
      </c>
      <c r="AW30" s="75">
        <v>3</v>
      </c>
      <c r="AX30" s="75">
        <v>3</v>
      </c>
      <c r="AY30" s="75">
        <v>3</v>
      </c>
      <c r="AZ30" s="75">
        <v>3</v>
      </c>
      <c r="BA30" s="75">
        <v>3</v>
      </c>
      <c r="BB30" s="75">
        <v>3</v>
      </c>
      <c r="BC30" s="75">
        <v>3</v>
      </c>
      <c r="BD30" s="75">
        <v>2</v>
      </c>
      <c r="BE30" s="75">
        <v>2</v>
      </c>
      <c r="BF30" s="75">
        <v>2</v>
      </c>
      <c r="BG30" s="75">
        <v>2</v>
      </c>
      <c r="BH30" s="75">
        <v>2</v>
      </c>
      <c r="BI30" s="75">
        <v>2</v>
      </c>
      <c r="BJ30" s="75">
        <v>2</v>
      </c>
      <c r="BK30" s="75">
        <v>2</v>
      </c>
      <c r="BL30" s="75">
        <v>2</v>
      </c>
      <c r="BM30" s="75">
        <v>2</v>
      </c>
      <c r="BN30" s="75">
        <v>2</v>
      </c>
      <c r="BO30" s="75">
        <v>2</v>
      </c>
      <c r="BP30" s="75">
        <v>2</v>
      </c>
      <c r="BQ30" s="75">
        <v>2</v>
      </c>
      <c r="BR30" s="75">
        <v>2</v>
      </c>
      <c r="BS30" s="75">
        <v>2</v>
      </c>
      <c r="BT30" s="75">
        <v>3</v>
      </c>
      <c r="BU30" s="75">
        <v>3</v>
      </c>
      <c r="BV30" s="75">
        <v>3</v>
      </c>
      <c r="BW30" s="75">
        <v>3</v>
      </c>
      <c r="BX30" s="75">
        <v>3</v>
      </c>
      <c r="BY30" s="75">
        <v>3</v>
      </c>
      <c r="BZ30" s="75">
        <v>3</v>
      </c>
      <c r="CA30" s="75">
        <v>3</v>
      </c>
      <c r="CB30" s="75">
        <v>3</v>
      </c>
      <c r="CC30" s="75">
        <v>3</v>
      </c>
    </row>
    <row r="31" spans="1:81" ht="15" customHeight="1">
      <c r="A31" s="222" t="s">
        <v>33</v>
      </c>
      <c r="B31" s="223"/>
      <c r="C31" s="6" t="s">
        <v>29</v>
      </c>
      <c r="D31" s="76"/>
      <c r="E31" s="74" t="s">
        <v>34</v>
      </c>
      <c r="F31" s="74" t="s">
        <v>34</v>
      </c>
      <c r="G31" s="74" t="s">
        <v>34</v>
      </c>
      <c r="H31" s="74" t="s">
        <v>34</v>
      </c>
      <c r="I31" s="74" t="s">
        <v>34</v>
      </c>
      <c r="J31" s="74" t="s">
        <v>34</v>
      </c>
      <c r="K31" s="74" t="s">
        <v>34</v>
      </c>
      <c r="L31" s="74" t="s">
        <v>34</v>
      </c>
      <c r="M31" s="74" t="s">
        <v>34</v>
      </c>
      <c r="N31" s="74" t="s">
        <v>34</v>
      </c>
      <c r="O31" s="74" t="s">
        <v>34</v>
      </c>
      <c r="P31" s="74" t="s">
        <v>34</v>
      </c>
      <c r="Q31" s="74" t="s">
        <v>34</v>
      </c>
      <c r="R31" s="74" t="s">
        <v>34</v>
      </c>
      <c r="S31" s="74" t="s">
        <v>34</v>
      </c>
      <c r="T31" s="74" t="s">
        <v>34</v>
      </c>
      <c r="U31" s="74" t="s">
        <v>34</v>
      </c>
      <c r="V31" s="74" t="s">
        <v>34</v>
      </c>
      <c r="W31" s="74" t="s">
        <v>34</v>
      </c>
      <c r="X31" s="74" t="s">
        <v>34</v>
      </c>
      <c r="Y31" s="74" t="s">
        <v>34</v>
      </c>
      <c r="Z31" s="74" t="s">
        <v>34</v>
      </c>
      <c r="AA31" s="74" t="s">
        <v>34</v>
      </c>
      <c r="AB31" s="74" t="s">
        <v>34</v>
      </c>
      <c r="AC31" s="74" t="s">
        <v>34</v>
      </c>
      <c r="AD31" s="74" t="s">
        <v>34</v>
      </c>
      <c r="AE31" s="74" t="s">
        <v>34</v>
      </c>
      <c r="AF31" s="74" t="s">
        <v>34</v>
      </c>
      <c r="AG31" s="74" t="s">
        <v>34</v>
      </c>
      <c r="AH31" s="74" t="s">
        <v>34</v>
      </c>
      <c r="AI31" s="74" t="s">
        <v>34</v>
      </c>
      <c r="AJ31" s="74" t="s">
        <v>34</v>
      </c>
      <c r="AK31" s="74" t="s">
        <v>34</v>
      </c>
      <c r="AL31" s="74" t="s">
        <v>34</v>
      </c>
      <c r="AM31" s="74" t="s">
        <v>34</v>
      </c>
      <c r="AN31" s="74" t="s">
        <v>34</v>
      </c>
      <c r="AO31" s="74" t="s">
        <v>34</v>
      </c>
      <c r="AP31" s="74" t="s">
        <v>34</v>
      </c>
      <c r="AQ31" s="74" t="s">
        <v>34</v>
      </c>
      <c r="AR31" s="74" t="s">
        <v>34</v>
      </c>
      <c r="AS31" s="74" t="s">
        <v>34</v>
      </c>
      <c r="AT31" s="74" t="s">
        <v>30</v>
      </c>
      <c r="AU31" s="74" t="s">
        <v>30</v>
      </c>
      <c r="AV31" s="74" t="s">
        <v>30</v>
      </c>
      <c r="AW31" s="74" t="s">
        <v>30</v>
      </c>
      <c r="AX31" s="74" t="s">
        <v>30</v>
      </c>
      <c r="AY31" s="74" t="s">
        <v>30</v>
      </c>
      <c r="AZ31" s="74" t="s">
        <v>30</v>
      </c>
      <c r="BA31" s="74" t="s">
        <v>30</v>
      </c>
      <c r="BB31" s="74" t="s">
        <v>30</v>
      </c>
      <c r="BC31" s="74" t="s">
        <v>30</v>
      </c>
      <c r="BD31" s="74" t="s">
        <v>34</v>
      </c>
      <c r="BE31" s="74" t="s">
        <v>34</v>
      </c>
      <c r="BF31" s="74" t="s">
        <v>34</v>
      </c>
      <c r="BG31" s="74" t="s">
        <v>34</v>
      </c>
      <c r="BH31" s="74" t="s">
        <v>34</v>
      </c>
      <c r="BI31" s="74" t="s">
        <v>34</v>
      </c>
      <c r="BJ31" s="74" t="s">
        <v>34</v>
      </c>
      <c r="BK31" s="74" t="s">
        <v>34</v>
      </c>
      <c r="BL31" s="74" t="s">
        <v>34</v>
      </c>
      <c r="BM31" s="74" t="s">
        <v>34</v>
      </c>
      <c r="BN31" s="74" t="s">
        <v>34</v>
      </c>
      <c r="BO31" s="74" t="s">
        <v>34</v>
      </c>
      <c r="BP31" s="74" t="s">
        <v>34</v>
      </c>
      <c r="BQ31" s="74" t="s">
        <v>34</v>
      </c>
      <c r="BR31" s="74" t="s">
        <v>34</v>
      </c>
      <c r="BS31" s="74" t="s">
        <v>34</v>
      </c>
      <c r="BT31" s="74" t="s">
        <v>30</v>
      </c>
      <c r="BU31" s="74" t="s">
        <v>30</v>
      </c>
      <c r="BV31" s="74" t="s">
        <v>30</v>
      </c>
      <c r="BW31" s="74" t="s">
        <v>30</v>
      </c>
      <c r="BX31" s="74" t="s">
        <v>30</v>
      </c>
      <c r="BY31" s="74" t="s">
        <v>30</v>
      </c>
      <c r="BZ31" s="74" t="s">
        <v>30</v>
      </c>
      <c r="CA31" s="74" t="s">
        <v>30</v>
      </c>
      <c r="CB31" s="74" t="s">
        <v>30</v>
      </c>
      <c r="CC31" s="74" t="s">
        <v>30</v>
      </c>
    </row>
    <row r="33" spans="1:1">
      <c r="A33" s="4"/>
    </row>
    <row r="34" spans="1:1">
      <c r="A34" s="3"/>
    </row>
    <row r="35" spans="1:1">
      <c r="A35" s="3"/>
    </row>
  </sheetData>
  <mergeCells count="3">
    <mergeCell ref="A29:B29"/>
    <mergeCell ref="A30:B30"/>
    <mergeCell ref="A31:B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E385-35E6-4BBB-9046-46E63521F875}">
  <dimension ref="A1:E35"/>
  <sheetViews>
    <sheetView showGridLines="0" workbookViewId="0">
      <pane ySplit="6" topLeftCell="A7" activePane="bottomLeft" state="frozen"/>
      <selection pane="bottomLeft" activeCell="A7" sqref="A7"/>
      <selection activeCell="E1" sqref="E1:MB1048576"/>
    </sheetView>
  </sheetViews>
  <sheetFormatPr defaultRowHeight="15"/>
  <cols>
    <col min="1" max="4" width="11.7109375" style="1" customWidth="1"/>
    <col min="5" max="5" width="21" style="3" bestFit="1" customWidth="1"/>
    <col min="6" max="340" width="10.5703125" customWidth="1"/>
  </cols>
  <sheetData>
    <row r="1" spans="1:5" ht="15" customHeight="1"/>
    <row r="2" spans="1:5" ht="15" customHeight="1">
      <c r="A2" s="9"/>
      <c r="B2" s="7"/>
      <c r="C2" s="7"/>
      <c r="D2" s="7"/>
      <c r="E2" s="7"/>
    </row>
    <row r="3" spans="1:5" ht="20.45" customHeight="1">
      <c r="A3" s="9" t="str">
        <f>Voorblad!A5</f>
        <v>Team Freight Forwarding Logistics</v>
      </c>
      <c r="B3" s="8"/>
      <c r="C3" s="8"/>
      <c r="D3" s="8"/>
      <c r="E3" s="48"/>
    </row>
    <row r="4" spans="1:5" s="51" customFormat="1" ht="15.75">
      <c r="A4" s="62" t="s">
        <v>35</v>
      </c>
      <c r="B4" s="49"/>
      <c r="C4" s="50"/>
      <c r="D4" s="50"/>
      <c r="E4" s="50"/>
    </row>
    <row r="5" spans="1:5" ht="15" customHeight="1">
      <c r="A5" s="7"/>
      <c r="B5" s="7"/>
      <c r="C5" s="7"/>
      <c r="D5" s="7"/>
      <c r="E5" s="26"/>
    </row>
    <row r="6" spans="1:5" ht="15" customHeight="1">
      <c r="A6" s="67" t="s">
        <v>20</v>
      </c>
      <c r="B6" s="67" t="s">
        <v>21</v>
      </c>
      <c r="C6" s="67" t="s">
        <v>22</v>
      </c>
      <c r="D6" s="67" t="s">
        <v>23</v>
      </c>
      <c r="E6" s="77" t="s">
        <v>36</v>
      </c>
    </row>
    <row r="7" spans="1:5" ht="15" customHeight="1">
      <c r="A7" s="67">
        <v>300</v>
      </c>
      <c r="B7" s="64">
        <v>0.2</v>
      </c>
      <c r="C7" s="64">
        <v>0.5</v>
      </c>
      <c r="D7" s="67"/>
      <c r="E7" s="78">
        <v>104</v>
      </c>
    </row>
    <row r="8" spans="1:5" ht="15" customHeight="1">
      <c r="A8" s="67">
        <v>700</v>
      </c>
      <c r="B8" s="67">
        <v>0.4</v>
      </c>
      <c r="C8" s="67">
        <v>1</v>
      </c>
      <c r="D8" s="67"/>
      <c r="E8" s="78">
        <v>110</v>
      </c>
    </row>
    <row r="9" spans="1:5" ht="15" customHeight="1">
      <c r="A9" s="67">
        <v>875</v>
      </c>
      <c r="B9" s="67">
        <v>0.5</v>
      </c>
      <c r="C9" s="67"/>
      <c r="D9" s="67">
        <v>1</v>
      </c>
      <c r="E9" s="78">
        <v>118</v>
      </c>
    </row>
    <row r="10" spans="1:5" ht="15" customHeight="1">
      <c r="A10" s="67">
        <v>1050</v>
      </c>
      <c r="B10" s="67">
        <v>0.6</v>
      </c>
      <c r="C10" s="67"/>
      <c r="D10" s="67"/>
      <c r="E10" s="78">
        <v>136</v>
      </c>
    </row>
    <row r="11" spans="1:5" ht="15" customHeight="1">
      <c r="A11" s="67">
        <v>1400</v>
      </c>
      <c r="B11" s="67">
        <v>0.8</v>
      </c>
      <c r="C11" s="67">
        <v>2</v>
      </c>
      <c r="D11" s="67"/>
      <c r="E11" s="78">
        <v>155</v>
      </c>
    </row>
    <row r="12" spans="1:5" ht="15" customHeight="1">
      <c r="A12" s="67">
        <v>1750</v>
      </c>
      <c r="B12" s="67">
        <v>1</v>
      </c>
      <c r="C12" s="67"/>
      <c r="D12" s="67">
        <v>2</v>
      </c>
      <c r="E12" s="78">
        <v>181</v>
      </c>
    </row>
    <row r="13" spans="1:5" ht="15" customHeight="1">
      <c r="A13" s="67">
        <v>2100</v>
      </c>
      <c r="B13" s="67">
        <v>1.2</v>
      </c>
      <c r="C13" s="67">
        <v>3</v>
      </c>
      <c r="D13" s="67"/>
      <c r="E13" s="78">
        <v>206</v>
      </c>
    </row>
    <row r="14" spans="1:5" ht="15" customHeight="1">
      <c r="A14" s="67">
        <v>2625</v>
      </c>
      <c r="B14" s="67">
        <v>1.5</v>
      </c>
      <c r="C14" s="67"/>
      <c r="D14" s="67">
        <v>3</v>
      </c>
      <c r="E14" s="78">
        <v>216</v>
      </c>
    </row>
    <row r="15" spans="1:5" ht="15" customHeight="1">
      <c r="A15" s="67">
        <v>2800</v>
      </c>
      <c r="B15" s="67">
        <v>1.6</v>
      </c>
      <c r="C15" s="67">
        <v>4</v>
      </c>
      <c r="D15" s="67"/>
      <c r="E15" s="78">
        <v>223</v>
      </c>
    </row>
    <row r="16" spans="1:5" ht="15" customHeight="1">
      <c r="A16" s="67">
        <v>3500</v>
      </c>
      <c r="B16" s="67">
        <v>2</v>
      </c>
      <c r="C16" s="67">
        <v>5</v>
      </c>
      <c r="D16" s="67">
        <v>4</v>
      </c>
      <c r="E16" s="78">
        <v>257</v>
      </c>
    </row>
    <row r="17" spans="1:5" ht="15" customHeight="1">
      <c r="A17" s="67">
        <v>4200</v>
      </c>
      <c r="B17" s="67">
        <v>2.4</v>
      </c>
      <c r="C17" s="67">
        <v>6</v>
      </c>
      <c r="D17" s="67"/>
      <c r="E17" s="78">
        <v>377</v>
      </c>
    </row>
    <row r="18" spans="1:5" ht="15" customHeight="1">
      <c r="A18" s="67">
        <v>4375</v>
      </c>
      <c r="B18" s="67">
        <v>2.5</v>
      </c>
      <c r="C18" s="67"/>
      <c r="D18" s="67">
        <v>5</v>
      </c>
      <c r="E18" s="78">
        <v>383</v>
      </c>
    </row>
    <row r="19" spans="1:5" ht="15" customHeight="1">
      <c r="A19" s="67">
        <v>4900</v>
      </c>
      <c r="B19" s="67">
        <v>2.8</v>
      </c>
      <c r="C19" s="67">
        <v>7</v>
      </c>
      <c r="D19" s="67"/>
      <c r="E19" s="78">
        <v>400</v>
      </c>
    </row>
    <row r="20" spans="1:5" ht="15" customHeight="1">
      <c r="A20" s="67">
        <v>5250</v>
      </c>
      <c r="B20" s="67">
        <v>3</v>
      </c>
      <c r="C20" s="67"/>
      <c r="D20" s="67">
        <v>6</v>
      </c>
      <c r="E20" s="78">
        <v>416</v>
      </c>
    </row>
    <row r="21" spans="1:5" ht="15" customHeight="1">
      <c r="A21" s="67">
        <v>5600</v>
      </c>
      <c r="B21" s="67">
        <v>3.2</v>
      </c>
      <c r="C21" s="67">
        <v>8</v>
      </c>
      <c r="D21" s="67"/>
      <c r="E21" s="78">
        <v>452</v>
      </c>
    </row>
    <row r="22" spans="1:5" ht="15" customHeight="1">
      <c r="A22" s="67">
        <v>6125</v>
      </c>
      <c r="B22" s="67">
        <v>3.5</v>
      </c>
      <c r="C22" s="67"/>
      <c r="D22" s="67">
        <v>7</v>
      </c>
      <c r="E22" s="78">
        <v>460</v>
      </c>
    </row>
    <row r="23" spans="1:5" ht="15" customHeight="1">
      <c r="A23" s="67">
        <v>6300</v>
      </c>
      <c r="B23" s="67">
        <v>3.6</v>
      </c>
      <c r="C23" s="67">
        <v>9</v>
      </c>
      <c r="D23" s="67"/>
      <c r="E23" s="78">
        <v>472</v>
      </c>
    </row>
    <row r="24" spans="1:5" ht="15" customHeight="1">
      <c r="A24" s="67">
        <v>7000</v>
      </c>
      <c r="B24" s="67">
        <v>4</v>
      </c>
      <c r="C24" s="67">
        <v>10</v>
      </c>
      <c r="D24" s="67">
        <v>8</v>
      </c>
      <c r="E24" s="78">
        <v>487</v>
      </c>
    </row>
    <row r="25" spans="1:5" ht="15" customHeight="1">
      <c r="A25" s="3"/>
      <c r="B25" s="3"/>
      <c r="C25" s="3"/>
      <c r="D25" s="3"/>
    </row>
    <row r="26" spans="1:5" ht="15" customHeight="1">
      <c r="A26" s="4" t="s">
        <v>24</v>
      </c>
      <c r="B26" s="3"/>
      <c r="C26" s="3"/>
      <c r="D26" s="3"/>
    </row>
    <row r="27" spans="1:5" ht="15" customHeight="1">
      <c r="A27" s="3"/>
      <c r="B27" s="3"/>
      <c r="C27" s="3"/>
      <c r="D27" s="3"/>
    </row>
    <row r="28" spans="1:5" ht="15" customHeight="1">
      <c r="A28" s="5" t="s">
        <v>25</v>
      </c>
      <c r="B28" s="5"/>
      <c r="C28" s="225" t="s">
        <v>26</v>
      </c>
      <c r="D28" s="226"/>
      <c r="E28" s="2" t="s">
        <v>37</v>
      </c>
    </row>
    <row r="29" spans="1:5" ht="15" customHeight="1">
      <c r="A29" s="224" t="s">
        <v>28</v>
      </c>
      <c r="B29" s="224"/>
      <c r="C29" s="5" t="s">
        <v>29</v>
      </c>
      <c r="D29" s="79"/>
      <c r="E29" s="80" t="s">
        <v>34</v>
      </c>
    </row>
    <row r="30" spans="1:5" ht="15" customHeight="1">
      <c r="A30" s="224" t="s">
        <v>32</v>
      </c>
      <c r="B30" s="224"/>
      <c r="C30" s="5" t="s">
        <v>29</v>
      </c>
      <c r="D30" s="79"/>
      <c r="E30" s="80" t="s">
        <v>34</v>
      </c>
    </row>
    <row r="31" spans="1:5" ht="15" customHeight="1">
      <c r="A31" s="224" t="s">
        <v>33</v>
      </c>
      <c r="B31" s="224"/>
      <c r="C31" s="5" t="s">
        <v>29</v>
      </c>
      <c r="D31" s="79"/>
      <c r="E31" s="81">
        <v>1</v>
      </c>
    </row>
    <row r="33" spans="1:1">
      <c r="A33" s="4"/>
    </row>
    <row r="34" spans="1:1">
      <c r="A34" s="3"/>
    </row>
    <row r="35" spans="1:1">
      <c r="A35" s="3"/>
    </row>
  </sheetData>
  <mergeCells count="4">
    <mergeCell ref="A29:B29"/>
    <mergeCell ref="A30:B30"/>
    <mergeCell ref="A31:B31"/>
    <mergeCell ref="C28:D2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E942E-EEC1-41EB-AC51-EF8F81E84800}">
  <dimension ref="A1:CO35"/>
  <sheetViews>
    <sheetView showGridLines="0" zoomScaleNormal="100" workbookViewId="0">
      <pane xSplit="4" ySplit="6" topLeftCell="E7" activePane="bottomRight" state="frozen"/>
      <selection pane="bottomRight" activeCell="E7" sqref="E7"/>
      <selection pane="bottomLeft" activeCell="E1" sqref="E1:MB1048576"/>
      <selection pane="topRight" activeCell="E1" sqref="E1:MB1048576"/>
    </sheetView>
  </sheetViews>
  <sheetFormatPr defaultRowHeight="15"/>
  <cols>
    <col min="1" max="4" width="11.7109375" style="1" customWidth="1"/>
    <col min="5" max="5" width="10.5703125" style="3" customWidth="1"/>
    <col min="6" max="340" width="10.5703125" customWidth="1"/>
  </cols>
  <sheetData>
    <row r="1" spans="1:93" ht="15" customHeight="1"/>
    <row r="2" spans="1:93" ht="15" customHeight="1">
      <c r="A2" s="9"/>
      <c r="B2" s="7"/>
      <c r="C2" s="7"/>
      <c r="D2" s="7"/>
      <c r="E2" s="7"/>
    </row>
    <row r="3" spans="1:93" ht="20.45" customHeight="1">
      <c r="A3" s="9" t="str">
        <f>Voorblad!A5</f>
        <v>Team Freight Forwarding Logistics</v>
      </c>
      <c r="B3" s="8"/>
      <c r="C3" s="8"/>
      <c r="D3" s="8"/>
      <c r="E3" s="48"/>
    </row>
    <row r="4" spans="1:93" s="51" customFormat="1" ht="15.75">
      <c r="A4" s="62" t="s">
        <v>38</v>
      </c>
      <c r="B4" s="49"/>
      <c r="C4" s="50"/>
      <c r="D4" s="50"/>
      <c r="E4" s="50"/>
    </row>
    <row r="5" spans="1:93" ht="15" customHeight="1">
      <c r="A5" s="7"/>
      <c r="B5" s="7"/>
      <c r="C5" s="7"/>
      <c r="D5" s="7"/>
      <c r="E5" s="26"/>
    </row>
    <row r="6" spans="1:93" ht="15" customHeight="1">
      <c r="A6" s="63" t="s">
        <v>20</v>
      </c>
      <c r="B6" s="63" t="s">
        <v>21</v>
      </c>
      <c r="C6" s="64" t="s">
        <v>22</v>
      </c>
      <c r="D6" s="64" t="s">
        <v>23</v>
      </c>
      <c r="E6" s="2">
        <v>10</v>
      </c>
      <c r="F6" s="2">
        <v>11</v>
      </c>
      <c r="G6" s="2">
        <v>12</v>
      </c>
      <c r="H6" s="2">
        <v>13</v>
      </c>
      <c r="I6" s="2">
        <v>14</v>
      </c>
      <c r="J6" s="2">
        <v>15</v>
      </c>
      <c r="K6" s="2">
        <v>16</v>
      </c>
      <c r="L6" s="2">
        <v>17</v>
      </c>
      <c r="M6" s="2">
        <v>18</v>
      </c>
      <c r="N6" s="2">
        <v>20</v>
      </c>
      <c r="O6" s="2">
        <v>21</v>
      </c>
      <c r="P6" s="2">
        <v>22</v>
      </c>
      <c r="Q6" s="2">
        <v>23</v>
      </c>
      <c r="R6" s="2">
        <v>24</v>
      </c>
      <c r="S6" s="2">
        <v>25</v>
      </c>
      <c r="T6" s="65">
        <v>26</v>
      </c>
      <c r="U6" s="2">
        <v>27</v>
      </c>
      <c r="V6" s="2">
        <v>28</v>
      </c>
      <c r="W6" s="2">
        <v>29</v>
      </c>
      <c r="X6" s="2">
        <v>30</v>
      </c>
      <c r="Y6" s="2">
        <v>31</v>
      </c>
      <c r="Z6" s="2">
        <v>32</v>
      </c>
      <c r="AA6" s="2">
        <v>33</v>
      </c>
      <c r="AB6" s="2">
        <v>34</v>
      </c>
      <c r="AC6" s="2">
        <v>35</v>
      </c>
      <c r="AD6" s="2">
        <v>36</v>
      </c>
      <c r="AE6" s="2">
        <v>37</v>
      </c>
      <c r="AF6" s="2">
        <v>38</v>
      </c>
      <c r="AG6" s="65">
        <v>39</v>
      </c>
      <c r="AH6" s="2">
        <v>40</v>
      </c>
      <c r="AI6" s="2">
        <v>41</v>
      </c>
      <c r="AJ6" s="65">
        <v>42</v>
      </c>
      <c r="AK6" s="65">
        <v>43</v>
      </c>
      <c r="AL6" s="2">
        <v>44</v>
      </c>
      <c r="AM6" s="2">
        <v>45</v>
      </c>
      <c r="AN6" s="2">
        <v>46</v>
      </c>
      <c r="AO6" s="2">
        <v>47</v>
      </c>
      <c r="AP6" s="2">
        <v>48</v>
      </c>
      <c r="AQ6" s="2">
        <v>49</v>
      </c>
      <c r="AR6" s="2">
        <v>50</v>
      </c>
      <c r="AS6" s="63">
        <v>51</v>
      </c>
      <c r="AT6" s="2">
        <v>52</v>
      </c>
      <c r="AU6" s="2">
        <v>53</v>
      </c>
      <c r="AV6" s="2">
        <v>54</v>
      </c>
      <c r="AW6" s="2">
        <v>55</v>
      </c>
      <c r="AX6" s="2">
        <v>56</v>
      </c>
      <c r="AY6" s="63">
        <v>57</v>
      </c>
      <c r="AZ6" s="63">
        <v>58</v>
      </c>
      <c r="BA6" s="63">
        <v>59</v>
      </c>
      <c r="BB6" s="63">
        <v>60</v>
      </c>
      <c r="BC6" s="2">
        <v>61</v>
      </c>
      <c r="BD6" s="63">
        <v>62</v>
      </c>
      <c r="BE6" s="2">
        <v>63</v>
      </c>
      <c r="BF6" s="2">
        <v>64</v>
      </c>
      <c r="BG6" s="2">
        <v>65</v>
      </c>
      <c r="BH6" s="2">
        <v>66</v>
      </c>
      <c r="BI6" s="63">
        <v>67</v>
      </c>
      <c r="BJ6" s="63">
        <v>68</v>
      </c>
      <c r="BK6" s="2">
        <v>69</v>
      </c>
      <c r="BL6" s="63">
        <v>70</v>
      </c>
      <c r="BM6" s="2">
        <v>71</v>
      </c>
      <c r="BN6" s="2">
        <v>72</v>
      </c>
      <c r="BO6" s="2">
        <v>73</v>
      </c>
      <c r="BP6" s="2">
        <v>74</v>
      </c>
      <c r="BQ6" s="66">
        <v>75</v>
      </c>
      <c r="BR6" s="66">
        <v>76</v>
      </c>
      <c r="BS6" s="66">
        <v>77</v>
      </c>
      <c r="BT6" s="66">
        <v>78</v>
      </c>
      <c r="BU6" s="66">
        <v>79</v>
      </c>
      <c r="BV6" s="63">
        <v>80</v>
      </c>
      <c r="BW6" s="2">
        <v>81</v>
      </c>
      <c r="BX6" s="2">
        <v>82</v>
      </c>
      <c r="BY6" s="2">
        <v>83</v>
      </c>
      <c r="BZ6" s="2">
        <v>84</v>
      </c>
      <c r="CA6" s="2">
        <v>85</v>
      </c>
      <c r="CB6" s="2">
        <v>86</v>
      </c>
      <c r="CC6" s="2">
        <v>87</v>
      </c>
      <c r="CD6" s="2">
        <v>88</v>
      </c>
      <c r="CE6" s="2">
        <v>89</v>
      </c>
      <c r="CF6" s="63">
        <v>90</v>
      </c>
      <c r="CG6" s="2">
        <v>91</v>
      </c>
      <c r="CH6" s="2">
        <v>92</v>
      </c>
      <c r="CI6" s="2">
        <v>93</v>
      </c>
      <c r="CJ6" s="2">
        <v>94</v>
      </c>
      <c r="CK6" s="2">
        <v>95</v>
      </c>
      <c r="CL6" s="2">
        <v>96</v>
      </c>
      <c r="CM6" s="2">
        <v>97</v>
      </c>
      <c r="CN6" s="2">
        <v>98</v>
      </c>
      <c r="CO6" s="2">
        <v>99</v>
      </c>
    </row>
    <row r="7" spans="1:93" ht="15" customHeight="1">
      <c r="A7" s="67">
        <v>300</v>
      </c>
      <c r="B7" s="64">
        <v>0.2</v>
      </c>
      <c r="C7" s="64">
        <v>0.5</v>
      </c>
      <c r="D7" s="64"/>
      <c r="E7" s="68">
        <v>199</v>
      </c>
      <c r="F7" s="68">
        <v>199</v>
      </c>
      <c r="G7" s="68">
        <v>199</v>
      </c>
      <c r="H7" s="68">
        <v>199</v>
      </c>
      <c r="I7" s="68">
        <v>199</v>
      </c>
      <c r="J7" s="68">
        <v>199</v>
      </c>
      <c r="K7" s="68">
        <v>199</v>
      </c>
      <c r="L7" s="68">
        <v>199</v>
      </c>
      <c r="M7" s="68">
        <v>199</v>
      </c>
      <c r="N7" s="68">
        <v>229</v>
      </c>
      <c r="O7" s="68">
        <v>229</v>
      </c>
      <c r="P7" s="68">
        <v>229</v>
      </c>
      <c r="Q7" s="68">
        <v>229</v>
      </c>
      <c r="R7" s="68">
        <v>229</v>
      </c>
      <c r="S7" s="68">
        <v>229</v>
      </c>
      <c r="T7" s="68">
        <v>229</v>
      </c>
      <c r="U7" s="68">
        <v>229</v>
      </c>
      <c r="V7" s="68">
        <v>229</v>
      </c>
      <c r="W7" s="68">
        <v>229</v>
      </c>
      <c r="X7" s="68">
        <v>229</v>
      </c>
      <c r="Y7" s="68">
        <v>229</v>
      </c>
      <c r="Z7" s="68">
        <v>229</v>
      </c>
      <c r="AA7" s="68">
        <v>229</v>
      </c>
      <c r="AB7" s="68">
        <v>229</v>
      </c>
      <c r="AC7" s="68">
        <v>229</v>
      </c>
      <c r="AD7" s="68">
        <v>229</v>
      </c>
      <c r="AE7" s="68">
        <v>229</v>
      </c>
      <c r="AF7" s="68">
        <v>229</v>
      </c>
      <c r="AG7" s="68">
        <v>229</v>
      </c>
      <c r="AH7" s="68">
        <v>229</v>
      </c>
      <c r="AI7" s="68">
        <v>229</v>
      </c>
      <c r="AJ7" s="68">
        <v>229</v>
      </c>
      <c r="AK7" s="68">
        <v>229</v>
      </c>
      <c r="AL7" s="68">
        <v>229</v>
      </c>
      <c r="AM7" s="68">
        <v>229</v>
      </c>
      <c r="AN7" s="68">
        <v>229</v>
      </c>
      <c r="AO7" s="68">
        <v>229</v>
      </c>
      <c r="AP7" s="68">
        <v>229</v>
      </c>
      <c r="AQ7" s="68">
        <v>229</v>
      </c>
      <c r="AR7" s="68">
        <v>229</v>
      </c>
      <c r="AS7" s="68">
        <v>229</v>
      </c>
      <c r="AT7" s="68">
        <v>229</v>
      </c>
      <c r="AU7" s="68">
        <v>229</v>
      </c>
      <c r="AV7" s="68">
        <v>229</v>
      </c>
      <c r="AW7" s="68">
        <v>229</v>
      </c>
      <c r="AX7" s="68">
        <v>229</v>
      </c>
      <c r="AY7" s="68">
        <v>229</v>
      </c>
      <c r="AZ7" s="68">
        <v>229</v>
      </c>
      <c r="BA7" s="68">
        <v>229</v>
      </c>
      <c r="BB7" s="68">
        <v>229</v>
      </c>
      <c r="BC7" s="68">
        <v>229</v>
      </c>
      <c r="BD7" s="68">
        <v>229</v>
      </c>
      <c r="BE7" s="68">
        <v>229</v>
      </c>
      <c r="BF7" s="68">
        <v>229</v>
      </c>
      <c r="BG7" s="68">
        <v>229</v>
      </c>
      <c r="BH7" s="68">
        <v>229</v>
      </c>
      <c r="BI7" s="68">
        <v>229</v>
      </c>
      <c r="BJ7" s="68">
        <v>229</v>
      </c>
      <c r="BK7" s="68">
        <v>229</v>
      </c>
      <c r="BL7" s="68">
        <v>229</v>
      </c>
      <c r="BM7" s="68">
        <v>229</v>
      </c>
      <c r="BN7" s="68">
        <v>229</v>
      </c>
      <c r="BO7" s="68">
        <v>229</v>
      </c>
      <c r="BP7" s="68">
        <v>229</v>
      </c>
      <c r="BQ7" s="68">
        <v>229</v>
      </c>
      <c r="BR7" s="68">
        <v>229</v>
      </c>
      <c r="BS7" s="68">
        <v>229</v>
      </c>
      <c r="BT7" s="68">
        <v>229</v>
      </c>
      <c r="BU7" s="68">
        <v>229</v>
      </c>
      <c r="BV7" s="68">
        <v>229</v>
      </c>
      <c r="BW7" s="68">
        <v>229</v>
      </c>
      <c r="BX7" s="68">
        <v>229</v>
      </c>
      <c r="BY7" s="68">
        <v>229</v>
      </c>
      <c r="BZ7" s="68">
        <v>229</v>
      </c>
      <c r="CA7" s="68">
        <v>229</v>
      </c>
      <c r="CB7" s="68">
        <v>229</v>
      </c>
      <c r="CC7" s="68">
        <v>229</v>
      </c>
      <c r="CD7" s="68">
        <v>229</v>
      </c>
      <c r="CE7" s="68">
        <v>229</v>
      </c>
      <c r="CF7" s="68">
        <v>229</v>
      </c>
      <c r="CG7" s="68">
        <v>229</v>
      </c>
      <c r="CH7" s="68">
        <v>229</v>
      </c>
      <c r="CI7" s="68">
        <v>229</v>
      </c>
      <c r="CJ7" s="68">
        <v>229</v>
      </c>
      <c r="CK7" s="68">
        <v>229</v>
      </c>
      <c r="CL7" s="68">
        <v>229</v>
      </c>
      <c r="CM7" s="68">
        <v>229</v>
      </c>
      <c r="CN7" s="68">
        <v>229</v>
      </c>
      <c r="CO7" s="68">
        <v>229</v>
      </c>
    </row>
    <row r="8" spans="1:93" ht="15" customHeight="1">
      <c r="A8" s="64">
        <v>700</v>
      </c>
      <c r="B8" s="64">
        <v>0.4</v>
      </c>
      <c r="C8" s="64">
        <v>1</v>
      </c>
      <c r="D8" s="64"/>
      <c r="E8" s="68">
        <v>229</v>
      </c>
      <c r="F8" s="68">
        <v>229</v>
      </c>
      <c r="G8" s="68">
        <v>229</v>
      </c>
      <c r="H8" s="68">
        <v>229</v>
      </c>
      <c r="I8" s="68">
        <v>229</v>
      </c>
      <c r="J8" s="68">
        <v>229</v>
      </c>
      <c r="K8" s="68">
        <v>229</v>
      </c>
      <c r="L8" s="68">
        <v>229</v>
      </c>
      <c r="M8" s="68">
        <v>229</v>
      </c>
      <c r="N8" s="68">
        <v>263</v>
      </c>
      <c r="O8" s="68">
        <v>263</v>
      </c>
      <c r="P8" s="68">
        <v>263</v>
      </c>
      <c r="Q8" s="68">
        <v>263</v>
      </c>
      <c r="R8" s="68">
        <v>263</v>
      </c>
      <c r="S8" s="68">
        <v>263</v>
      </c>
      <c r="T8" s="68">
        <v>263</v>
      </c>
      <c r="U8" s="68">
        <v>263</v>
      </c>
      <c r="V8" s="68">
        <v>263</v>
      </c>
      <c r="W8" s="68">
        <v>263</v>
      </c>
      <c r="X8" s="68">
        <v>263</v>
      </c>
      <c r="Y8" s="68">
        <v>263</v>
      </c>
      <c r="Z8" s="68">
        <v>263</v>
      </c>
      <c r="AA8" s="68">
        <v>263</v>
      </c>
      <c r="AB8" s="68">
        <v>263</v>
      </c>
      <c r="AC8" s="68">
        <v>263</v>
      </c>
      <c r="AD8" s="68">
        <v>263</v>
      </c>
      <c r="AE8" s="68">
        <v>263</v>
      </c>
      <c r="AF8" s="68">
        <v>263</v>
      </c>
      <c r="AG8" s="68">
        <v>263</v>
      </c>
      <c r="AH8" s="68">
        <v>263</v>
      </c>
      <c r="AI8" s="68">
        <v>263</v>
      </c>
      <c r="AJ8" s="68">
        <v>263</v>
      </c>
      <c r="AK8" s="68">
        <v>263</v>
      </c>
      <c r="AL8" s="68">
        <v>263</v>
      </c>
      <c r="AM8" s="68">
        <v>263</v>
      </c>
      <c r="AN8" s="68">
        <v>263</v>
      </c>
      <c r="AO8" s="68">
        <v>263</v>
      </c>
      <c r="AP8" s="68">
        <v>263</v>
      </c>
      <c r="AQ8" s="68">
        <v>263</v>
      </c>
      <c r="AR8" s="68">
        <v>263</v>
      </c>
      <c r="AS8" s="68">
        <v>263</v>
      </c>
      <c r="AT8" s="68">
        <v>263</v>
      </c>
      <c r="AU8" s="68">
        <v>263</v>
      </c>
      <c r="AV8" s="68">
        <v>263</v>
      </c>
      <c r="AW8" s="68">
        <v>263</v>
      </c>
      <c r="AX8" s="68">
        <v>263</v>
      </c>
      <c r="AY8" s="68">
        <v>263</v>
      </c>
      <c r="AZ8" s="68">
        <v>263</v>
      </c>
      <c r="BA8" s="68">
        <v>263</v>
      </c>
      <c r="BB8" s="68">
        <v>263</v>
      </c>
      <c r="BC8" s="68">
        <v>263</v>
      </c>
      <c r="BD8" s="68">
        <v>263</v>
      </c>
      <c r="BE8" s="68">
        <v>263</v>
      </c>
      <c r="BF8" s="68">
        <v>263</v>
      </c>
      <c r="BG8" s="68">
        <v>263</v>
      </c>
      <c r="BH8" s="68">
        <v>263</v>
      </c>
      <c r="BI8" s="68">
        <v>263</v>
      </c>
      <c r="BJ8" s="68">
        <v>263</v>
      </c>
      <c r="BK8" s="68">
        <v>263</v>
      </c>
      <c r="BL8" s="68">
        <v>263</v>
      </c>
      <c r="BM8" s="68">
        <v>263</v>
      </c>
      <c r="BN8" s="68">
        <v>263</v>
      </c>
      <c r="BO8" s="68">
        <v>263</v>
      </c>
      <c r="BP8" s="68">
        <v>263</v>
      </c>
      <c r="BQ8" s="68">
        <v>263</v>
      </c>
      <c r="BR8" s="68">
        <v>263</v>
      </c>
      <c r="BS8" s="68">
        <v>263</v>
      </c>
      <c r="BT8" s="68">
        <v>263</v>
      </c>
      <c r="BU8" s="68">
        <v>263</v>
      </c>
      <c r="BV8" s="68">
        <v>263</v>
      </c>
      <c r="BW8" s="68">
        <v>263</v>
      </c>
      <c r="BX8" s="68">
        <v>263</v>
      </c>
      <c r="BY8" s="68">
        <v>263</v>
      </c>
      <c r="BZ8" s="68">
        <v>263</v>
      </c>
      <c r="CA8" s="68">
        <v>263</v>
      </c>
      <c r="CB8" s="68">
        <v>263</v>
      </c>
      <c r="CC8" s="68">
        <v>263</v>
      </c>
      <c r="CD8" s="68">
        <v>263</v>
      </c>
      <c r="CE8" s="68">
        <v>263</v>
      </c>
      <c r="CF8" s="68">
        <v>263</v>
      </c>
      <c r="CG8" s="68">
        <v>263</v>
      </c>
      <c r="CH8" s="68">
        <v>263</v>
      </c>
      <c r="CI8" s="68">
        <v>263</v>
      </c>
      <c r="CJ8" s="68">
        <v>263</v>
      </c>
      <c r="CK8" s="68">
        <v>263</v>
      </c>
      <c r="CL8" s="68">
        <v>263</v>
      </c>
      <c r="CM8" s="68">
        <v>263</v>
      </c>
      <c r="CN8" s="68">
        <v>263</v>
      </c>
      <c r="CO8" s="68">
        <v>263</v>
      </c>
    </row>
    <row r="9" spans="1:93" ht="15" customHeight="1">
      <c r="A9" s="64">
        <v>875</v>
      </c>
      <c r="B9" s="64">
        <v>0.5</v>
      </c>
      <c r="C9" s="64"/>
      <c r="D9" s="64">
        <v>1</v>
      </c>
      <c r="E9" s="68">
        <v>263</v>
      </c>
      <c r="F9" s="68">
        <v>263</v>
      </c>
      <c r="G9" s="68">
        <v>263</v>
      </c>
      <c r="H9" s="68">
        <v>263</v>
      </c>
      <c r="I9" s="68">
        <v>263</v>
      </c>
      <c r="J9" s="68">
        <v>263</v>
      </c>
      <c r="K9" s="68">
        <v>263</v>
      </c>
      <c r="L9" s="68">
        <v>263</v>
      </c>
      <c r="M9" s="68">
        <v>263</v>
      </c>
      <c r="N9" s="68">
        <v>296</v>
      </c>
      <c r="O9" s="68">
        <v>296</v>
      </c>
      <c r="P9" s="68">
        <v>296</v>
      </c>
      <c r="Q9" s="68">
        <v>296</v>
      </c>
      <c r="R9" s="68">
        <v>296</v>
      </c>
      <c r="S9" s="68">
        <v>296</v>
      </c>
      <c r="T9" s="68">
        <v>296</v>
      </c>
      <c r="U9" s="68">
        <v>296</v>
      </c>
      <c r="V9" s="68">
        <v>296</v>
      </c>
      <c r="W9" s="68">
        <v>296</v>
      </c>
      <c r="X9" s="68">
        <v>296</v>
      </c>
      <c r="Y9" s="68">
        <v>296</v>
      </c>
      <c r="Z9" s="68">
        <v>296</v>
      </c>
      <c r="AA9" s="68">
        <v>296</v>
      </c>
      <c r="AB9" s="68">
        <v>296</v>
      </c>
      <c r="AC9" s="68">
        <v>296</v>
      </c>
      <c r="AD9" s="68">
        <v>296</v>
      </c>
      <c r="AE9" s="68">
        <v>296</v>
      </c>
      <c r="AF9" s="68">
        <v>296</v>
      </c>
      <c r="AG9" s="68">
        <v>296</v>
      </c>
      <c r="AH9" s="68">
        <v>296</v>
      </c>
      <c r="AI9" s="68">
        <v>296</v>
      </c>
      <c r="AJ9" s="68">
        <v>296</v>
      </c>
      <c r="AK9" s="68">
        <v>296</v>
      </c>
      <c r="AL9" s="68">
        <v>296</v>
      </c>
      <c r="AM9" s="68">
        <v>296</v>
      </c>
      <c r="AN9" s="68">
        <v>296</v>
      </c>
      <c r="AO9" s="68">
        <v>296</v>
      </c>
      <c r="AP9" s="68">
        <v>296</v>
      </c>
      <c r="AQ9" s="68">
        <v>296</v>
      </c>
      <c r="AR9" s="68">
        <v>296</v>
      </c>
      <c r="AS9" s="68">
        <v>296</v>
      </c>
      <c r="AT9" s="68">
        <v>296</v>
      </c>
      <c r="AU9" s="68">
        <v>296</v>
      </c>
      <c r="AV9" s="68">
        <v>296</v>
      </c>
      <c r="AW9" s="68">
        <v>296</v>
      </c>
      <c r="AX9" s="68">
        <v>296</v>
      </c>
      <c r="AY9" s="68">
        <v>296</v>
      </c>
      <c r="AZ9" s="68">
        <v>296</v>
      </c>
      <c r="BA9" s="68">
        <v>296</v>
      </c>
      <c r="BB9" s="68">
        <v>296</v>
      </c>
      <c r="BC9" s="68">
        <v>296</v>
      </c>
      <c r="BD9" s="68">
        <v>296</v>
      </c>
      <c r="BE9" s="68">
        <v>296</v>
      </c>
      <c r="BF9" s="68">
        <v>296</v>
      </c>
      <c r="BG9" s="68">
        <v>296</v>
      </c>
      <c r="BH9" s="68">
        <v>296</v>
      </c>
      <c r="BI9" s="68">
        <v>296</v>
      </c>
      <c r="BJ9" s="68">
        <v>296</v>
      </c>
      <c r="BK9" s="68">
        <v>296</v>
      </c>
      <c r="BL9" s="68">
        <v>296</v>
      </c>
      <c r="BM9" s="68">
        <v>296</v>
      </c>
      <c r="BN9" s="68">
        <v>296</v>
      </c>
      <c r="BO9" s="68">
        <v>296</v>
      </c>
      <c r="BP9" s="68">
        <v>296</v>
      </c>
      <c r="BQ9" s="68">
        <v>296</v>
      </c>
      <c r="BR9" s="68">
        <v>296</v>
      </c>
      <c r="BS9" s="68">
        <v>296</v>
      </c>
      <c r="BT9" s="68">
        <v>296</v>
      </c>
      <c r="BU9" s="68">
        <v>296</v>
      </c>
      <c r="BV9" s="68">
        <v>296</v>
      </c>
      <c r="BW9" s="68">
        <v>296</v>
      </c>
      <c r="BX9" s="68">
        <v>296</v>
      </c>
      <c r="BY9" s="68">
        <v>296</v>
      </c>
      <c r="BZ9" s="68">
        <v>296</v>
      </c>
      <c r="CA9" s="68">
        <v>296</v>
      </c>
      <c r="CB9" s="68">
        <v>296</v>
      </c>
      <c r="CC9" s="68">
        <v>296</v>
      </c>
      <c r="CD9" s="68">
        <v>296</v>
      </c>
      <c r="CE9" s="68">
        <v>296</v>
      </c>
      <c r="CF9" s="68">
        <v>296</v>
      </c>
      <c r="CG9" s="68">
        <v>296</v>
      </c>
      <c r="CH9" s="68">
        <v>296</v>
      </c>
      <c r="CI9" s="68">
        <v>296</v>
      </c>
      <c r="CJ9" s="68">
        <v>296</v>
      </c>
      <c r="CK9" s="68">
        <v>296</v>
      </c>
      <c r="CL9" s="68">
        <v>296</v>
      </c>
      <c r="CM9" s="68">
        <v>296</v>
      </c>
      <c r="CN9" s="68">
        <v>296</v>
      </c>
      <c r="CO9" s="68">
        <v>296</v>
      </c>
    </row>
    <row r="10" spans="1:93" ht="15" customHeight="1">
      <c r="A10" s="64">
        <v>1050</v>
      </c>
      <c r="B10" s="64">
        <v>0.6</v>
      </c>
      <c r="C10" s="64"/>
      <c r="D10" s="64"/>
      <c r="E10" s="68">
        <v>311</v>
      </c>
      <c r="F10" s="68">
        <v>311</v>
      </c>
      <c r="G10" s="68">
        <v>311</v>
      </c>
      <c r="H10" s="68">
        <v>311</v>
      </c>
      <c r="I10" s="68">
        <v>311</v>
      </c>
      <c r="J10" s="68">
        <v>311</v>
      </c>
      <c r="K10" s="68">
        <v>311</v>
      </c>
      <c r="L10" s="68">
        <v>311</v>
      </c>
      <c r="M10" s="68">
        <v>311</v>
      </c>
      <c r="N10" s="68">
        <v>398</v>
      </c>
      <c r="O10" s="68">
        <v>398</v>
      </c>
      <c r="P10" s="68">
        <v>398</v>
      </c>
      <c r="Q10" s="68">
        <v>398</v>
      </c>
      <c r="R10" s="68">
        <v>398</v>
      </c>
      <c r="S10" s="68">
        <v>398</v>
      </c>
      <c r="T10" s="68">
        <v>398</v>
      </c>
      <c r="U10" s="68">
        <v>398</v>
      </c>
      <c r="V10" s="68">
        <v>398</v>
      </c>
      <c r="W10" s="68">
        <v>398</v>
      </c>
      <c r="X10" s="68">
        <v>398</v>
      </c>
      <c r="Y10" s="68">
        <v>398</v>
      </c>
      <c r="Z10" s="68">
        <v>398</v>
      </c>
      <c r="AA10" s="68">
        <v>398</v>
      </c>
      <c r="AB10" s="68">
        <v>398</v>
      </c>
      <c r="AC10" s="68">
        <v>398</v>
      </c>
      <c r="AD10" s="68">
        <v>398</v>
      </c>
      <c r="AE10" s="68">
        <v>398</v>
      </c>
      <c r="AF10" s="68">
        <v>398</v>
      </c>
      <c r="AG10" s="68">
        <v>398</v>
      </c>
      <c r="AH10" s="68">
        <v>398</v>
      </c>
      <c r="AI10" s="68">
        <v>398</v>
      </c>
      <c r="AJ10" s="68">
        <v>398</v>
      </c>
      <c r="AK10" s="68">
        <v>398</v>
      </c>
      <c r="AL10" s="68">
        <v>398</v>
      </c>
      <c r="AM10" s="68">
        <v>433</v>
      </c>
      <c r="AN10" s="68">
        <v>433</v>
      </c>
      <c r="AO10" s="68">
        <v>433</v>
      </c>
      <c r="AP10" s="68">
        <v>433</v>
      </c>
      <c r="AQ10" s="68">
        <v>433</v>
      </c>
      <c r="AR10" s="68">
        <v>398</v>
      </c>
      <c r="AS10" s="68">
        <v>398</v>
      </c>
      <c r="AT10" s="68">
        <v>398</v>
      </c>
      <c r="AU10" s="68">
        <v>398</v>
      </c>
      <c r="AV10" s="68">
        <v>398</v>
      </c>
      <c r="AW10" s="68">
        <v>398</v>
      </c>
      <c r="AX10" s="68">
        <v>398</v>
      </c>
      <c r="AY10" s="68">
        <v>398</v>
      </c>
      <c r="AZ10" s="68">
        <v>398</v>
      </c>
      <c r="BA10" s="68">
        <v>398</v>
      </c>
      <c r="BB10" s="68">
        <v>433</v>
      </c>
      <c r="BC10" s="68">
        <v>433</v>
      </c>
      <c r="BD10" s="68">
        <v>433</v>
      </c>
      <c r="BE10" s="68">
        <v>433</v>
      </c>
      <c r="BF10" s="68">
        <v>433</v>
      </c>
      <c r="BG10" s="68">
        <v>433</v>
      </c>
      <c r="BH10" s="68">
        <v>433</v>
      </c>
      <c r="BI10" s="68">
        <v>433</v>
      </c>
      <c r="BJ10" s="68">
        <v>433</v>
      </c>
      <c r="BK10" s="68">
        <v>433</v>
      </c>
      <c r="BL10" s="68">
        <v>433</v>
      </c>
      <c r="BM10" s="68">
        <v>433</v>
      </c>
      <c r="BN10" s="68">
        <v>433</v>
      </c>
      <c r="BO10" s="68">
        <v>433</v>
      </c>
      <c r="BP10" s="68">
        <v>433</v>
      </c>
      <c r="BQ10" s="68">
        <v>433</v>
      </c>
      <c r="BR10" s="68">
        <v>433</v>
      </c>
      <c r="BS10" s="68">
        <v>433</v>
      </c>
      <c r="BT10" s="68">
        <v>433</v>
      </c>
      <c r="BU10" s="68">
        <v>433</v>
      </c>
      <c r="BV10" s="68">
        <v>433</v>
      </c>
      <c r="BW10" s="68">
        <v>433</v>
      </c>
      <c r="BX10" s="68">
        <v>433</v>
      </c>
      <c r="BY10" s="68">
        <v>433</v>
      </c>
      <c r="BZ10" s="68">
        <v>433</v>
      </c>
      <c r="CA10" s="68">
        <v>433</v>
      </c>
      <c r="CB10" s="68">
        <v>433</v>
      </c>
      <c r="CC10" s="68">
        <v>433</v>
      </c>
      <c r="CD10" s="68">
        <v>433</v>
      </c>
      <c r="CE10" s="68">
        <v>433</v>
      </c>
      <c r="CF10" s="68">
        <v>433</v>
      </c>
      <c r="CG10" s="68">
        <v>433</v>
      </c>
      <c r="CH10" s="68">
        <v>433</v>
      </c>
      <c r="CI10" s="68">
        <v>433</v>
      </c>
      <c r="CJ10" s="68">
        <v>433</v>
      </c>
      <c r="CK10" s="68">
        <v>433</v>
      </c>
      <c r="CL10" s="68">
        <v>433</v>
      </c>
      <c r="CM10" s="68">
        <v>433</v>
      </c>
      <c r="CN10" s="68">
        <v>433</v>
      </c>
      <c r="CO10" s="68">
        <v>433</v>
      </c>
    </row>
    <row r="11" spans="1:93" ht="15" customHeight="1">
      <c r="A11" s="64">
        <v>1400</v>
      </c>
      <c r="B11" s="64">
        <v>0.8</v>
      </c>
      <c r="C11" s="64">
        <v>2</v>
      </c>
      <c r="D11" s="64"/>
      <c r="E11" s="68">
        <v>352</v>
      </c>
      <c r="F11" s="68">
        <v>352</v>
      </c>
      <c r="G11" s="68">
        <v>352</v>
      </c>
      <c r="H11" s="68">
        <v>352</v>
      </c>
      <c r="I11" s="68">
        <v>352</v>
      </c>
      <c r="J11" s="68">
        <v>352</v>
      </c>
      <c r="K11" s="68">
        <v>352</v>
      </c>
      <c r="L11" s="68">
        <v>352</v>
      </c>
      <c r="M11" s="68">
        <v>352</v>
      </c>
      <c r="N11" s="68">
        <v>468</v>
      </c>
      <c r="O11" s="68">
        <v>468</v>
      </c>
      <c r="P11" s="68">
        <v>468</v>
      </c>
      <c r="Q11" s="68">
        <v>468</v>
      </c>
      <c r="R11" s="68">
        <v>468</v>
      </c>
      <c r="S11" s="68">
        <v>468</v>
      </c>
      <c r="T11" s="68">
        <v>468</v>
      </c>
      <c r="U11" s="68">
        <v>468</v>
      </c>
      <c r="V11" s="68">
        <v>468</v>
      </c>
      <c r="W11" s="68">
        <v>468</v>
      </c>
      <c r="X11" s="68">
        <v>468</v>
      </c>
      <c r="Y11" s="68">
        <v>468</v>
      </c>
      <c r="Z11" s="68">
        <v>468</v>
      </c>
      <c r="AA11" s="68">
        <v>468</v>
      </c>
      <c r="AB11" s="68">
        <v>468</v>
      </c>
      <c r="AC11" s="68">
        <v>468</v>
      </c>
      <c r="AD11" s="68">
        <v>468</v>
      </c>
      <c r="AE11" s="68">
        <v>468</v>
      </c>
      <c r="AF11" s="68">
        <v>468</v>
      </c>
      <c r="AG11" s="68">
        <v>468</v>
      </c>
      <c r="AH11" s="68">
        <v>468</v>
      </c>
      <c r="AI11" s="68">
        <v>468</v>
      </c>
      <c r="AJ11" s="68">
        <v>468</v>
      </c>
      <c r="AK11" s="68">
        <v>468</v>
      </c>
      <c r="AL11" s="68">
        <v>468</v>
      </c>
      <c r="AM11" s="68">
        <v>502</v>
      </c>
      <c r="AN11" s="68">
        <v>502</v>
      </c>
      <c r="AO11" s="68">
        <v>502</v>
      </c>
      <c r="AP11" s="68">
        <v>502</v>
      </c>
      <c r="AQ11" s="68">
        <v>502</v>
      </c>
      <c r="AR11" s="68">
        <v>468</v>
      </c>
      <c r="AS11" s="68">
        <v>468</v>
      </c>
      <c r="AT11" s="68">
        <v>468</v>
      </c>
      <c r="AU11" s="68">
        <v>468</v>
      </c>
      <c r="AV11" s="68">
        <v>468</v>
      </c>
      <c r="AW11" s="68">
        <v>468</v>
      </c>
      <c r="AX11" s="68">
        <v>468</v>
      </c>
      <c r="AY11" s="68">
        <v>468</v>
      </c>
      <c r="AZ11" s="68">
        <v>468</v>
      </c>
      <c r="BA11" s="68">
        <v>468</v>
      </c>
      <c r="BB11" s="68">
        <v>502</v>
      </c>
      <c r="BC11" s="68">
        <v>502</v>
      </c>
      <c r="BD11" s="68">
        <v>502</v>
      </c>
      <c r="BE11" s="68">
        <v>502</v>
      </c>
      <c r="BF11" s="68">
        <v>502</v>
      </c>
      <c r="BG11" s="68">
        <v>502</v>
      </c>
      <c r="BH11" s="68">
        <v>502</v>
      </c>
      <c r="BI11" s="68">
        <v>502</v>
      </c>
      <c r="BJ11" s="68">
        <v>502</v>
      </c>
      <c r="BK11" s="68">
        <v>502</v>
      </c>
      <c r="BL11" s="68">
        <v>502</v>
      </c>
      <c r="BM11" s="68">
        <v>502</v>
      </c>
      <c r="BN11" s="68">
        <v>502</v>
      </c>
      <c r="BO11" s="68">
        <v>502</v>
      </c>
      <c r="BP11" s="68">
        <v>502</v>
      </c>
      <c r="BQ11" s="68">
        <v>502</v>
      </c>
      <c r="BR11" s="68">
        <v>502</v>
      </c>
      <c r="BS11" s="68">
        <v>502</v>
      </c>
      <c r="BT11" s="68">
        <v>502</v>
      </c>
      <c r="BU11" s="68">
        <v>502</v>
      </c>
      <c r="BV11" s="68">
        <v>502</v>
      </c>
      <c r="BW11" s="68">
        <v>502</v>
      </c>
      <c r="BX11" s="68">
        <v>502</v>
      </c>
      <c r="BY11" s="68">
        <v>502</v>
      </c>
      <c r="BZ11" s="68">
        <v>502</v>
      </c>
      <c r="CA11" s="68">
        <v>502</v>
      </c>
      <c r="CB11" s="68">
        <v>502</v>
      </c>
      <c r="CC11" s="68">
        <v>502</v>
      </c>
      <c r="CD11" s="68">
        <v>502</v>
      </c>
      <c r="CE11" s="68">
        <v>502</v>
      </c>
      <c r="CF11" s="68">
        <v>502</v>
      </c>
      <c r="CG11" s="68">
        <v>502</v>
      </c>
      <c r="CH11" s="68">
        <v>502</v>
      </c>
      <c r="CI11" s="68">
        <v>502</v>
      </c>
      <c r="CJ11" s="68">
        <v>502</v>
      </c>
      <c r="CK11" s="68">
        <v>502</v>
      </c>
      <c r="CL11" s="68">
        <v>502</v>
      </c>
      <c r="CM11" s="68">
        <v>502</v>
      </c>
      <c r="CN11" s="68">
        <v>502</v>
      </c>
      <c r="CO11" s="68">
        <v>502</v>
      </c>
    </row>
    <row r="12" spans="1:93" ht="15" customHeight="1">
      <c r="A12" s="64">
        <v>1750</v>
      </c>
      <c r="B12" s="64">
        <v>1</v>
      </c>
      <c r="C12" s="64"/>
      <c r="D12" s="64">
        <v>2</v>
      </c>
      <c r="E12" s="68">
        <v>410</v>
      </c>
      <c r="F12" s="68">
        <v>410</v>
      </c>
      <c r="G12" s="68">
        <v>410</v>
      </c>
      <c r="H12" s="68">
        <v>410</v>
      </c>
      <c r="I12" s="68">
        <v>410</v>
      </c>
      <c r="J12" s="68">
        <v>410</v>
      </c>
      <c r="K12" s="68">
        <v>410</v>
      </c>
      <c r="L12" s="68">
        <v>410</v>
      </c>
      <c r="M12" s="68">
        <v>410</v>
      </c>
      <c r="N12" s="68">
        <v>526</v>
      </c>
      <c r="O12" s="68">
        <v>526</v>
      </c>
      <c r="P12" s="68">
        <v>526</v>
      </c>
      <c r="Q12" s="68">
        <v>526</v>
      </c>
      <c r="R12" s="68">
        <v>526</v>
      </c>
      <c r="S12" s="68">
        <v>526</v>
      </c>
      <c r="T12" s="68">
        <v>526</v>
      </c>
      <c r="U12" s="68">
        <v>526</v>
      </c>
      <c r="V12" s="68">
        <v>526</v>
      </c>
      <c r="W12" s="68">
        <v>526</v>
      </c>
      <c r="X12" s="68">
        <v>526</v>
      </c>
      <c r="Y12" s="68">
        <v>526</v>
      </c>
      <c r="Z12" s="68">
        <v>526</v>
      </c>
      <c r="AA12" s="68">
        <v>526</v>
      </c>
      <c r="AB12" s="68">
        <v>526</v>
      </c>
      <c r="AC12" s="68">
        <v>526</v>
      </c>
      <c r="AD12" s="68">
        <v>526</v>
      </c>
      <c r="AE12" s="68">
        <v>526</v>
      </c>
      <c r="AF12" s="68">
        <v>526</v>
      </c>
      <c r="AG12" s="68">
        <v>526</v>
      </c>
      <c r="AH12" s="68">
        <v>526</v>
      </c>
      <c r="AI12" s="68">
        <v>526</v>
      </c>
      <c r="AJ12" s="68">
        <v>526</v>
      </c>
      <c r="AK12" s="68">
        <v>526</v>
      </c>
      <c r="AL12" s="68">
        <v>526</v>
      </c>
      <c r="AM12" s="68">
        <v>562</v>
      </c>
      <c r="AN12" s="68">
        <v>562</v>
      </c>
      <c r="AO12" s="68">
        <v>562</v>
      </c>
      <c r="AP12" s="68">
        <v>562</v>
      </c>
      <c r="AQ12" s="68">
        <v>562</v>
      </c>
      <c r="AR12" s="68">
        <v>526</v>
      </c>
      <c r="AS12" s="68">
        <v>526</v>
      </c>
      <c r="AT12" s="68">
        <v>526</v>
      </c>
      <c r="AU12" s="68">
        <v>526</v>
      </c>
      <c r="AV12" s="68">
        <v>526</v>
      </c>
      <c r="AW12" s="68">
        <v>526</v>
      </c>
      <c r="AX12" s="68">
        <v>526</v>
      </c>
      <c r="AY12" s="68">
        <v>526</v>
      </c>
      <c r="AZ12" s="68">
        <v>526</v>
      </c>
      <c r="BA12" s="68">
        <v>526</v>
      </c>
      <c r="BB12" s="68">
        <v>562</v>
      </c>
      <c r="BC12" s="68">
        <v>562</v>
      </c>
      <c r="BD12" s="68">
        <v>562</v>
      </c>
      <c r="BE12" s="68">
        <v>562</v>
      </c>
      <c r="BF12" s="68">
        <v>562</v>
      </c>
      <c r="BG12" s="68">
        <v>562</v>
      </c>
      <c r="BH12" s="68">
        <v>562</v>
      </c>
      <c r="BI12" s="68">
        <v>562</v>
      </c>
      <c r="BJ12" s="68">
        <v>562</v>
      </c>
      <c r="BK12" s="68">
        <v>562</v>
      </c>
      <c r="BL12" s="68">
        <v>562</v>
      </c>
      <c r="BM12" s="68">
        <v>562</v>
      </c>
      <c r="BN12" s="68">
        <v>562</v>
      </c>
      <c r="BO12" s="68">
        <v>562</v>
      </c>
      <c r="BP12" s="68">
        <v>562</v>
      </c>
      <c r="BQ12" s="68">
        <v>562</v>
      </c>
      <c r="BR12" s="68">
        <v>562</v>
      </c>
      <c r="BS12" s="68">
        <v>562</v>
      </c>
      <c r="BT12" s="68">
        <v>562</v>
      </c>
      <c r="BU12" s="68">
        <v>562</v>
      </c>
      <c r="BV12" s="68">
        <v>562</v>
      </c>
      <c r="BW12" s="68">
        <v>562</v>
      </c>
      <c r="BX12" s="68">
        <v>562</v>
      </c>
      <c r="BY12" s="68">
        <v>562</v>
      </c>
      <c r="BZ12" s="68">
        <v>562</v>
      </c>
      <c r="CA12" s="68">
        <v>562</v>
      </c>
      <c r="CB12" s="68">
        <v>562</v>
      </c>
      <c r="CC12" s="68">
        <v>562</v>
      </c>
      <c r="CD12" s="68">
        <v>562</v>
      </c>
      <c r="CE12" s="68">
        <v>562</v>
      </c>
      <c r="CF12" s="68">
        <v>562</v>
      </c>
      <c r="CG12" s="68">
        <v>562</v>
      </c>
      <c r="CH12" s="68">
        <v>562</v>
      </c>
      <c r="CI12" s="68">
        <v>562</v>
      </c>
      <c r="CJ12" s="68">
        <v>562</v>
      </c>
      <c r="CK12" s="68">
        <v>562</v>
      </c>
      <c r="CL12" s="68">
        <v>562</v>
      </c>
      <c r="CM12" s="68">
        <v>562</v>
      </c>
      <c r="CN12" s="68">
        <v>562</v>
      </c>
      <c r="CO12" s="68">
        <v>562</v>
      </c>
    </row>
    <row r="13" spans="1:93" ht="15" customHeight="1">
      <c r="A13" s="64">
        <v>2100</v>
      </c>
      <c r="B13" s="64">
        <v>1.2</v>
      </c>
      <c r="C13" s="64">
        <v>3</v>
      </c>
      <c r="D13" s="64"/>
      <c r="E13" s="68">
        <v>468</v>
      </c>
      <c r="F13" s="68">
        <v>468</v>
      </c>
      <c r="G13" s="68">
        <v>468</v>
      </c>
      <c r="H13" s="68">
        <v>468</v>
      </c>
      <c r="I13" s="68">
        <v>468</v>
      </c>
      <c r="J13" s="68">
        <v>468</v>
      </c>
      <c r="K13" s="68">
        <v>468</v>
      </c>
      <c r="L13" s="68">
        <v>468</v>
      </c>
      <c r="M13" s="68">
        <v>468</v>
      </c>
      <c r="N13" s="68">
        <v>586</v>
      </c>
      <c r="O13" s="68">
        <v>586</v>
      </c>
      <c r="P13" s="68">
        <v>586</v>
      </c>
      <c r="Q13" s="68">
        <v>586</v>
      </c>
      <c r="R13" s="68">
        <v>586</v>
      </c>
      <c r="S13" s="68">
        <v>586</v>
      </c>
      <c r="T13" s="68">
        <v>586</v>
      </c>
      <c r="U13" s="68">
        <v>586</v>
      </c>
      <c r="V13" s="68">
        <v>586</v>
      </c>
      <c r="W13" s="68">
        <v>586</v>
      </c>
      <c r="X13" s="68">
        <v>586</v>
      </c>
      <c r="Y13" s="68">
        <v>586</v>
      </c>
      <c r="Z13" s="68">
        <v>586</v>
      </c>
      <c r="AA13" s="68">
        <v>586</v>
      </c>
      <c r="AB13" s="68">
        <v>586</v>
      </c>
      <c r="AC13" s="68">
        <v>586</v>
      </c>
      <c r="AD13" s="68">
        <v>586</v>
      </c>
      <c r="AE13" s="68">
        <v>586</v>
      </c>
      <c r="AF13" s="68">
        <v>586</v>
      </c>
      <c r="AG13" s="68">
        <v>586</v>
      </c>
      <c r="AH13" s="68">
        <v>586</v>
      </c>
      <c r="AI13" s="68">
        <v>586</v>
      </c>
      <c r="AJ13" s="68">
        <v>586</v>
      </c>
      <c r="AK13" s="68">
        <v>586</v>
      </c>
      <c r="AL13" s="68">
        <v>586</v>
      </c>
      <c r="AM13" s="68">
        <v>620</v>
      </c>
      <c r="AN13" s="68">
        <v>620</v>
      </c>
      <c r="AO13" s="68">
        <v>620</v>
      </c>
      <c r="AP13" s="68">
        <v>620</v>
      </c>
      <c r="AQ13" s="68">
        <v>620</v>
      </c>
      <c r="AR13" s="68">
        <v>586</v>
      </c>
      <c r="AS13" s="68">
        <v>586</v>
      </c>
      <c r="AT13" s="68">
        <v>586</v>
      </c>
      <c r="AU13" s="68">
        <v>586</v>
      </c>
      <c r="AV13" s="68">
        <v>586</v>
      </c>
      <c r="AW13" s="68">
        <v>586</v>
      </c>
      <c r="AX13" s="68">
        <v>586</v>
      </c>
      <c r="AY13" s="68">
        <v>586</v>
      </c>
      <c r="AZ13" s="68">
        <v>586</v>
      </c>
      <c r="BA13" s="68">
        <v>586</v>
      </c>
      <c r="BB13" s="68">
        <v>620</v>
      </c>
      <c r="BC13" s="68">
        <v>620</v>
      </c>
      <c r="BD13" s="68">
        <v>620</v>
      </c>
      <c r="BE13" s="68">
        <v>620</v>
      </c>
      <c r="BF13" s="68">
        <v>620</v>
      </c>
      <c r="BG13" s="68">
        <v>620</v>
      </c>
      <c r="BH13" s="68">
        <v>620</v>
      </c>
      <c r="BI13" s="68">
        <v>620</v>
      </c>
      <c r="BJ13" s="68">
        <v>620</v>
      </c>
      <c r="BK13" s="68">
        <v>620</v>
      </c>
      <c r="BL13" s="68">
        <v>620</v>
      </c>
      <c r="BM13" s="68">
        <v>620</v>
      </c>
      <c r="BN13" s="68">
        <v>620</v>
      </c>
      <c r="BO13" s="68">
        <v>620</v>
      </c>
      <c r="BP13" s="68">
        <v>620</v>
      </c>
      <c r="BQ13" s="68">
        <v>620</v>
      </c>
      <c r="BR13" s="68">
        <v>620</v>
      </c>
      <c r="BS13" s="68">
        <v>620</v>
      </c>
      <c r="BT13" s="68">
        <v>620</v>
      </c>
      <c r="BU13" s="68">
        <v>620</v>
      </c>
      <c r="BV13" s="68">
        <v>620</v>
      </c>
      <c r="BW13" s="68">
        <v>620</v>
      </c>
      <c r="BX13" s="68">
        <v>620</v>
      </c>
      <c r="BY13" s="68">
        <v>620</v>
      </c>
      <c r="BZ13" s="68">
        <v>620</v>
      </c>
      <c r="CA13" s="68">
        <v>620</v>
      </c>
      <c r="CB13" s="68">
        <v>620</v>
      </c>
      <c r="CC13" s="68">
        <v>620</v>
      </c>
      <c r="CD13" s="68">
        <v>620</v>
      </c>
      <c r="CE13" s="68">
        <v>620</v>
      </c>
      <c r="CF13" s="68">
        <v>620</v>
      </c>
      <c r="CG13" s="68">
        <v>620</v>
      </c>
      <c r="CH13" s="68">
        <v>620</v>
      </c>
      <c r="CI13" s="68">
        <v>620</v>
      </c>
      <c r="CJ13" s="68">
        <v>620</v>
      </c>
      <c r="CK13" s="68">
        <v>620</v>
      </c>
      <c r="CL13" s="68">
        <v>620</v>
      </c>
      <c r="CM13" s="68">
        <v>620</v>
      </c>
      <c r="CN13" s="68">
        <v>620</v>
      </c>
      <c r="CO13" s="68">
        <v>620</v>
      </c>
    </row>
    <row r="14" spans="1:93" ht="15" customHeight="1">
      <c r="A14" s="64">
        <v>2625</v>
      </c>
      <c r="B14" s="2">
        <v>1.5</v>
      </c>
      <c r="C14" s="82"/>
      <c r="D14" s="64">
        <v>3</v>
      </c>
      <c r="E14" s="68">
        <v>526</v>
      </c>
      <c r="F14" s="68">
        <v>526</v>
      </c>
      <c r="G14" s="68">
        <v>526</v>
      </c>
      <c r="H14" s="68">
        <v>526</v>
      </c>
      <c r="I14" s="68">
        <v>526</v>
      </c>
      <c r="J14" s="68">
        <v>526</v>
      </c>
      <c r="K14" s="68">
        <v>526</v>
      </c>
      <c r="L14" s="68">
        <v>526</v>
      </c>
      <c r="M14" s="68">
        <v>526</v>
      </c>
      <c r="N14" s="68">
        <v>643</v>
      </c>
      <c r="O14" s="68">
        <v>643</v>
      </c>
      <c r="P14" s="68">
        <v>643</v>
      </c>
      <c r="Q14" s="68">
        <v>643</v>
      </c>
      <c r="R14" s="68">
        <v>643</v>
      </c>
      <c r="S14" s="68">
        <v>643</v>
      </c>
      <c r="T14" s="68">
        <v>643</v>
      </c>
      <c r="U14" s="68">
        <v>643</v>
      </c>
      <c r="V14" s="68">
        <v>643</v>
      </c>
      <c r="W14" s="68">
        <v>643</v>
      </c>
      <c r="X14" s="68">
        <v>643</v>
      </c>
      <c r="Y14" s="68">
        <v>643</v>
      </c>
      <c r="Z14" s="68">
        <v>643</v>
      </c>
      <c r="AA14" s="68">
        <v>643</v>
      </c>
      <c r="AB14" s="68">
        <v>643</v>
      </c>
      <c r="AC14" s="68">
        <v>643</v>
      </c>
      <c r="AD14" s="68">
        <v>643</v>
      </c>
      <c r="AE14" s="68">
        <v>643</v>
      </c>
      <c r="AF14" s="68">
        <v>643</v>
      </c>
      <c r="AG14" s="68">
        <v>643</v>
      </c>
      <c r="AH14" s="68">
        <v>643</v>
      </c>
      <c r="AI14" s="68">
        <v>643</v>
      </c>
      <c r="AJ14" s="68">
        <v>643</v>
      </c>
      <c r="AK14" s="68">
        <v>643</v>
      </c>
      <c r="AL14" s="68">
        <v>643</v>
      </c>
      <c r="AM14" s="68">
        <v>678</v>
      </c>
      <c r="AN14" s="68">
        <v>678</v>
      </c>
      <c r="AO14" s="68">
        <v>678</v>
      </c>
      <c r="AP14" s="68">
        <v>678</v>
      </c>
      <c r="AQ14" s="68">
        <v>678</v>
      </c>
      <c r="AR14" s="68">
        <v>643</v>
      </c>
      <c r="AS14" s="68">
        <v>643</v>
      </c>
      <c r="AT14" s="68">
        <v>643</v>
      </c>
      <c r="AU14" s="68">
        <v>643</v>
      </c>
      <c r="AV14" s="68">
        <v>643</v>
      </c>
      <c r="AW14" s="68">
        <v>643</v>
      </c>
      <c r="AX14" s="68">
        <v>643</v>
      </c>
      <c r="AY14" s="68">
        <v>643</v>
      </c>
      <c r="AZ14" s="68">
        <v>643</v>
      </c>
      <c r="BA14" s="68">
        <v>643</v>
      </c>
      <c r="BB14" s="68">
        <v>678</v>
      </c>
      <c r="BC14" s="68">
        <v>678</v>
      </c>
      <c r="BD14" s="68">
        <v>678</v>
      </c>
      <c r="BE14" s="68">
        <v>678</v>
      </c>
      <c r="BF14" s="68">
        <v>678</v>
      </c>
      <c r="BG14" s="68">
        <v>678</v>
      </c>
      <c r="BH14" s="68">
        <v>678</v>
      </c>
      <c r="BI14" s="68">
        <v>678</v>
      </c>
      <c r="BJ14" s="68">
        <v>678</v>
      </c>
      <c r="BK14" s="68">
        <v>678</v>
      </c>
      <c r="BL14" s="68">
        <v>678</v>
      </c>
      <c r="BM14" s="68">
        <v>678</v>
      </c>
      <c r="BN14" s="68">
        <v>678</v>
      </c>
      <c r="BO14" s="68">
        <v>678</v>
      </c>
      <c r="BP14" s="68">
        <v>678</v>
      </c>
      <c r="BQ14" s="68">
        <v>678</v>
      </c>
      <c r="BR14" s="68">
        <v>678</v>
      </c>
      <c r="BS14" s="68">
        <v>678</v>
      </c>
      <c r="BT14" s="68">
        <v>678</v>
      </c>
      <c r="BU14" s="68">
        <v>678</v>
      </c>
      <c r="BV14" s="68">
        <v>678</v>
      </c>
      <c r="BW14" s="68">
        <v>678</v>
      </c>
      <c r="BX14" s="68">
        <v>678</v>
      </c>
      <c r="BY14" s="68">
        <v>678</v>
      </c>
      <c r="BZ14" s="68">
        <v>678</v>
      </c>
      <c r="CA14" s="68">
        <v>678</v>
      </c>
      <c r="CB14" s="68">
        <v>678</v>
      </c>
      <c r="CC14" s="68">
        <v>678</v>
      </c>
      <c r="CD14" s="68">
        <v>678</v>
      </c>
      <c r="CE14" s="68">
        <v>678</v>
      </c>
      <c r="CF14" s="68">
        <v>678</v>
      </c>
      <c r="CG14" s="68">
        <v>678</v>
      </c>
      <c r="CH14" s="68">
        <v>678</v>
      </c>
      <c r="CI14" s="68">
        <v>678</v>
      </c>
      <c r="CJ14" s="68">
        <v>678</v>
      </c>
      <c r="CK14" s="68">
        <v>678</v>
      </c>
      <c r="CL14" s="68">
        <v>678</v>
      </c>
      <c r="CM14" s="68">
        <v>678</v>
      </c>
      <c r="CN14" s="68">
        <v>678</v>
      </c>
      <c r="CO14" s="68">
        <v>678</v>
      </c>
    </row>
    <row r="15" spans="1:93" ht="15" customHeight="1">
      <c r="A15" s="64">
        <v>2800</v>
      </c>
      <c r="B15" s="64">
        <v>1.6</v>
      </c>
      <c r="C15" s="64">
        <v>4</v>
      </c>
      <c r="D15" s="64"/>
      <c r="E15" s="68">
        <v>586</v>
      </c>
      <c r="F15" s="68">
        <v>586</v>
      </c>
      <c r="G15" s="68">
        <v>586</v>
      </c>
      <c r="H15" s="68">
        <v>586</v>
      </c>
      <c r="I15" s="68">
        <v>586</v>
      </c>
      <c r="J15" s="68">
        <v>586</v>
      </c>
      <c r="K15" s="68">
        <v>586</v>
      </c>
      <c r="L15" s="68">
        <v>586</v>
      </c>
      <c r="M15" s="68">
        <v>586</v>
      </c>
      <c r="N15" s="68">
        <v>702</v>
      </c>
      <c r="O15" s="68">
        <v>702</v>
      </c>
      <c r="P15" s="68">
        <v>702</v>
      </c>
      <c r="Q15" s="68">
        <v>702</v>
      </c>
      <c r="R15" s="68">
        <v>702</v>
      </c>
      <c r="S15" s="68">
        <v>702</v>
      </c>
      <c r="T15" s="68">
        <v>702</v>
      </c>
      <c r="U15" s="68">
        <v>702</v>
      </c>
      <c r="V15" s="68">
        <v>702</v>
      </c>
      <c r="W15" s="68">
        <v>702</v>
      </c>
      <c r="X15" s="68">
        <v>702</v>
      </c>
      <c r="Y15" s="68">
        <v>702</v>
      </c>
      <c r="Z15" s="68">
        <v>702</v>
      </c>
      <c r="AA15" s="68">
        <v>702</v>
      </c>
      <c r="AB15" s="68">
        <v>702</v>
      </c>
      <c r="AC15" s="68">
        <v>702</v>
      </c>
      <c r="AD15" s="68">
        <v>702</v>
      </c>
      <c r="AE15" s="68">
        <v>702</v>
      </c>
      <c r="AF15" s="68">
        <v>702</v>
      </c>
      <c r="AG15" s="68">
        <v>702</v>
      </c>
      <c r="AH15" s="68">
        <v>702</v>
      </c>
      <c r="AI15" s="68">
        <v>702</v>
      </c>
      <c r="AJ15" s="68">
        <v>702</v>
      </c>
      <c r="AK15" s="68">
        <v>702</v>
      </c>
      <c r="AL15" s="68">
        <v>702</v>
      </c>
      <c r="AM15" s="68">
        <v>759</v>
      </c>
      <c r="AN15" s="68">
        <v>759</v>
      </c>
      <c r="AO15" s="68">
        <v>759</v>
      </c>
      <c r="AP15" s="68">
        <v>759</v>
      </c>
      <c r="AQ15" s="68">
        <v>759</v>
      </c>
      <c r="AR15" s="68">
        <v>702</v>
      </c>
      <c r="AS15" s="68">
        <v>702</v>
      </c>
      <c r="AT15" s="68">
        <v>702</v>
      </c>
      <c r="AU15" s="68">
        <v>702</v>
      </c>
      <c r="AV15" s="68">
        <v>702</v>
      </c>
      <c r="AW15" s="68">
        <v>702</v>
      </c>
      <c r="AX15" s="68">
        <v>702</v>
      </c>
      <c r="AY15" s="68">
        <v>702</v>
      </c>
      <c r="AZ15" s="68">
        <v>702</v>
      </c>
      <c r="BA15" s="68">
        <v>702</v>
      </c>
      <c r="BB15" s="68">
        <v>759</v>
      </c>
      <c r="BC15" s="68">
        <v>759</v>
      </c>
      <c r="BD15" s="68">
        <v>759</v>
      </c>
      <c r="BE15" s="68">
        <v>759</v>
      </c>
      <c r="BF15" s="68">
        <v>759</v>
      </c>
      <c r="BG15" s="68">
        <v>759</v>
      </c>
      <c r="BH15" s="68">
        <v>759</v>
      </c>
      <c r="BI15" s="68">
        <v>759</v>
      </c>
      <c r="BJ15" s="68">
        <v>759</v>
      </c>
      <c r="BK15" s="68">
        <v>759</v>
      </c>
      <c r="BL15" s="68">
        <v>759</v>
      </c>
      <c r="BM15" s="68">
        <v>759</v>
      </c>
      <c r="BN15" s="68">
        <v>759</v>
      </c>
      <c r="BO15" s="68">
        <v>759</v>
      </c>
      <c r="BP15" s="68">
        <v>759</v>
      </c>
      <c r="BQ15" s="68">
        <v>759</v>
      </c>
      <c r="BR15" s="68">
        <v>759</v>
      </c>
      <c r="BS15" s="68">
        <v>759</v>
      </c>
      <c r="BT15" s="68">
        <v>759</v>
      </c>
      <c r="BU15" s="68">
        <v>759</v>
      </c>
      <c r="BV15" s="68">
        <v>759</v>
      </c>
      <c r="BW15" s="68">
        <v>759</v>
      </c>
      <c r="BX15" s="68">
        <v>759</v>
      </c>
      <c r="BY15" s="68">
        <v>759</v>
      </c>
      <c r="BZ15" s="68">
        <v>759</v>
      </c>
      <c r="CA15" s="68">
        <v>759</v>
      </c>
      <c r="CB15" s="68">
        <v>759</v>
      </c>
      <c r="CC15" s="68">
        <v>759</v>
      </c>
      <c r="CD15" s="68">
        <v>759</v>
      </c>
      <c r="CE15" s="68">
        <v>759</v>
      </c>
      <c r="CF15" s="68">
        <v>759</v>
      </c>
      <c r="CG15" s="68">
        <v>759</v>
      </c>
      <c r="CH15" s="68">
        <v>759</v>
      </c>
      <c r="CI15" s="68">
        <v>759</v>
      </c>
      <c r="CJ15" s="68">
        <v>759</v>
      </c>
      <c r="CK15" s="68">
        <v>759</v>
      </c>
      <c r="CL15" s="68">
        <v>759</v>
      </c>
      <c r="CM15" s="68">
        <v>759</v>
      </c>
      <c r="CN15" s="68">
        <v>759</v>
      </c>
      <c r="CO15" s="68">
        <v>759</v>
      </c>
    </row>
    <row r="16" spans="1:93" ht="15" customHeight="1">
      <c r="A16" s="64">
        <v>3500</v>
      </c>
      <c r="B16" s="64">
        <v>2</v>
      </c>
      <c r="C16" s="64">
        <v>5</v>
      </c>
      <c r="D16" s="64">
        <v>4</v>
      </c>
      <c r="E16" s="68">
        <v>643</v>
      </c>
      <c r="F16" s="68">
        <v>643</v>
      </c>
      <c r="G16" s="68">
        <v>643</v>
      </c>
      <c r="H16" s="68">
        <v>643</v>
      </c>
      <c r="I16" s="68">
        <v>643</v>
      </c>
      <c r="J16" s="68">
        <v>643</v>
      </c>
      <c r="K16" s="68">
        <v>643</v>
      </c>
      <c r="L16" s="68">
        <v>643</v>
      </c>
      <c r="M16" s="68">
        <v>643</v>
      </c>
      <c r="N16" s="68">
        <v>759</v>
      </c>
      <c r="O16" s="68">
        <v>759</v>
      </c>
      <c r="P16" s="68">
        <v>759</v>
      </c>
      <c r="Q16" s="68">
        <v>759</v>
      </c>
      <c r="R16" s="68">
        <v>759</v>
      </c>
      <c r="S16" s="68">
        <v>759</v>
      </c>
      <c r="T16" s="68">
        <v>759</v>
      </c>
      <c r="U16" s="68">
        <v>759</v>
      </c>
      <c r="V16" s="68">
        <v>759</v>
      </c>
      <c r="W16" s="68">
        <v>759</v>
      </c>
      <c r="X16" s="68">
        <v>759</v>
      </c>
      <c r="Y16" s="68">
        <v>759</v>
      </c>
      <c r="Z16" s="68">
        <v>759</v>
      </c>
      <c r="AA16" s="68">
        <v>759</v>
      </c>
      <c r="AB16" s="68">
        <v>759</v>
      </c>
      <c r="AC16" s="68">
        <v>759</v>
      </c>
      <c r="AD16" s="68">
        <v>759</v>
      </c>
      <c r="AE16" s="68">
        <v>759</v>
      </c>
      <c r="AF16" s="68">
        <v>759</v>
      </c>
      <c r="AG16" s="68">
        <v>759</v>
      </c>
      <c r="AH16" s="68">
        <v>759</v>
      </c>
      <c r="AI16" s="68">
        <v>759</v>
      </c>
      <c r="AJ16" s="68">
        <v>759</v>
      </c>
      <c r="AK16" s="68">
        <v>759</v>
      </c>
      <c r="AL16" s="68">
        <v>759</v>
      </c>
      <c r="AM16" s="68">
        <v>818</v>
      </c>
      <c r="AN16" s="68">
        <v>818</v>
      </c>
      <c r="AO16" s="68">
        <v>818</v>
      </c>
      <c r="AP16" s="68">
        <v>818</v>
      </c>
      <c r="AQ16" s="68">
        <v>818</v>
      </c>
      <c r="AR16" s="68">
        <v>759</v>
      </c>
      <c r="AS16" s="68">
        <v>759</v>
      </c>
      <c r="AT16" s="68">
        <v>759</v>
      </c>
      <c r="AU16" s="68">
        <v>759</v>
      </c>
      <c r="AV16" s="68">
        <v>759</v>
      </c>
      <c r="AW16" s="68">
        <v>759</v>
      </c>
      <c r="AX16" s="68">
        <v>759</v>
      </c>
      <c r="AY16" s="68">
        <v>759</v>
      </c>
      <c r="AZ16" s="68">
        <v>759</v>
      </c>
      <c r="BA16" s="68">
        <v>759</v>
      </c>
      <c r="BB16" s="68">
        <v>818</v>
      </c>
      <c r="BC16" s="68">
        <v>818</v>
      </c>
      <c r="BD16" s="68">
        <v>818</v>
      </c>
      <c r="BE16" s="68">
        <v>818</v>
      </c>
      <c r="BF16" s="68">
        <v>818</v>
      </c>
      <c r="BG16" s="68">
        <v>818</v>
      </c>
      <c r="BH16" s="68">
        <v>818</v>
      </c>
      <c r="BI16" s="68">
        <v>818</v>
      </c>
      <c r="BJ16" s="68">
        <v>818</v>
      </c>
      <c r="BK16" s="68">
        <v>818</v>
      </c>
      <c r="BL16" s="68">
        <v>818</v>
      </c>
      <c r="BM16" s="68">
        <v>818</v>
      </c>
      <c r="BN16" s="68">
        <v>818</v>
      </c>
      <c r="BO16" s="68">
        <v>818</v>
      </c>
      <c r="BP16" s="68">
        <v>818</v>
      </c>
      <c r="BQ16" s="68">
        <v>818</v>
      </c>
      <c r="BR16" s="68">
        <v>818</v>
      </c>
      <c r="BS16" s="68">
        <v>818</v>
      </c>
      <c r="BT16" s="68">
        <v>818</v>
      </c>
      <c r="BU16" s="68">
        <v>818</v>
      </c>
      <c r="BV16" s="68">
        <v>818</v>
      </c>
      <c r="BW16" s="68">
        <v>818</v>
      </c>
      <c r="BX16" s="68">
        <v>818</v>
      </c>
      <c r="BY16" s="68">
        <v>818</v>
      </c>
      <c r="BZ16" s="68">
        <v>818</v>
      </c>
      <c r="CA16" s="68">
        <v>818</v>
      </c>
      <c r="CB16" s="68">
        <v>818</v>
      </c>
      <c r="CC16" s="68">
        <v>818</v>
      </c>
      <c r="CD16" s="68">
        <v>818</v>
      </c>
      <c r="CE16" s="68">
        <v>818</v>
      </c>
      <c r="CF16" s="68">
        <v>818</v>
      </c>
      <c r="CG16" s="68">
        <v>818</v>
      </c>
      <c r="CH16" s="68">
        <v>818</v>
      </c>
      <c r="CI16" s="68">
        <v>818</v>
      </c>
      <c r="CJ16" s="68">
        <v>818</v>
      </c>
      <c r="CK16" s="68">
        <v>818</v>
      </c>
      <c r="CL16" s="68">
        <v>818</v>
      </c>
      <c r="CM16" s="68">
        <v>818</v>
      </c>
      <c r="CN16" s="68">
        <v>818</v>
      </c>
      <c r="CO16" s="68">
        <v>818</v>
      </c>
    </row>
    <row r="17" spans="1:93" ht="15" customHeight="1">
      <c r="A17" s="83">
        <v>4200</v>
      </c>
      <c r="B17" s="67">
        <v>2.4</v>
      </c>
      <c r="C17" s="67">
        <v>6</v>
      </c>
      <c r="D17" s="67"/>
      <c r="E17" s="68">
        <v>660</v>
      </c>
      <c r="F17" s="68">
        <v>660</v>
      </c>
      <c r="G17" s="68">
        <v>660</v>
      </c>
      <c r="H17" s="68">
        <v>660</v>
      </c>
      <c r="I17" s="68">
        <v>660</v>
      </c>
      <c r="J17" s="68">
        <v>660</v>
      </c>
      <c r="K17" s="68">
        <v>660</v>
      </c>
      <c r="L17" s="68">
        <v>660</v>
      </c>
      <c r="M17" s="68">
        <v>660</v>
      </c>
      <c r="N17" s="68">
        <v>770</v>
      </c>
      <c r="O17" s="68">
        <v>770</v>
      </c>
      <c r="P17" s="68">
        <v>770</v>
      </c>
      <c r="Q17" s="68">
        <v>770</v>
      </c>
      <c r="R17" s="68">
        <v>770</v>
      </c>
      <c r="S17" s="68">
        <v>770</v>
      </c>
      <c r="T17" s="68">
        <v>770</v>
      </c>
      <c r="U17" s="68">
        <v>770</v>
      </c>
      <c r="V17" s="68">
        <v>770</v>
      </c>
      <c r="W17" s="68">
        <v>770</v>
      </c>
      <c r="X17" s="68">
        <v>770</v>
      </c>
      <c r="Y17" s="68">
        <v>770</v>
      </c>
      <c r="Z17" s="68">
        <v>770</v>
      </c>
      <c r="AA17" s="68">
        <v>770</v>
      </c>
      <c r="AB17" s="68">
        <v>770</v>
      </c>
      <c r="AC17" s="68">
        <v>770</v>
      </c>
      <c r="AD17" s="68">
        <v>770</v>
      </c>
      <c r="AE17" s="68">
        <v>770</v>
      </c>
      <c r="AF17" s="68">
        <v>770</v>
      </c>
      <c r="AG17" s="68">
        <v>770</v>
      </c>
      <c r="AH17" s="68">
        <v>770</v>
      </c>
      <c r="AI17" s="68">
        <v>770</v>
      </c>
      <c r="AJ17" s="68">
        <v>770</v>
      </c>
      <c r="AK17" s="68">
        <v>770</v>
      </c>
      <c r="AL17" s="68">
        <v>770</v>
      </c>
      <c r="AM17" s="68">
        <v>825</v>
      </c>
      <c r="AN17" s="68">
        <v>825</v>
      </c>
      <c r="AO17" s="68">
        <v>825</v>
      </c>
      <c r="AP17" s="68">
        <v>825</v>
      </c>
      <c r="AQ17" s="68">
        <v>825</v>
      </c>
      <c r="AR17" s="68">
        <v>770</v>
      </c>
      <c r="AS17" s="68">
        <v>770</v>
      </c>
      <c r="AT17" s="68">
        <v>770</v>
      </c>
      <c r="AU17" s="68">
        <v>770</v>
      </c>
      <c r="AV17" s="68">
        <v>770</v>
      </c>
      <c r="AW17" s="68">
        <v>770</v>
      </c>
      <c r="AX17" s="68">
        <v>770</v>
      </c>
      <c r="AY17" s="68">
        <v>770</v>
      </c>
      <c r="AZ17" s="68">
        <v>770</v>
      </c>
      <c r="BA17" s="68">
        <v>770</v>
      </c>
      <c r="BB17" s="68">
        <v>825</v>
      </c>
      <c r="BC17" s="68">
        <v>825</v>
      </c>
      <c r="BD17" s="68">
        <v>825</v>
      </c>
      <c r="BE17" s="68">
        <v>825</v>
      </c>
      <c r="BF17" s="68">
        <v>825</v>
      </c>
      <c r="BG17" s="68">
        <v>825</v>
      </c>
      <c r="BH17" s="68">
        <v>825</v>
      </c>
      <c r="BI17" s="68">
        <v>825</v>
      </c>
      <c r="BJ17" s="68">
        <v>825</v>
      </c>
      <c r="BK17" s="68">
        <v>825</v>
      </c>
      <c r="BL17" s="68">
        <v>825</v>
      </c>
      <c r="BM17" s="68">
        <v>825</v>
      </c>
      <c r="BN17" s="68">
        <v>825</v>
      </c>
      <c r="BO17" s="68">
        <v>825</v>
      </c>
      <c r="BP17" s="68">
        <v>825</v>
      </c>
      <c r="BQ17" s="68">
        <v>825</v>
      </c>
      <c r="BR17" s="68">
        <v>825</v>
      </c>
      <c r="BS17" s="68">
        <v>825</v>
      </c>
      <c r="BT17" s="68">
        <v>825</v>
      </c>
      <c r="BU17" s="68">
        <v>825</v>
      </c>
      <c r="BV17" s="68">
        <v>825</v>
      </c>
      <c r="BW17" s="68">
        <v>825</v>
      </c>
      <c r="BX17" s="68">
        <v>825</v>
      </c>
      <c r="BY17" s="68">
        <v>825</v>
      </c>
      <c r="BZ17" s="68">
        <v>825</v>
      </c>
      <c r="CA17" s="68">
        <v>825</v>
      </c>
      <c r="CB17" s="68">
        <v>825</v>
      </c>
      <c r="CC17" s="68">
        <v>825</v>
      </c>
      <c r="CD17" s="68">
        <v>825</v>
      </c>
      <c r="CE17" s="68">
        <v>825</v>
      </c>
      <c r="CF17" s="68">
        <v>825</v>
      </c>
      <c r="CG17" s="68">
        <v>825</v>
      </c>
      <c r="CH17" s="68">
        <v>825</v>
      </c>
      <c r="CI17" s="68">
        <v>825</v>
      </c>
      <c r="CJ17" s="68">
        <v>825</v>
      </c>
      <c r="CK17" s="68">
        <v>825</v>
      </c>
      <c r="CL17" s="68">
        <v>825</v>
      </c>
      <c r="CM17" s="68">
        <v>825</v>
      </c>
      <c r="CN17" s="68">
        <v>825</v>
      </c>
      <c r="CO17" s="68">
        <v>825</v>
      </c>
    </row>
    <row r="18" spans="1:93" ht="15" customHeight="1">
      <c r="A18" s="83">
        <v>4375</v>
      </c>
      <c r="B18" s="67">
        <v>2.5</v>
      </c>
      <c r="C18" s="67"/>
      <c r="D18" s="67">
        <v>5</v>
      </c>
      <c r="E18" s="68">
        <v>714</v>
      </c>
      <c r="F18" s="68">
        <v>714</v>
      </c>
      <c r="G18" s="68">
        <v>714</v>
      </c>
      <c r="H18" s="68">
        <v>714</v>
      </c>
      <c r="I18" s="68">
        <v>714</v>
      </c>
      <c r="J18" s="68">
        <v>714</v>
      </c>
      <c r="K18" s="68">
        <v>714</v>
      </c>
      <c r="L18" s="68">
        <v>714</v>
      </c>
      <c r="M18" s="68">
        <v>714</v>
      </c>
      <c r="N18" s="68">
        <v>825</v>
      </c>
      <c r="O18" s="68">
        <v>825</v>
      </c>
      <c r="P18" s="68">
        <v>825</v>
      </c>
      <c r="Q18" s="68">
        <v>825</v>
      </c>
      <c r="R18" s="68">
        <v>825</v>
      </c>
      <c r="S18" s="68">
        <v>825</v>
      </c>
      <c r="T18" s="68">
        <v>825</v>
      </c>
      <c r="U18" s="68">
        <v>825</v>
      </c>
      <c r="V18" s="68">
        <v>825</v>
      </c>
      <c r="W18" s="68">
        <v>825</v>
      </c>
      <c r="X18" s="68">
        <v>825</v>
      </c>
      <c r="Y18" s="68">
        <v>825</v>
      </c>
      <c r="Z18" s="68">
        <v>825</v>
      </c>
      <c r="AA18" s="68">
        <v>825</v>
      </c>
      <c r="AB18" s="68">
        <v>825</v>
      </c>
      <c r="AC18" s="68">
        <v>825</v>
      </c>
      <c r="AD18" s="68">
        <v>825</v>
      </c>
      <c r="AE18" s="68">
        <v>825</v>
      </c>
      <c r="AF18" s="68">
        <v>825</v>
      </c>
      <c r="AG18" s="68">
        <v>825</v>
      </c>
      <c r="AH18" s="68">
        <v>825</v>
      </c>
      <c r="AI18" s="68">
        <v>825</v>
      </c>
      <c r="AJ18" s="68">
        <v>825</v>
      </c>
      <c r="AK18" s="68">
        <v>825</v>
      </c>
      <c r="AL18" s="68">
        <v>825</v>
      </c>
      <c r="AM18" s="68">
        <v>880</v>
      </c>
      <c r="AN18" s="68">
        <v>880</v>
      </c>
      <c r="AO18" s="68">
        <v>880</v>
      </c>
      <c r="AP18" s="68">
        <v>880</v>
      </c>
      <c r="AQ18" s="68">
        <v>880</v>
      </c>
      <c r="AR18" s="68">
        <v>825</v>
      </c>
      <c r="AS18" s="68">
        <v>825</v>
      </c>
      <c r="AT18" s="68">
        <v>825</v>
      </c>
      <c r="AU18" s="68">
        <v>825</v>
      </c>
      <c r="AV18" s="68">
        <v>825</v>
      </c>
      <c r="AW18" s="68">
        <v>825</v>
      </c>
      <c r="AX18" s="68">
        <v>825</v>
      </c>
      <c r="AY18" s="68">
        <v>825</v>
      </c>
      <c r="AZ18" s="68">
        <v>825</v>
      </c>
      <c r="BA18" s="68">
        <v>825</v>
      </c>
      <c r="BB18" s="68">
        <v>880</v>
      </c>
      <c r="BC18" s="68">
        <v>880</v>
      </c>
      <c r="BD18" s="68">
        <v>880</v>
      </c>
      <c r="BE18" s="68">
        <v>880</v>
      </c>
      <c r="BF18" s="68">
        <v>880</v>
      </c>
      <c r="BG18" s="68">
        <v>880</v>
      </c>
      <c r="BH18" s="68">
        <v>880</v>
      </c>
      <c r="BI18" s="68">
        <v>880</v>
      </c>
      <c r="BJ18" s="68">
        <v>880</v>
      </c>
      <c r="BK18" s="68">
        <v>880</v>
      </c>
      <c r="BL18" s="68">
        <v>880</v>
      </c>
      <c r="BM18" s="68">
        <v>880</v>
      </c>
      <c r="BN18" s="68">
        <v>880</v>
      </c>
      <c r="BO18" s="68">
        <v>880</v>
      </c>
      <c r="BP18" s="68">
        <v>880</v>
      </c>
      <c r="BQ18" s="68">
        <v>880</v>
      </c>
      <c r="BR18" s="68">
        <v>880</v>
      </c>
      <c r="BS18" s="68">
        <v>880</v>
      </c>
      <c r="BT18" s="68">
        <v>880</v>
      </c>
      <c r="BU18" s="68">
        <v>880</v>
      </c>
      <c r="BV18" s="68">
        <v>880</v>
      </c>
      <c r="BW18" s="68">
        <v>880</v>
      </c>
      <c r="BX18" s="68">
        <v>880</v>
      </c>
      <c r="BY18" s="68">
        <v>880</v>
      </c>
      <c r="BZ18" s="68">
        <v>880</v>
      </c>
      <c r="CA18" s="68">
        <v>880</v>
      </c>
      <c r="CB18" s="68">
        <v>880</v>
      </c>
      <c r="CC18" s="68">
        <v>880</v>
      </c>
      <c r="CD18" s="68">
        <v>880</v>
      </c>
      <c r="CE18" s="68">
        <v>880</v>
      </c>
      <c r="CF18" s="68">
        <v>880</v>
      </c>
      <c r="CG18" s="68">
        <v>880</v>
      </c>
      <c r="CH18" s="68">
        <v>880</v>
      </c>
      <c r="CI18" s="68">
        <v>880</v>
      </c>
      <c r="CJ18" s="68">
        <v>880</v>
      </c>
      <c r="CK18" s="68">
        <v>880</v>
      </c>
      <c r="CL18" s="68">
        <v>880</v>
      </c>
      <c r="CM18" s="68">
        <v>880</v>
      </c>
      <c r="CN18" s="68">
        <v>880</v>
      </c>
      <c r="CO18" s="68">
        <v>880</v>
      </c>
    </row>
    <row r="19" spans="1:93" ht="15" customHeight="1">
      <c r="A19" s="83">
        <v>4900</v>
      </c>
      <c r="B19" s="67">
        <v>2.8</v>
      </c>
      <c r="C19" s="67">
        <v>7</v>
      </c>
      <c r="D19" s="67"/>
      <c r="E19" s="68">
        <v>770</v>
      </c>
      <c r="F19" s="68">
        <v>770</v>
      </c>
      <c r="G19" s="68">
        <v>770</v>
      </c>
      <c r="H19" s="68">
        <v>770</v>
      </c>
      <c r="I19" s="68">
        <v>770</v>
      </c>
      <c r="J19" s="68">
        <v>770</v>
      </c>
      <c r="K19" s="68">
        <v>770</v>
      </c>
      <c r="L19" s="68">
        <v>770</v>
      </c>
      <c r="M19" s="68">
        <v>770</v>
      </c>
      <c r="N19" s="68">
        <v>880</v>
      </c>
      <c r="O19" s="68">
        <v>880</v>
      </c>
      <c r="P19" s="68">
        <v>880</v>
      </c>
      <c r="Q19" s="68">
        <v>880</v>
      </c>
      <c r="R19" s="68">
        <v>880</v>
      </c>
      <c r="S19" s="68">
        <v>880</v>
      </c>
      <c r="T19" s="68">
        <v>880</v>
      </c>
      <c r="U19" s="68">
        <v>880</v>
      </c>
      <c r="V19" s="68">
        <v>880</v>
      </c>
      <c r="W19" s="68">
        <v>880</v>
      </c>
      <c r="X19" s="68">
        <v>880</v>
      </c>
      <c r="Y19" s="68">
        <v>880</v>
      </c>
      <c r="Z19" s="68">
        <v>880</v>
      </c>
      <c r="AA19" s="68">
        <v>880</v>
      </c>
      <c r="AB19" s="68">
        <v>880</v>
      </c>
      <c r="AC19" s="68">
        <v>880</v>
      </c>
      <c r="AD19" s="68">
        <v>880</v>
      </c>
      <c r="AE19" s="68">
        <v>880</v>
      </c>
      <c r="AF19" s="68">
        <v>880</v>
      </c>
      <c r="AG19" s="68">
        <v>880</v>
      </c>
      <c r="AH19" s="68">
        <v>880</v>
      </c>
      <c r="AI19" s="68">
        <v>880</v>
      </c>
      <c r="AJ19" s="68">
        <v>880</v>
      </c>
      <c r="AK19" s="68">
        <v>880</v>
      </c>
      <c r="AL19" s="68">
        <v>880</v>
      </c>
      <c r="AM19" s="68">
        <v>935</v>
      </c>
      <c r="AN19" s="68">
        <v>935</v>
      </c>
      <c r="AO19" s="68">
        <v>935</v>
      </c>
      <c r="AP19" s="68">
        <v>935</v>
      </c>
      <c r="AQ19" s="68">
        <v>935</v>
      </c>
      <c r="AR19" s="68">
        <v>880</v>
      </c>
      <c r="AS19" s="68">
        <v>880</v>
      </c>
      <c r="AT19" s="68">
        <v>880</v>
      </c>
      <c r="AU19" s="68">
        <v>880</v>
      </c>
      <c r="AV19" s="68">
        <v>880</v>
      </c>
      <c r="AW19" s="68">
        <v>880</v>
      </c>
      <c r="AX19" s="68">
        <v>880</v>
      </c>
      <c r="AY19" s="68">
        <v>880</v>
      </c>
      <c r="AZ19" s="68">
        <v>880</v>
      </c>
      <c r="BA19" s="68">
        <v>880</v>
      </c>
      <c r="BB19" s="68">
        <v>935</v>
      </c>
      <c r="BC19" s="68">
        <v>935</v>
      </c>
      <c r="BD19" s="68">
        <v>935</v>
      </c>
      <c r="BE19" s="68">
        <v>935</v>
      </c>
      <c r="BF19" s="68">
        <v>935</v>
      </c>
      <c r="BG19" s="68">
        <v>935</v>
      </c>
      <c r="BH19" s="68">
        <v>935</v>
      </c>
      <c r="BI19" s="68">
        <v>935</v>
      </c>
      <c r="BJ19" s="68">
        <v>935</v>
      </c>
      <c r="BK19" s="68">
        <v>935</v>
      </c>
      <c r="BL19" s="68">
        <v>935</v>
      </c>
      <c r="BM19" s="68">
        <v>935</v>
      </c>
      <c r="BN19" s="68">
        <v>935</v>
      </c>
      <c r="BO19" s="68">
        <v>935</v>
      </c>
      <c r="BP19" s="68">
        <v>935</v>
      </c>
      <c r="BQ19" s="68">
        <v>935</v>
      </c>
      <c r="BR19" s="68">
        <v>935</v>
      </c>
      <c r="BS19" s="68">
        <v>935</v>
      </c>
      <c r="BT19" s="68">
        <v>935</v>
      </c>
      <c r="BU19" s="68">
        <v>935</v>
      </c>
      <c r="BV19" s="68">
        <v>935</v>
      </c>
      <c r="BW19" s="68">
        <v>935</v>
      </c>
      <c r="BX19" s="68">
        <v>935</v>
      </c>
      <c r="BY19" s="68">
        <v>935</v>
      </c>
      <c r="BZ19" s="68">
        <v>935</v>
      </c>
      <c r="CA19" s="68">
        <v>935</v>
      </c>
      <c r="CB19" s="68">
        <v>935</v>
      </c>
      <c r="CC19" s="68">
        <v>935</v>
      </c>
      <c r="CD19" s="68">
        <v>935</v>
      </c>
      <c r="CE19" s="68">
        <v>935</v>
      </c>
      <c r="CF19" s="68">
        <v>935</v>
      </c>
      <c r="CG19" s="68">
        <v>935</v>
      </c>
      <c r="CH19" s="68">
        <v>935</v>
      </c>
      <c r="CI19" s="68">
        <v>935</v>
      </c>
      <c r="CJ19" s="68">
        <v>935</v>
      </c>
      <c r="CK19" s="68">
        <v>935</v>
      </c>
      <c r="CL19" s="68">
        <v>935</v>
      </c>
      <c r="CM19" s="68">
        <v>935</v>
      </c>
      <c r="CN19" s="68">
        <v>935</v>
      </c>
      <c r="CO19" s="68">
        <v>935</v>
      </c>
    </row>
    <row r="20" spans="1:93" ht="15" customHeight="1">
      <c r="A20" s="83">
        <v>5250</v>
      </c>
      <c r="B20" s="67">
        <v>3</v>
      </c>
      <c r="C20" s="67"/>
      <c r="D20" s="67">
        <v>6</v>
      </c>
      <c r="E20" s="68">
        <v>825</v>
      </c>
      <c r="F20" s="68">
        <v>825</v>
      </c>
      <c r="G20" s="68">
        <v>825</v>
      </c>
      <c r="H20" s="68">
        <v>825</v>
      </c>
      <c r="I20" s="68">
        <v>825</v>
      </c>
      <c r="J20" s="68">
        <v>825</v>
      </c>
      <c r="K20" s="68">
        <v>825</v>
      </c>
      <c r="L20" s="68">
        <v>825</v>
      </c>
      <c r="M20" s="68">
        <v>825</v>
      </c>
      <c r="N20" s="68">
        <v>935</v>
      </c>
      <c r="O20" s="68">
        <v>935</v>
      </c>
      <c r="P20" s="68">
        <v>935</v>
      </c>
      <c r="Q20" s="68">
        <v>935</v>
      </c>
      <c r="R20" s="68">
        <v>935</v>
      </c>
      <c r="S20" s="68">
        <v>935</v>
      </c>
      <c r="T20" s="68">
        <v>935</v>
      </c>
      <c r="U20" s="68">
        <v>935</v>
      </c>
      <c r="V20" s="68">
        <v>935</v>
      </c>
      <c r="W20" s="68">
        <v>935</v>
      </c>
      <c r="X20" s="68">
        <v>935</v>
      </c>
      <c r="Y20" s="68">
        <v>935</v>
      </c>
      <c r="Z20" s="68">
        <v>935</v>
      </c>
      <c r="AA20" s="68">
        <v>935</v>
      </c>
      <c r="AB20" s="68">
        <v>935</v>
      </c>
      <c r="AC20" s="68">
        <v>935</v>
      </c>
      <c r="AD20" s="68">
        <v>935</v>
      </c>
      <c r="AE20" s="68">
        <v>935</v>
      </c>
      <c r="AF20" s="68">
        <v>935</v>
      </c>
      <c r="AG20" s="68">
        <v>935</v>
      </c>
      <c r="AH20" s="68">
        <v>935</v>
      </c>
      <c r="AI20" s="68">
        <v>935</v>
      </c>
      <c r="AJ20" s="68">
        <v>935</v>
      </c>
      <c r="AK20" s="68">
        <v>935</v>
      </c>
      <c r="AL20" s="68">
        <v>935</v>
      </c>
      <c r="AM20" s="68">
        <v>990</v>
      </c>
      <c r="AN20" s="68">
        <v>990</v>
      </c>
      <c r="AO20" s="68">
        <v>990</v>
      </c>
      <c r="AP20" s="68">
        <v>990</v>
      </c>
      <c r="AQ20" s="68">
        <v>990</v>
      </c>
      <c r="AR20" s="68">
        <v>935</v>
      </c>
      <c r="AS20" s="68">
        <v>935</v>
      </c>
      <c r="AT20" s="68">
        <v>935</v>
      </c>
      <c r="AU20" s="68">
        <v>935</v>
      </c>
      <c r="AV20" s="68">
        <v>935</v>
      </c>
      <c r="AW20" s="68">
        <v>935</v>
      </c>
      <c r="AX20" s="68">
        <v>935</v>
      </c>
      <c r="AY20" s="68">
        <v>935</v>
      </c>
      <c r="AZ20" s="68">
        <v>935</v>
      </c>
      <c r="BA20" s="68">
        <v>935</v>
      </c>
      <c r="BB20" s="68">
        <v>990</v>
      </c>
      <c r="BC20" s="68">
        <v>990</v>
      </c>
      <c r="BD20" s="68">
        <v>990</v>
      </c>
      <c r="BE20" s="68">
        <v>990</v>
      </c>
      <c r="BF20" s="68">
        <v>990</v>
      </c>
      <c r="BG20" s="68">
        <v>990</v>
      </c>
      <c r="BH20" s="68">
        <v>990</v>
      </c>
      <c r="BI20" s="68">
        <v>990</v>
      </c>
      <c r="BJ20" s="68">
        <v>990</v>
      </c>
      <c r="BK20" s="68">
        <v>990</v>
      </c>
      <c r="BL20" s="68">
        <v>990</v>
      </c>
      <c r="BM20" s="68">
        <v>990</v>
      </c>
      <c r="BN20" s="68">
        <v>990</v>
      </c>
      <c r="BO20" s="68">
        <v>990</v>
      </c>
      <c r="BP20" s="68">
        <v>990</v>
      </c>
      <c r="BQ20" s="68">
        <v>990</v>
      </c>
      <c r="BR20" s="68">
        <v>990</v>
      </c>
      <c r="BS20" s="68">
        <v>990</v>
      </c>
      <c r="BT20" s="68">
        <v>990</v>
      </c>
      <c r="BU20" s="68">
        <v>990</v>
      </c>
      <c r="BV20" s="68">
        <v>990</v>
      </c>
      <c r="BW20" s="68">
        <v>990</v>
      </c>
      <c r="BX20" s="68">
        <v>990</v>
      </c>
      <c r="BY20" s="68">
        <v>990</v>
      </c>
      <c r="BZ20" s="68">
        <v>990</v>
      </c>
      <c r="CA20" s="68">
        <v>990</v>
      </c>
      <c r="CB20" s="68">
        <v>990</v>
      </c>
      <c r="CC20" s="68">
        <v>990</v>
      </c>
      <c r="CD20" s="68">
        <v>990</v>
      </c>
      <c r="CE20" s="68">
        <v>990</v>
      </c>
      <c r="CF20" s="68">
        <v>990</v>
      </c>
      <c r="CG20" s="68">
        <v>990</v>
      </c>
      <c r="CH20" s="68">
        <v>990</v>
      </c>
      <c r="CI20" s="68">
        <v>990</v>
      </c>
      <c r="CJ20" s="68">
        <v>990</v>
      </c>
      <c r="CK20" s="68">
        <v>990</v>
      </c>
      <c r="CL20" s="68">
        <v>990</v>
      </c>
      <c r="CM20" s="68">
        <v>990</v>
      </c>
      <c r="CN20" s="68">
        <v>990</v>
      </c>
      <c r="CO20" s="68">
        <v>990</v>
      </c>
    </row>
    <row r="21" spans="1:93" ht="15" customHeight="1">
      <c r="A21" s="83">
        <v>5600</v>
      </c>
      <c r="B21" s="67">
        <v>3.2</v>
      </c>
      <c r="C21" s="67">
        <v>8</v>
      </c>
      <c r="D21" s="67"/>
      <c r="E21" s="68">
        <v>880</v>
      </c>
      <c r="F21" s="68">
        <v>880</v>
      </c>
      <c r="G21" s="68">
        <v>880</v>
      </c>
      <c r="H21" s="68">
        <v>880</v>
      </c>
      <c r="I21" s="68">
        <v>880</v>
      </c>
      <c r="J21" s="68">
        <v>880</v>
      </c>
      <c r="K21" s="68">
        <v>880</v>
      </c>
      <c r="L21" s="68">
        <v>880</v>
      </c>
      <c r="M21" s="68">
        <v>880</v>
      </c>
      <c r="N21" s="68">
        <v>990</v>
      </c>
      <c r="O21" s="68">
        <v>990</v>
      </c>
      <c r="P21" s="68">
        <v>990</v>
      </c>
      <c r="Q21" s="68">
        <v>990</v>
      </c>
      <c r="R21" s="68">
        <v>990</v>
      </c>
      <c r="S21" s="68">
        <v>990</v>
      </c>
      <c r="T21" s="68">
        <v>990</v>
      </c>
      <c r="U21" s="68">
        <v>990</v>
      </c>
      <c r="V21" s="68">
        <v>990</v>
      </c>
      <c r="W21" s="68">
        <v>990</v>
      </c>
      <c r="X21" s="68">
        <v>990</v>
      </c>
      <c r="Y21" s="68">
        <v>990</v>
      </c>
      <c r="Z21" s="68">
        <v>990</v>
      </c>
      <c r="AA21" s="68">
        <v>990</v>
      </c>
      <c r="AB21" s="68">
        <v>990</v>
      </c>
      <c r="AC21" s="68">
        <v>990</v>
      </c>
      <c r="AD21" s="68">
        <v>990</v>
      </c>
      <c r="AE21" s="68">
        <v>990</v>
      </c>
      <c r="AF21" s="68">
        <v>990</v>
      </c>
      <c r="AG21" s="68">
        <v>990</v>
      </c>
      <c r="AH21" s="68">
        <v>990</v>
      </c>
      <c r="AI21" s="68">
        <v>990</v>
      </c>
      <c r="AJ21" s="68">
        <v>990</v>
      </c>
      <c r="AK21" s="68">
        <v>990</v>
      </c>
      <c r="AL21" s="68">
        <v>990</v>
      </c>
      <c r="AM21" s="68">
        <v>1044</v>
      </c>
      <c r="AN21" s="68">
        <v>1044</v>
      </c>
      <c r="AO21" s="68">
        <v>1044</v>
      </c>
      <c r="AP21" s="68">
        <v>1044</v>
      </c>
      <c r="AQ21" s="68">
        <v>1044</v>
      </c>
      <c r="AR21" s="68">
        <v>990</v>
      </c>
      <c r="AS21" s="68">
        <v>990</v>
      </c>
      <c r="AT21" s="68">
        <v>990</v>
      </c>
      <c r="AU21" s="68">
        <v>990</v>
      </c>
      <c r="AV21" s="68">
        <v>990</v>
      </c>
      <c r="AW21" s="68">
        <v>990</v>
      </c>
      <c r="AX21" s="68">
        <v>990</v>
      </c>
      <c r="AY21" s="68">
        <v>990</v>
      </c>
      <c r="AZ21" s="68">
        <v>990</v>
      </c>
      <c r="BA21" s="68">
        <v>990</v>
      </c>
      <c r="BB21" s="68">
        <v>1044</v>
      </c>
      <c r="BC21" s="68">
        <v>1044</v>
      </c>
      <c r="BD21" s="68">
        <v>1044</v>
      </c>
      <c r="BE21" s="68">
        <v>1044</v>
      </c>
      <c r="BF21" s="68">
        <v>1044</v>
      </c>
      <c r="BG21" s="68">
        <v>1044</v>
      </c>
      <c r="BH21" s="68">
        <v>1044</v>
      </c>
      <c r="BI21" s="68">
        <v>1044</v>
      </c>
      <c r="BJ21" s="68">
        <v>1044</v>
      </c>
      <c r="BK21" s="68">
        <v>1044</v>
      </c>
      <c r="BL21" s="68">
        <v>1044</v>
      </c>
      <c r="BM21" s="68">
        <v>1044</v>
      </c>
      <c r="BN21" s="68">
        <v>1044</v>
      </c>
      <c r="BO21" s="68">
        <v>1044</v>
      </c>
      <c r="BP21" s="68">
        <v>1044</v>
      </c>
      <c r="BQ21" s="68">
        <v>1044</v>
      </c>
      <c r="BR21" s="68">
        <v>1044</v>
      </c>
      <c r="BS21" s="68">
        <v>1044</v>
      </c>
      <c r="BT21" s="68">
        <v>1044</v>
      </c>
      <c r="BU21" s="68">
        <v>1044</v>
      </c>
      <c r="BV21" s="68">
        <v>1044</v>
      </c>
      <c r="BW21" s="68">
        <v>1044</v>
      </c>
      <c r="BX21" s="68">
        <v>1044</v>
      </c>
      <c r="BY21" s="68">
        <v>1044</v>
      </c>
      <c r="BZ21" s="68">
        <v>1044</v>
      </c>
      <c r="CA21" s="68">
        <v>1044</v>
      </c>
      <c r="CB21" s="68">
        <v>1044</v>
      </c>
      <c r="CC21" s="68">
        <v>1044</v>
      </c>
      <c r="CD21" s="68">
        <v>1044</v>
      </c>
      <c r="CE21" s="68">
        <v>1044</v>
      </c>
      <c r="CF21" s="68">
        <v>1044</v>
      </c>
      <c r="CG21" s="68">
        <v>1044</v>
      </c>
      <c r="CH21" s="68">
        <v>1044</v>
      </c>
      <c r="CI21" s="68">
        <v>1044</v>
      </c>
      <c r="CJ21" s="68">
        <v>1044</v>
      </c>
      <c r="CK21" s="68">
        <v>1044</v>
      </c>
      <c r="CL21" s="68">
        <v>1044</v>
      </c>
      <c r="CM21" s="68">
        <v>1044</v>
      </c>
      <c r="CN21" s="68">
        <v>1044</v>
      </c>
      <c r="CO21" s="68">
        <v>1044</v>
      </c>
    </row>
    <row r="22" spans="1:93" ht="15" customHeight="1">
      <c r="A22" s="83">
        <v>6125</v>
      </c>
      <c r="B22" s="67">
        <v>3.5</v>
      </c>
      <c r="C22" s="67"/>
      <c r="D22" s="67">
        <v>7</v>
      </c>
      <c r="E22" s="68">
        <v>935</v>
      </c>
      <c r="F22" s="68">
        <v>935</v>
      </c>
      <c r="G22" s="68">
        <v>935</v>
      </c>
      <c r="H22" s="68">
        <v>935</v>
      </c>
      <c r="I22" s="68">
        <v>935</v>
      </c>
      <c r="J22" s="68">
        <v>935</v>
      </c>
      <c r="K22" s="68">
        <v>935</v>
      </c>
      <c r="L22" s="68">
        <v>935</v>
      </c>
      <c r="M22" s="68">
        <v>935</v>
      </c>
      <c r="N22" s="68">
        <v>1044</v>
      </c>
      <c r="O22" s="68">
        <v>1044</v>
      </c>
      <c r="P22" s="68">
        <v>1044</v>
      </c>
      <c r="Q22" s="68">
        <v>1044</v>
      </c>
      <c r="R22" s="68">
        <v>1044</v>
      </c>
      <c r="S22" s="68">
        <v>1044</v>
      </c>
      <c r="T22" s="68">
        <v>1044</v>
      </c>
      <c r="U22" s="68">
        <v>1044</v>
      </c>
      <c r="V22" s="68">
        <v>1044</v>
      </c>
      <c r="W22" s="68">
        <v>1044</v>
      </c>
      <c r="X22" s="68">
        <v>1044</v>
      </c>
      <c r="Y22" s="68">
        <v>1044</v>
      </c>
      <c r="Z22" s="68">
        <v>1044</v>
      </c>
      <c r="AA22" s="68">
        <v>1044</v>
      </c>
      <c r="AB22" s="68">
        <v>1044</v>
      </c>
      <c r="AC22" s="68">
        <v>1044</v>
      </c>
      <c r="AD22" s="68">
        <v>1044</v>
      </c>
      <c r="AE22" s="68">
        <v>1044</v>
      </c>
      <c r="AF22" s="68">
        <v>1044</v>
      </c>
      <c r="AG22" s="68">
        <v>1044</v>
      </c>
      <c r="AH22" s="68">
        <v>1044</v>
      </c>
      <c r="AI22" s="68">
        <v>1044</v>
      </c>
      <c r="AJ22" s="68">
        <v>1044</v>
      </c>
      <c r="AK22" s="68">
        <v>1044</v>
      </c>
      <c r="AL22" s="68">
        <v>1044</v>
      </c>
      <c r="AM22" s="68">
        <v>1099</v>
      </c>
      <c r="AN22" s="68">
        <v>1099</v>
      </c>
      <c r="AO22" s="68">
        <v>1099</v>
      </c>
      <c r="AP22" s="68">
        <v>1099</v>
      </c>
      <c r="AQ22" s="68">
        <v>1099</v>
      </c>
      <c r="AR22" s="68">
        <v>1044</v>
      </c>
      <c r="AS22" s="68">
        <v>1044</v>
      </c>
      <c r="AT22" s="68">
        <v>1044</v>
      </c>
      <c r="AU22" s="68">
        <v>1044</v>
      </c>
      <c r="AV22" s="68">
        <v>1044</v>
      </c>
      <c r="AW22" s="68">
        <v>1044</v>
      </c>
      <c r="AX22" s="68">
        <v>1044</v>
      </c>
      <c r="AY22" s="68">
        <v>1044</v>
      </c>
      <c r="AZ22" s="68">
        <v>1044</v>
      </c>
      <c r="BA22" s="68">
        <v>1044</v>
      </c>
      <c r="BB22" s="68">
        <v>1099</v>
      </c>
      <c r="BC22" s="68">
        <v>1099</v>
      </c>
      <c r="BD22" s="68">
        <v>1099</v>
      </c>
      <c r="BE22" s="68">
        <v>1099</v>
      </c>
      <c r="BF22" s="68">
        <v>1099</v>
      </c>
      <c r="BG22" s="68">
        <v>1099</v>
      </c>
      <c r="BH22" s="68">
        <v>1099</v>
      </c>
      <c r="BI22" s="68">
        <v>1099</v>
      </c>
      <c r="BJ22" s="68">
        <v>1099</v>
      </c>
      <c r="BK22" s="68">
        <v>1099</v>
      </c>
      <c r="BL22" s="68">
        <v>1099</v>
      </c>
      <c r="BM22" s="68">
        <v>1099</v>
      </c>
      <c r="BN22" s="68">
        <v>1099</v>
      </c>
      <c r="BO22" s="68">
        <v>1099</v>
      </c>
      <c r="BP22" s="68">
        <v>1099</v>
      </c>
      <c r="BQ22" s="68">
        <v>1099</v>
      </c>
      <c r="BR22" s="68">
        <v>1099</v>
      </c>
      <c r="BS22" s="68">
        <v>1099</v>
      </c>
      <c r="BT22" s="68">
        <v>1099</v>
      </c>
      <c r="BU22" s="68">
        <v>1099</v>
      </c>
      <c r="BV22" s="68">
        <v>1099</v>
      </c>
      <c r="BW22" s="68">
        <v>1099</v>
      </c>
      <c r="BX22" s="68">
        <v>1099</v>
      </c>
      <c r="BY22" s="68">
        <v>1099</v>
      </c>
      <c r="BZ22" s="68">
        <v>1099</v>
      </c>
      <c r="CA22" s="68">
        <v>1099</v>
      </c>
      <c r="CB22" s="68">
        <v>1099</v>
      </c>
      <c r="CC22" s="68">
        <v>1099</v>
      </c>
      <c r="CD22" s="68">
        <v>1099</v>
      </c>
      <c r="CE22" s="68">
        <v>1099</v>
      </c>
      <c r="CF22" s="68">
        <v>1099</v>
      </c>
      <c r="CG22" s="68">
        <v>1099</v>
      </c>
      <c r="CH22" s="68">
        <v>1099</v>
      </c>
      <c r="CI22" s="68">
        <v>1099</v>
      </c>
      <c r="CJ22" s="68">
        <v>1099</v>
      </c>
      <c r="CK22" s="68">
        <v>1099</v>
      </c>
      <c r="CL22" s="68">
        <v>1099</v>
      </c>
      <c r="CM22" s="68">
        <v>1099</v>
      </c>
      <c r="CN22" s="68">
        <v>1099</v>
      </c>
      <c r="CO22" s="68">
        <v>1099</v>
      </c>
    </row>
    <row r="23" spans="1:93" ht="15" customHeight="1">
      <c r="A23" s="83">
        <v>6300</v>
      </c>
      <c r="B23" s="67">
        <v>3.6</v>
      </c>
      <c r="C23" s="67">
        <v>9</v>
      </c>
      <c r="D23" s="67"/>
      <c r="E23" s="68">
        <v>990</v>
      </c>
      <c r="F23" s="68">
        <v>990</v>
      </c>
      <c r="G23" s="68">
        <v>990</v>
      </c>
      <c r="H23" s="68">
        <v>990</v>
      </c>
      <c r="I23" s="68">
        <v>990</v>
      </c>
      <c r="J23" s="68">
        <v>990</v>
      </c>
      <c r="K23" s="68">
        <v>990</v>
      </c>
      <c r="L23" s="68">
        <v>990</v>
      </c>
      <c r="M23" s="68">
        <v>990</v>
      </c>
      <c r="N23" s="68">
        <v>1099</v>
      </c>
      <c r="O23" s="68">
        <v>1099</v>
      </c>
      <c r="P23" s="68">
        <v>1099</v>
      </c>
      <c r="Q23" s="68">
        <v>1099</v>
      </c>
      <c r="R23" s="68">
        <v>1099</v>
      </c>
      <c r="S23" s="68">
        <v>1099</v>
      </c>
      <c r="T23" s="68">
        <v>1099</v>
      </c>
      <c r="U23" s="68">
        <v>1099</v>
      </c>
      <c r="V23" s="68">
        <v>1099</v>
      </c>
      <c r="W23" s="68">
        <v>1099</v>
      </c>
      <c r="X23" s="68">
        <v>1099</v>
      </c>
      <c r="Y23" s="68">
        <v>1099</v>
      </c>
      <c r="Z23" s="68">
        <v>1099</v>
      </c>
      <c r="AA23" s="68">
        <v>1099</v>
      </c>
      <c r="AB23" s="68">
        <v>1099</v>
      </c>
      <c r="AC23" s="68">
        <v>1099</v>
      </c>
      <c r="AD23" s="68">
        <v>1099</v>
      </c>
      <c r="AE23" s="68">
        <v>1099</v>
      </c>
      <c r="AF23" s="68">
        <v>1099</v>
      </c>
      <c r="AG23" s="68">
        <v>1099</v>
      </c>
      <c r="AH23" s="68">
        <v>1099</v>
      </c>
      <c r="AI23" s="68">
        <v>1099</v>
      </c>
      <c r="AJ23" s="68">
        <v>1099</v>
      </c>
      <c r="AK23" s="68">
        <v>1099</v>
      </c>
      <c r="AL23" s="68">
        <v>1099</v>
      </c>
      <c r="AM23" s="68">
        <v>1187</v>
      </c>
      <c r="AN23" s="68">
        <v>1187</v>
      </c>
      <c r="AO23" s="68">
        <v>1187</v>
      </c>
      <c r="AP23" s="68">
        <v>1187</v>
      </c>
      <c r="AQ23" s="68">
        <v>1187</v>
      </c>
      <c r="AR23" s="68">
        <v>1099</v>
      </c>
      <c r="AS23" s="68">
        <v>1099</v>
      </c>
      <c r="AT23" s="68">
        <v>1099</v>
      </c>
      <c r="AU23" s="68">
        <v>1099</v>
      </c>
      <c r="AV23" s="68">
        <v>1099</v>
      </c>
      <c r="AW23" s="68">
        <v>1099</v>
      </c>
      <c r="AX23" s="68">
        <v>1099</v>
      </c>
      <c r="AY23" s="68">
        <v>1099</v>
      </c>
      <c r="AZ23" s="68">
        <v>1099</v>
      </c>
      <c r="BA23" s="68">
        <v>1099</v>
      </c>
      <c r="BB23" s="68">
        <v>1187</v>
      </c>
      <c r="BC23" s="68">
        <v>1187</v>
      </c>
      <c r="BD23" s="68">
        <v>1187</v>
      </c>
      <c r="BE23" s="68">
        <v>1187</v>
      </c>
      <c r="BF23" s="68">
        <v>1187</v>
      </c>
      <c r="BG23" s="68">
        <v>1187</v>
      </c>
      <c r="BH23" s="68">
        <v>1187</v>
      </c>
      <c r="BI23" s="68">
        <v>1187</v>
      </c>
      <c r="BJ23" s="68">
        <v>1187</v>
      </c>
      <c r="BK23" s="68">
        <v>1187</v>
      </c>
      <c r="BL23" s="68">
        <v>1187</v>
      </c>
      <c r="BM23" s="68">
        <v>1187</v>
      </c>
      <c r="BN23" s="68">
        <v>1187</v>
      </c>
      <c r="BO23" s="68">
        <v>1187</v>
      </c>
      <c r="BP23" s="68">
        <v>1187</v>
      </c>
      <c r="BQ23" s="68">
        <v>1187</v>
      </c>
      <c r="BR23" s="68">
        <v>1187</v>
      </c>
      <c r="BS23" s="68">
        <v>1187</v>
      </c>
      <c r="BT23" s="68">
        <v>1187</v>
      </c>
      <c r="BU23" s="68">
        <v>1187</v>
      </c>
      <c r="BV23" s="68">
        <v>1187</v>
      </c>
      <c r="BW23" s="68">
        <v>1187</v>
      </c>
      <c r="BX23" s="68">
        <v>1187</v>
      </c>
      <c r="BY23" s="68">
        <v>1187</v>
      </c>
      <c r="BZ23" s="68">
        <v>1187</v>
      </c>
      <c r="CA23" s="68">
        <v>1187</v>
      </c>
      <c r="CB23" s="68">
        <v>1187</v>
      </c>
      <c r="CC23" s="68">
        <v>1187</v>
      </c>
      <c r="CD23" s="68">
        <v>1187</v>
      </c>
      <c r="CE23" s="68">
        <v>1187</v>
      </c>
      <c r="CF23" s="68">
        <v>1187</v>
      </c>
      <c r="CG23" s="68">
        <v>1187</v>
      </c>
      <c r="CH23" s="68">
        <v>1187</v>
      </c>
      <c r="CI23" s="68">
        <v>1187</v>
      </c>
      <c r="CJ23" s="68">
        <v>1187</v>
      </c>
      <c r="CK23" s="68">
        <v>1187</v>
      </c>
      <c r="CL23" s="68">
        <v>1187</v>
      </c>
      <c r="CM23" s="68">
        <v>1187</v>
      </c>
      <c r="CN23" s="68">
        <v>1187</v>
      </c>
      <c r="CO23" s="68">
        <v>1187</v>
      </c>
    </row>
    <row r="24" spans="1:93" ht="15" customHeight="1">
      <c r="A24" s="83">
        <v>7000</v>
      </c>
      <c r="B24" s="67">
        <v>4</v>
      </c>
      <c r="C24" s="67">
        <v>10</v>
      </c>
      <c r="D24" s="67">
        <v>8</v>
      </c>
      <c r="E24" s="68">
        <v>1044</v>
      </c>
      <c r="F24" s="68">
        <v>1044</v>
      </c>
      <c r="G24" s="68">
        <v>1044</v>
      </c>
      <c r="H24" s="68">
        <v>1044</v>
      </c>
      <c r="I24" s="68">
        <v>1044</v>
      </c>
      <c r="J24" s="68">
        <v>1044</v>
      </c>
      <c r="K24" s="68">
        <v>1044</v>
      </c>
      <c r="L24" s="68">
        <v>1044</v>
      </c>
      <c r="M24" s="68">
        <v>1044</v>
      </c>
      <c r="N24" s="68">
        <v>1154</v>
      </c>
      <c r="O24" s="68">
        <v>1154</v>
      </c>
      <c r="P24" s="68">
        <v>1154</v>
      </c>
      <c r="Q24" s="68">
        <v>1154</v>
      </c>
      <c r="R24" s="68">
        <v>1154</v>
      </c>
      <c r="S24" s="68">
        <v>1154</v>
      </c>
      <c r="T24" s="68">
        <v>1154</v>
      </c>
      <c r="U24" s="68">
        <v>1154</v>
      </c>
      <c r="V24" s="68">
        <v>1154</v>
      </c>
      <c r="W24" s="68">
        <v>1154</v>
      </c>
      <c r="X24" s="68">
        <v>1154</v>
      </c>
      <c r="Y24" s="68">
        <v>1154</v>
      </c>
      <c r="Z24" s="68">
        <v>1154</v>
      </c>
      <c r="AA24" s="68">
        <v>1154</v>
      </c>
      <c r="AB24" s="68">
        <v>1154</v>
      </c>
      <c r="AC24" s="68">
        <v>1154</v>
      </c>
      <c r="AD24" s="68">
        <v>1154</v>
      </c>
      <c r="AE24" s="68">
        <v>1154</v>
      </c>
      <c r="AF24" s="68">
        <v>1154</v>
      </c>
      <c r="AG24" s="68">
        <v>1154</v>
      </c>
      <c r="AH24" s="68">
        <v>1154</v>
      </c>
      <c r="AI24" s="68">
        <v>1154</v>
      </c>
      <c r="AJ24" s="68">
        <v>1154</v>
      </c>
      <c r="AK24" s="68">
        <v>1154</v>
      </c>
      <c r="AL24" s="68">
        <v>1154</v>
      </c>
      <c r="AM24" s="68">
        <v>1275</v>
      </c>
      <c r="AN24" s="68">
        <v>1275</v>
      </c>
      <c r="AO24" s="68">
        <v>1275</v>
      </c>
      <c r="AP24" s="68">
        <v>1275</v>
      </c>
      <c r="AQ24" s="68">
        <v>1275</v>
      </c>
      <c r="AR24" s="68">
        <v>1154</v>
      </c>
      <c r="AS24" s="68">
        <v>1154</v>
      </c>
      <c r="AT24" s="68">
        <v>1154</v>
      </c>
      <c r="AU24" s="68">
        <v>1154</v>
      </c>
      <c r="AV24" s="68">
        <v>1154</v>
      </c>
      <c r="AW24" s="68">
        <v>1154</v>
      </c>
      <c r="AX24" s="68">
        <v>1154</v>
      </c>
      <c r="AY24" s="68">
        <v>1154</v>
      </c>
      <c r="AZ24" s="68">
        <v>1154</v>
      </c>
      <c r="BA24" s="68">
        <v>1154</v>
      </c>
      <c r="BB24" s="68">
        <v>1275</v>
      </c>
      <c r="BC24" s="68">
        <v>1275</v>
      </c>
      <c r="BD24" s="68">
        <v>1275</v>
      </c>
      <c r="BE24" s="68">
        <v>1275</v>
      </c>
      <c r="BF24" s="68">
        <v>1275</v>
      </c>
      <c r="BG24" s="68">
        <v>1275</v>
      </c>
      <c r="BH24" s="68">
        <v>1275</v>
      </c>
      <c r="BI24" s="68">
        <v>1275</v>
      </c>
      <c r="BJ24" s="68">
        <v>1275</v>
      </c>
      <c r="BK24" s="68">
        <v>1275</v>
      </c>
      <c r="BL24" s="68">
        <v>1275</v>
      </c>
      <c r="BM24" s="68">
        <v>1275</v>
      </c>
      <c r="BN24" s="68">
        <v>1275</v>
      </c>
      <c r="BO24" s="68">
        <v>1275</v>
      </c>
      <c r="BP24" s="68">
        <v>1275</v>
      </c>
      <c r="BQ24" s="68">
        <v>1275</v>
      </c>
      <c r="BR24" s="68">
        <v>1275</v>
      </c>
      <c r="BS24" s="68">
        <v>1275</v>
      </c>
      <c r="BT24" s="68">
        <v>1275</v>
      </c>
      <c r="BU24" s="68">
        <v>1275</v>
      </c>
      <c r="BV24" s="68">
        <v>1275</v>
      </c>
      <c r="BW24" s="68">
        <v>1275</v>
      </c>
      <c r="BX24" s="68">
        <v>1275</v>
      </c>
      <c r="BY24" s="68">
        <v>1275</v>
      </c>
      <c r="BZ24" s="68">
        <v>1275</v>
      </c>
      <c r="CA24" s="68">
        <v>1275</v>
      </c>
      <c r="CB24" s="68">
        <v>1275</v>
      </c>
      <c r="CC24" s="68">
        <v>1275</v>
      </c>
      <c r="CD24" s="68">
        <v>1275</v>
      </c>
      <c r="CE24" s="68">
        <v>1275</v>
      </c>
      <c r="CF24" s="68">
        <v>1275</v>
      </c>
      <c r="CG24" s="68">
        <v>1275</v>
      </c>
      <c r="CH24" s="68">
        <v>1275</v>
      </c>
      <c r="CI24" s="68">
        <v>1275</v>
      </c>
      <c r="CJ24" s="68">
        <v>1275</v>
      </c>
      <c r="CK24" s="68">
        <v>1275</v>
      </c>
      <c r="CL24" s="68">
        <v>1275</v>
      </c>
      <c r="CM24" s="68">
        <v>1275</v>
      </c>
      <c r="CN24" s="68">
        <v>1275</v>
      </c>
      <c r="CO24" s="68">
        <v>1275</v>
      </c>
    </row>
    <row r="25" spans="1:93" ht="15" customHeight="1">
      <c r="A25" s="3"/>
      <c r="B25" s="3"/>
      <c r="C25" s="3"/>
      <c r="D25" s="3"/>
    </row>
    <row r="26" spans="1:93" ht="15" customHeight="1">
      <c r="A26" s="4" t="s">
        <v>24</v>
      </c>
      <c r="B26" s="3"/>
      <c r="C26" s="3"/>
      <c r="D26" s="3"/>
    </row>
    <row r="27" spans="1:93" ht="15" customHeight="1">
      <c r="A27" s="3"/>
      <c r="B27" s="3"/>
      <c r="C27" s="3"/>
      <c r="D27" s="3"/>
    </row>
    <row r="28" spans="1:93" ht="15" customHeight="1">
      <c r="A28" s="6" t="s">
        <v>25</v>
      </c>
      <c r="B28" s="40"/>
      <c r="C28" s="84" t="s">
        <v>26</v>
      </c>
      <c r="D28" s="85"/>
      <c r="E28" s="69"/>
      <c r="F28" s="70"/>
      <c r="G28" s="71" t="s">
        <v>27</v>
      </c>
      <c r="H28" s="70"/>
      <c r="I28" s="70"/>
      <c r="J28" s="70"/>
      <c r="K28" s="70"/>
      <c r="L28" s="70"/>
      <c r="M28" s="70"/>
      <c r="N28" s="70"/>
      <c r="O28" s="70"/>
      <c r="P28" s="70"/>
      <c r="Q28" s="70"/>
      <c r="R28" s="70"/>
      <c r="S28" s="70"/>
      <c r="T28" s="71" t="s">
        <v>27</v>
      </c>
      <c r="U28" s="70"/>
      <c r="V28" s="70"/>
      <c r="W28" s="70"/>
      <c r="X28" s="70"/>
      <c r="Y28" s="70"/>
      <c r="Z28" s="70"/>
      <c r="AA28" s="70"/>
      <c r="AB28" s="70"/>
      <c r="AC28" s="70"/>
      <c r="AD28" s="70"/>
      <c r="AE28" s="70"/>
      <c r="AF28" s="70"/>
      <c r="AG28" s="71" t="s">
        <v>27</v>
      </c>
      <c r="AH28" s="70"/>
      <c r="AI28" s="70"/>
      <c r="AJ28" s="70"/>
      <c r="AK28" s="70"/>
      <c r="AL28" s="70"/>
      <c r="AM28" s="70"/>
      <c r="AN28" s="70"/>
      <c r="AO28" s="70"/>
      <c r="AP28" s="71"/>
      <c r="AQ28" s="70"/>
      <c r="AR28" s="70"/>
      <c r="AS28" s="70"/>
      <c r="AT28" s="71" t="s">
        <v>27</v>
      </c>
      <c r="AU28" s="70"/>
      <c r="AV28" s="70"/>
      <c r="AW28" s="70"/>
      <c r="AX28" s="70"/>
      <c r="AY28" s="70"/>
      <c r="AZ28" s="70"/>
      <c r="BA28" s="70"/>
      <c r="BB28" s="70"/>
      <c r="BC28" s="70"/>
      <c r="BD28" s="70"/>
      <c r="BE28" s="70"/>
      <c r="BF28" s="71"/>
      <c r="BG28" s="71" t="s">
        <v>27</v>
      </c>
      <c r="BH28" s="70"/>
      <c r="BI28" s="70"/>
      <c r="BJ28" s="70"/>
      <c r="BK28" s="70"/>
      <c r="BL28" s="70"/>
      <c r="BM28" s="70"/>
      <c r="BN28" s="70"/>
      <c r="BO28" s="70"/>
      <c r="BP28" s="70"/>
      <c r="BQ28" s="70"/>
      <c r="BR28" s="70"/>
      <c r="BS28" s="70"/>
      <c r="BT28" s="71" t="s">
        <v>27</v>
      </c>
      <c r="BU28" s="70"/>
      <c r="BV28" s="71"/>
      <c r="BW28" s="70"/>
      <c r="BX28" s="70"/>
      <c r="BY28" s="70"/>
      <c r="BZ28" s="70"/>
      <c r="CA28" s="70"/>
      <c r="CB28" s="70"/>
      <c r="CC28" s="70"/>
      <c r="CD28" s="70"/>
      <c r="CE28" s="70"/>
      <c r="CF28" s="70"/>
      <c r="CG28" s="71" t="s">
        <v>27</v>
      </c>
      <c r="CH28" s="70"/>
      <c r="CI28" s="71"/>
      <c r="CJ28" s="70"/>
      <c r="CK28" s="70"/>
      <c r="CL28" s="70"/>
      <c r="CM28" s="70"/>
      <c r="CN28" s="70"/>
      <c r="CO28" s="72"/>
    </row>
    <row r="29" spans="1:93" ht="15" customHeight="1">
      <c r="A29" s="222" t="s">
        <v>28</v>
      </c>
      <c r="B29" s="223"/>
      <c r="C29" s="6" t="s">
        <v>39</v>
      </c>
      <c r="D29" s="73"/>
      <c r="E29" s="74" t="s">
        <v>40</v>
      </c>
      <c r="F29" s="74" t="s">
        <v>40</v>
      </c>
      <c r="G29" s="74" t="s">
        <v>40</v>
      </c>
      <c r="H29" s="74" t="s">
        <v>40</v>
      </c>
      <c r="I29" s="74" t="s">
        <v>40</v>
      </c>
      <c r="J29" s="74" t="s">
        <v>40</v>
      </c>
      <c r="K29" s="74" t="s">
        <v>40</v>
      </c>
      <c r="L29" s="74" t="s">
        <v>40</v>
      </c>
      <c r="M29" s="74" t="s">
        <v>40</v>
      </c>
      <c r="N29" s="74" t="s">
        <v>40</v>
      </c>
      <c r="O29" s="74" t="s">
        <v>40</v>
      </c>
      <c r="P29" s="74" t="s">
        <v>40</v>
      </c>
      <c r="Q29" s="74" t="s">
        <v>40</v>
      </c>
      <c r="R29" s="74" t="s">
        <v>40</v>
      </c>
      <c r="S29" s="74" t="s">
        <v>40</v>
      </c>
      <c r="T29" s="74" t="s">
        <v>40</v>
      </c>
      <c r="U29" s="74" t="s">
        <v>40</v>
      </c>
      <c r="V29" s="74" t="s">
        <v>40</v>
      </c>
      <c r="W29" s="74" t="s">
        <v>40</v>
      </c>
      <c r="X29" s="74" t="s">
        <v>40</v>
      </c>
      <c r="Y29" s="74" t="s">
        <v>40</v>
      </c>
      <c r="Z29" s="74" t="s">
        <v>40</v>
      </c>
      <c r="AA29" s="74" t="s">
        <v>40</v>
      </c>
      <c r="AB29" s="74" t="s">
        <v>40</v>
      </c>
      <c r="AC29" s="74" t="s">
        <v>40</v>
      </c>
      <c r="AD29" s="74" t="s">
        <v>40</v>
      </c>
      <c r="AE29" s="74" t="s">
        <v>40</v>
      </c>
      <c r="AF29" s="74" t="s">
        <v>40</v>
      </c>
      <c r="AG29" s="74" t="s">
        <v>40</v>
      </c>
      <c r="AH29" s="74" t="s">
        <v>41</v>
      </c>
      <c r="AI29" s="74" t="s">
        <v>41</v>
      </c>
      <c r="AJ29" s="74" t="s">
        <v>41</v>
      </c>
      <c r="AK29" s="74" t="s">
        <v>41</v>
      </c>
      <c r="AL29" s="74" t="s">
        <v>40</v>
      </c>
      <c r="AM29" s="74" t="s">
        <v>41</v>
      </c>
      <c r="AN29" s="74" t="s">
        <v>40</v>
      </c>
      <c r="AO29" s="74" t="s">
        <v>41</v>
      </c>
      <c r="AP29" s="74" t="s">
        <v>41</v>
      </c>
      <c r="AQ29" s="74" t="s">
        <v>41</v>
      </c>
      <c r="AR29" s="74" t="s">
        <v>41</v>
      </c>
      <c r="AS29" s="74" t="s">
        <v>41</v>
      </c>
      <c r="AT29" s="74" t="s">
        <v>41</v>
      </c>
      <c r="AU29" s="74" t="s">
        <v>41</v>
      </c>
      <c r="AV29" s="74" t="s">
        <v>41</v>
      </c>
      <c r="AW29" s="74" t="s">
        <v>41</v>
      </c>
      <c r="AX29" s="74" t="s">
        <v>41</v>
      </c>
      <c r="AY29" s="74" t="s">
        <v>41</v>
      </c>
      <c r="AZ29" s="74" t="s">
        <v>41</v>
      </c>
      <c r="BA29" s="74" t="s">
        <v>41</v>
      </c>
      <c r="BB29" s="74" t="s">
        <v>41</v>
      </c>
      <c r="BC29" s="74" t="s">
        <v>41</v>
      </c>
      <c r="BD29" s="74" t="s">
        <v>41</v>
      </c>
      <c r="BE29" s="74" t="s">
        <v>41</v>
      </c>
      <c r="BF29" s="74" t="s">
        <v>41</v>
      </c>
      <c r="BG29" s="74" t="s">
        <v>41</v>
      </c>
      <c r="BH29" s="74" t="s">
        <v>41</v>
      </c>
      <c r="BI29" s="74" t="s">
        <v>41</v>
      </c>
      <c r="BJ29" s="74" t="s">
        <v>41</v>
      </c>
      <c r="BK29" s="74" t="s">
        <v>41</v>
      </c>
      <c r="BL29" s="74" t="s">
        <v>41</v>
      </c>
      <c r="BM29" s="74" t="s">
        <v>41</v>
      </c>
      <c r="BN29" s="74" t="s">
        <v>41</v>
      </c>
      <c r="BO29" s="74" t="s">
        <v>41</v>
      </c>
      <c r="BP29" s="74" t="s">
        <v>41</v>
      </c>
      <c r="BQ29" s="74" t="s">
        <v>41</v>
      </c>
      <c r="BR29" s="74" t="s">
        <v>41</v>
      </c>
      <c r="BS29" s="74" t="s">
        <v>41</v>
      </c>
      <c r="BT29" s="74" t="s">
        <v>41</v>
      </c>
      <c r="BU29" s="74" t="s">
        <v>41</v>
      </c>
      <c r="BV29" s="74" t="s">
        <v>41</v>
      </c>
      <c r="BW29" s="74" t="s">
        <v>41</v>
      </c>
      <c r="BX29" s="74" t="s">
        <v>41</v>
      </c>
      <c r="BY29" s="74" t="s">
        <v>41</v>
      </c>
      <c r="BZ29" s="74" t="s">
        <v>41</v>
      </c>
      <c r="CA29" s="74" t="s">
        <v>41</v>
      </c>
      <c r="CB29" s="74" t="s">
        <v>41</v>
      </c>
      <c r="CC29" s="74" t="s">
        <v>41</v>
      </c>
      <c r="CD29" s="74" t="s">
        <v>41</v>
      </c>
      <c r="CE29" s="74" t="s">
        <v>41</v>
      </c>
      <c r="CF29" s="74" t="s">
        <v>41</v>
      </c>
      <c r="CG29" s="74" t="s">
        <v>41</v>
      </c>
      <c r="CH29" s="74" t="s">
        <v>41</v>
      </c>
      <c r="CI29" s="74" t="s">
        <v>41</v>
      </c>
      <c r="CJ29" s="74" t="s">
        <v>41</v>
      </c>
      <c r="CK29" s="74" t="s">
        <v>41</v>
      </c>
      <c r="CL29" s="74" t="s">
        <v>41</v>
      </c>
      <c r="CM29" s="74" t="s">
        <v>41</v>
      </c>
      <c r="CN29" s="74" t="s">
        <v>41</v>
      </c>
      <c r="CO29" s="74" t="s">
        <v>41</v>
      </c>
    </row>
    <row r="30" spans="1:93" ht="15" customHeight="1">
      <c r="A30" s="222" t="s">
        <v>32</v>
      </c>
      <c r="B30" s="223"/>
      <c r="C30" s="6" t="s">
        <v>42</v>
      </c>
      <c r="D30" s="73"/>
      <c r="E30" s="74" t="s">
        <v>43</v>
      </c>
      <c r="F30" s="74" t="s">
        <v>43</v>
      </c>
      <c r="G30" s="74" t="s">
        <v>43</v>
      </c>
      <c r="H30" s="74" t="s">
        <v>43</v>
      </c>
      <c r="I30" s="74" t="s">
        <v>43</v>
      </c>
      <c r="J30" s="74" t="s">
        <v>43</v>
      </c>
      <c r="K30" s="74" t="s">
        <v>43</v>
      </c>
      <c r="L30" s="74" t="s">
        <v>43</v>
      </c>
      <c r="M30" s="74" t="s">
        <v>43</v>
      </c>
      <c r="N30" s="74" t="s">
        <v>43</v>
      </c>
      <c r="O30" s="74" t="s">
        <v>43</v>
      </c>
      <c r="P30" s="74" t="s">
        <v>43</v>
      </c>
      <c r="Q30" s="74" t="s">
        <v>43</v>
      </c>
      <c r="R30" s="74" t="s">
        <v>43</v>
      </c>
      <c r="S30" s="74" t="s">
        <v>43</v>
      </c>
      <c r="T30" s="74" t="s">
        <v>43</v>
      </c>
      <c r="U30" s="74" t="s">
        <v>43</v>
      </c>
      <c r="V30" s="74" t="s">
        <v>43</v>
      </c>
      <c r="W30" s="74" t="s">
        <v>43</v>
      </c>
      <c r="X30" s="74" t="s">
        <v>43</v>
      </c>
      <c r="Y30" s="74" t="s">
        <v>43</v>
      </c>
      <c r="Z30" s="74" t="s">
        <v>43</v>
      </c>
      <c r="AA30" s="74" t="s">
        <v>43</v>
      </c>
      <c r="AB30" s="74" t="s">
        <v>43</v>
      </c>
      <c r="AC30" s="74" t="s">
        <v>43</v>
      </c>
      <c r="AD30" s="74" t="s">
        <v>43</v>
      </c>
      <c r="AE30" s="74" t="s">
        <v>43</v>
      </c>
      <c r="AF30" s="74" t="s">
        <v>43</v>
      </c>
      <c r="AG30" s="74" t="s">
        <v>43</v>
      </c>
      <c r="AH30" s="74" t="s">
        <v>40</v>
      </c>
      <c r="AI30" s="74" t="s">
        <v>40</v>
      </c>
      <c r="AJ30" s="74" t="s">
        <v>40</v>
      </c>
      <c r="AK30" s="74" t="s">
        <v>40</v>
      </c>
      <c r="AL30" s="74" t="s">
        <v>43</v>
      </c>
      <c r="AM30" s="74" t="s">
        <v>40</v>
      </c>
      <c r="AN30" s="74" t="s">
        <v>43</v>
      </c>
      <c r="AO30" s="74" t="s">
        <v>40</v>
      </c>
      <c r="AP30" s="74" t="s">
        <v>40</v>
      </c>
      <c r="AQ30" s="74" t="s">
        <v>40</v>
      </c>
      <c r="AR30" s="74" t="s">
        <v>40</v>
      </c>
      <c r="AS30" s="74" t="s">
        <v>40</v>
      </c>
      <c r="AT30" s="74" t="s">
        <v>40</v>
      </c>
      <c r="AU30" s="74" t="s">
        <v>40</v>
      </c>
      <c r="AV30" s="74" t="s">
        <v>40</v>
      </c>
      <c r="AW30" s="74" t="s">
        <v>40</v>
      </c>
      <c r="AX30" s="74" t="s">
        <v>40</v>
      </c>
      <c r="AY30" s="74" t="s">
        <v>40</v>
      </c>
      <c r="AZ30" s="74" t="s">
        <v>40</v>
      </c>
      <c r="BA30" s="74" t="s">
        <v>40</v>
      </c>
      <c r="BB30" s="74" t="s">
        <v>40</v>
      </c>
      <c r="BC30" s="74" t="s">
        <v>40</v>
      </c>
      <c r="BD30" s="74" t="s">
        <v>40</v>
      </c>
      <c r="BE30" s="74" t="s">
        <v>40</v>
      </c>
      <c r="BF30" s="74" t="s">
        <v>40</v>
      </c>
      <c r="BG30" s="74" t="s">
        <v>40</v>
      </c>
      <c r="BH30" s="74" t="s">
        <v>40</v>
      </c>
      <c r="BI30" s="74" t="s">
        <v>40</v>
      </c>
      <c r="BJ30" s="74" t="s">
        <v>40</v>
      </c>
      <c r="BK30" s="74" t="s">
        <v>40</v>
      </c>
      <c r="BL30" s="74" t="s">
        <v>40</v>
      </c>
      <c r="BM30" s="74" t="s">
        <v>40</v>
      </c>
      <c r="BN30" s="74" t="s">
        <v>40</v>
      </c>
      <c r="BO30" s="74" t="s">
        <v>40</v>
      </c>
      <c r="BP30" s="74" t="s">
        <v>40</v>
      </c>
      <c r="BQ30" s="74" t="s">
        <v>40</v>
      </c>
      <c r="BR30" s="74" t="s">
        <v>40</v>
      </c>
      <c r="BS30" s="74" t="s">
        <v>40</v>
      </c>
      <c r="BT30" s="74" t="s">
        <v>40</v>
      </c>
      <c r="BU30" s="74" t="s">
        <v>40</v>
      </c>
      <c r="BV30" s="74" t="s">
        <v>40</v>
      </c>
      <c r="BW30" s="74" t="s">
        <v>40</v>
      </c>
      <c r="BX30" s="74" t="s">
        <v>40</v>
      </c>
      <c r="BY30" s="74" t="s">
        <v>40</v>
      </c>
      <c r="BZ30" s="74" t="s">
        <v>40</v>
      </c>
      <c r="CA30" s="74" t="s">
        <v>40</v>
      </c>
      <c r="CB30" s="74" t="s">
        <v>40</v>
      </c>
      <c r="CC30" s="74" t="s">
        <v>40</v>
      </c>
      <c r="CD30" s="74" t="s">
        <v>40</v>
      </c>
      <c r="CE30" s="74" t="s">
        <v>40</v>
      </c>
      <c r="CF30" s="74" t="s">
        <v>40</v>
      </c>
      <c r="CG30" s="74" t="s">
        <v>40</v>
      </c>
      <c r="CH30" s="74" t="s">
        <v>40</v>
      </c>
      <c r="CI30" s="74" t="s">
        <v>40</v>
      </c>
      <c r="CJ30" s="74" t="s">
        <v>40</v>
      </c>
      <c r="CK30" s="74" t="s">
        <v>40</v>
      </c>
      <c r="CL30" s="74" t="s">
        <v>40</v>
      </c>
      <c r="CM30" s="74" t="s">
        <v>40</v>
      </c>
      <c r="CN30" s="74" t="s">
        <v>40</v>
      </c>
      <c r="CO30" s="74" t="s">
        <v>40</v>
      </c>
    </row>
    <row r="31" spans="1:93" ht="15" customHeight="1">
      <c r="A31" s="222" t="s">
        <v>33</v>
      </c>
      <c r="B31" s="223"/>
      <c r="C31" s="6" t="s">
        <v>29</v>
      </c>
      <c r="D31" s="76"/>
      <c r="E31" s="74" t="s">
        <v>44</v>
      </c>
      <c r="F31" s="74" t="s">
        <v>44</v>
      </c>
      <c r="G31" s="74" t="s">
        <v>44</v>
      </c>
      <c r="H31" s="74" t="s">
        <v>44</v>
      </c>
      <c r="I31" s="74" t="s">
        <v>44</v>
      </c>
      <c r="J31" s="74" t="s">
        <v>44</v>
      </c>
      <c r="K31" s="74" t="s">
        <v>44</v>
      </c>
      <c r="L31" s="74" t="s">
        <v>44</v>
      </c>
      <c r="M31" s="74" t="s">
        <v>44</v>
      </c>
      <c r="N31" s="74" t="s">
        <v>44</v>
      </c>
      <c r="O31" s="74" t="s">
        <v>44</v>
      </c>
      <c r="P31" s="74" t="s">
        <v>44</v>
      </c>
      <c r="Q31" s="74" t="s">
        <v>44</v>
      </c>
      <c r="R31" s="74" t="s">
        <v>44</v>
      </c>
      <c r="S31" s="74" t="s">
        <v>44</v>
      </c>
      <c r="T31" s="74" t="s">
        <v>44</v>
      </c>
      <c r="U31" s="74" t="s">
        <v>44</v>
      </c>
      <c r="V31" s="74" t="s">
        <v>44</v>
      </c>
      <c r="W31" s="74" t="s">
        <v>44</v>
      </c>
      <c r="X31" s="74" t="s">
        <v>44</v>
      </c>
      <c r="Y31" s="74" t="s">
        <v>44</v>
      </c>
      <c r="Z31" s="74" t="s">
        <v>44</v>
      </c>
      <c r="AA31" s="74" t="s">
        <v>44</v>
      </c>
      <c r="AB31" s="74" t="s">
        <v>44</v>
      </c>
      <c r="AC31" s="74" t="s">
        <v>44</v>
      </c>
      <c r="AD31" s="74" t="s">
        <v>44</v>
      </c>
      <c r="AE31" s="74" t="s">
        <v>44</v>
      </c>
      <c r="AF31" s="74" t="s">
        <v>44</v>
      </c>
      <c r="AG31" s="74" t="s">
        <v>44</v>
      </c>
      <c r="AH31" s="74" t="s">
        <v>44</v>
      </c>
      <c r="AI31" s="74" t="s">
        <v>44</v>
      </c>
      <c r="AJ31" s="74" t="s">
        <v>44</v>
      </c>
      <c r="AK31" s="74" t="s">
        <v>44</v>
      </c>
      <c r="AL31" s="74" t="s">
        <v>44</v>
      </c>
      <c r="AM31" s="74" t="s">
        <v>44</v>
      </c>
      <c r="AN31" s="74" t="s">
        <v>44</v>
      </c>
      <c r="AO31" s="74" t="s">
        <v>44</v>
      </c>
      <c r="AP31" s="74" t="s">
        <v>44</v>
      </c>
      <c r="AQ31" s="74" t="s">
        <v>44</v>
      </c>
      <c r="AR31" s="74" t="s">
        <v>44</v>
      </c>
      <c r="AS31" s="74" t="s">
        <v>44</v>
      </c>
      <c r="AT31" s="74" t="s">
        <v>44</v>
      </c>
      <c r="AU31" s="74" t="s">
        <v>44</v>
      </c>
      <c r="AV31" s="74" t="s">
        <v>44</v>
      </c>
      <c r="AW31" s="74" t="s">
        <v>44</v>
      </c>
      <c r="AX31" s="74" t="s">
        <v>44</v>
      </c>
      <c r="AY31" s="74" t="s">
        <v>44</v>
      </c>
      <c r="AZ31" s="74" t="s">
        <v>44</v>
      </c>
      <c r="BA31" s="74" t="s">
        <v>44</v>
      </c>
      <c r="BB31" s="74" t="s">
        <v>44</v>
      </c>
      <c r="BC31" s="74" t="s">
        <v>44</v>
      </c>
      <c r="BD31" s="74" t="s">
        <v>44</v>
      </c>
      <c r="BE31" s="74" t="s">
        <v>44</v>
      </c>
      <c r="BF31" s="74" t="s">
        <v>44</v>
      </c>
      <c r="BG31" s="74" t="s">
        <v>44</v>
      </c>
      <c r="BH31" s="74" t="s">
        <v>44</v>
      </c>
      <c r="BI31" s="74" t="s">
        <v>44</v>
      </c>
      <c r="BJ31" s="74" t="s">
        <v>44</v>
      </c>
      <c r="BK31" s="74" t="s">
        <v>44</v>
      </c>
      <c r="BL31" s="74" t="s">
        <v>44</v>
      </c>
      <c r="BM31" s="74" t="s">
        <v>44</v>
      </c>
      <c r="BN31" s="74" t="s">
        <v>44</v>
      </c>
      <c r="BO31" s="74" t="s">
        <v>44</v>
      </c>
      <c r="BP31" s="74" t="s">
        <v>44</v>
      </c>
      <c r="BQ31" s="74" t="s">
        <v>44</v>
      </c>
      <c r="BR31" s="74" t="s">
        <v>44</v>
      </c>
      <c r="BS31" s="74" t="s">
        <v>44</v>
      </c>
      <c r="BT31" s="74" t="s">
        <v>44</v>
      </c>
      <c r="BU31" s="74" t="s">
        <v>44</v>
      </c>
      <c r="BV31" s="74" t="s">
        <v>44</v>
      </c>
      <c r="BW31" s="74" t="s">
        <v>44</v>
      </c>
      <c r="BX31" s="74" t="s">
        <v>44</v>
      </c>
      <c r="BY31" s="74" t="s">
        <v>44</v>
      </c>
      <c r="BZ31" s="74" t="s">
        <v>44</v>
      </c>
      <c r="CA31" s="74" t="s">
        <v>44</v>
      </c>
      <c r="CB31" s="74" t="s">
        <v>44</v>
      </c>
      <c r="CC31" s="74" t="s">
        <v>44</v>
      </c>
      <c r="CD31" s="74" t="s">
        <v>44</v>
      </c>
      <c r="CE31" s="74" t="s">
        <v>44</v>
      </c>
      <c r="CF31" s="74" t="s">
        <v>44</v>
      </c>
      <c r="CG31" s="74" t="s">
        <v>44</v>
      </c>
      <c r="CH31" s="74" t="s">
        <v>44</v>
      </c>
      <c r="CI31" s="74" t="s">
        <v>44</v>
      </c>
      <c r="CJ31" s="74" t="s">
        <v>44</v>
      </c>
      <c r="CK31" s="74" t="s">
        <v>44</v>
      </c>
      <c r="CL31" s="74" t="s">
        <v>44</v>
      </c>
      <c r="CM31" s="74" t="s">
        <v>44</v>
      </c>
      <c r="CN31" s="74" t="s">
        <v>44</v>
      </c>
      <c r="CO31" s="74" t="s">
        <v>44</v>
      </c>
    </row>
    <row r="33" spans="1:1">
      <c r="A33" s="4"/>
    </row>
    <row r="34" spans="1:1">
      <c r="A34" s="3"/>
    </row>
    <row r="35" spans="1:1">
      <c r="A35" s="3"/>
    </row>
  </sheetData>
  <mergeCells count="3">
    <mergeCell ref="A29:B29"/>
    <mergeCell ref="A30:B30"/>
    <mergeCell ref="A31:B31"/>
  </mergeCells>
  <conditionalFormatting sqref="E7:CO24">
    <cfRule type="cellIs" dxfId="34" priority="5" stopIfTrue="1" operator="lessThan">
      <formula>#REF!</formula>
    </cfRule>
    <cfRule type="cellIs" dxfId="33" priority="6" operator="lessThan">
      <formula>#REF!</formula>
    </cfRule>
    <cfRule type="cellIs" dxfId="32" priority="12" stopIfTrue="1" operator="lessThan">
      <formula>#REF!</formula>
    </cfRule>
    <cfRule type="cellIs" dxfId="31" priority="13" operator="lessThan">
      <formula>#REF!</formula>
    </cfRule>
  </conditionalFormatting>
  <conditionalFormatting sqref="E10:CO24">
    <cfRule type="cellIs" dxfId="30" priority="1" stopIfTrue="1" operator="lessThan">
      <formula>#REF!</formula>
    </cfRule>
    <cfRule type="cellIs" dxfId="29" priority="3" operator="lessThan">
      <formula>#REF!</formula>
    </cfRule>
  </conditionalFormatting>
  <pageMargins left="0.7" right="0.7" top="0.75" bottom="0.75" header="0.3" footer="0.3"/>
  <pageSetup paperSize="9" orientation="portrait" r:id="rId1"/>
  <ignoredErrors>
    <ignoredError sqref="E29:CO31" numberStoredAsText="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B27DC-2D1E-4558-8B81-5DB2CE32092E}">
  <dimension ref="A1:CI35"/>
  <sheetViews>
    <sheetView showGridLines="0" workbookViewId="0">
      <pane xSplit="4" ySplit="6" topLeftCell="E7" activePane="bottomRight" state="frozen"/>
      <selection pane="bottomRight" activeCell="E7" sqref="E7"/>
      <selection pane="bottomLeft" activeCell="E1" sqref="E1:MB1048576"/>
      <selection pane="topRight" activeCell="E1" sqref="E1:MB1048576"/>
    </sheetView>
  </sheetViews>
  <sheetFormatPr defaultRowHeight="15"/>
  <cols>
    <col min="1" max="4" width="11.7109375" style="1" customWidth="1"/>
    <col min="5" max="5" width="10.5703125" style="3" customWidth="1"/>
    <col min="6" max="340" width="10.5703125" customWidth="1"/>
  </cols>
  <sheetData>
    <row r="1" spans="1:87" ht="15" customHeight="1"/>
    <row r="2" spans="1:87" ht="15" customHeight="1">
      <c r="A2" s="9"/>
      <c r="B2" s="7"/>
      <c r="C2" s="7"/>
      <c r="D2" s="7"/>
      <c r="E2" s="7"/>
    </row>
    <row r="3" spans="1:87" ht="20.45" customHeight="1">
      <c r="A3" s="9" t="str">
        <f>Voorblad!A5</f>
        <v>Team Freight Forwarding Logistics</v>
      </c>
      <c r="B3" s="8"/>
      <c r="C3" s="8"/>
      <c r="D3" s="8"/>
      <c r="E3" s="48"/>
    </row>
    <row r="4" spans="1:87" s="51" customFormat="1" ht="15.75">
      <c r="A4" s="62" t="s">
        <v>45</v>
      </c>
      <c r="B4" s="49"/>
      <c r="C4" s="50"/>
      <c r="D4" s="50"/>
      <c r="E4" s="50"/>
    </row>
    <row r="5" spans="1:87" ht="15" customHeight="1">
      <c r="A5" s="7"/>
      <c r="B5" s="7"/>
      <c r="C5" s="7"/>
      <c r="D5" s="7"/>
      <c r="E5" s="26"/>
    </row>
    <row r="6" spans="1:87" ht="15" customHeight="1">
      <c r="A6" s="63" t="s">
        <v>20</v>
      </c>
      <c r="B6" s="63" t="s">
        <v>21</v>
      </c>
      <c r="C6" s="64" t="s">
        <v>22</v>
      </c>
      <c r="D6" s="64" t="s">
        <v>23</v>
      </c>
      <c r="E6" s="2">
        <v>10</v>
      </c>
      <c r="F6" s="2">
        <v>11</v>
      </c>
      <c r="G6" s="2">
        <v>12</v>
      </c>
      <c r="H6" s="2">
        <v>13</v>
      </c>
      <c r="I6" s="2">
        <v>14</v>
      </c>
      <c r="J6" s="2">
        <v>15</v>
      </c>
      <c r="K6" s="2">
        <v>16</v>
      </c>
      <c r="L6" s="2">
        <v>17</v>
      </c>
      <c r="M6" s="2">
        <v>18</v>
      </c>
      <c r="N6" s="2">
        <v>19</v>
      </c>
      <c r="O6" s="2">
        <v>20</v>
      </c>
      <c r="P6" s="2">
        <v>21</v>
      </c>
      <c r="Q6" s="2">
        <v>22</v>
      </c>
      <c r="R6" s="2">
        <v>23</v>
      </c>
      <c r="S6" s="2">
        <v>24</v>
      </c>
      <c r="T6" s="2">
        <v>25</v>
      </c>
      <c r="U6" s="2">
        <v>26</v>
      </c>
      <c r="V6" s="2">
        <v>27</v>
      </c>
      <c r="W6" s="2">
        <v>28</v>
      </c>
      <c r="X6" s="2">
        <v>29</v>
      </c>
      <c r="Y6" s="2">
        <v>30</v>
      </c>
      <c r="Z6" s="2">
        <v>31</v>
      </c>
      <c r="AA6" s="2">
        <v>32</v>
      </c>
      <c r="AB6" s="2">
        <v>33</v>
      </c>
      <c r="AC6" s="2">
        <v>34</v>
      </c>
      <c r="AD6" s="2">
        <v>35</v>
      </c>
      <c r="AE6" s="2">
        <v>36</v>
      </c>
      <c r="AF6" s="2">
        <v>37</v>
      </c>
      <c r="AG6" s="2">
        <v>38</v>
      </c>
      <c r="AH6" s="2">
        <v>39</v>
      </c>
      <c r="AI6" s="2">
        <v>40</v>
      </c>
      <c r="AJ6" s="2">
        <v>41</v>
      </c>
      <c r="AK6" s="2">
        <v>42</v>
      </c>
      <c r="AL6" s="2">
        <v>43</v>
      </c>
      <c r="AM6" s="2">
        <v>44</v>
      </c>
      <c r="AN6" s="2">
        <v>45</v>
      </c>
      <c r="AO6" s="2">
        <v>46</v>
      </c>
      <c r="AP6" s="2">
        <v>47</v>
      </c>
      <c r="AQ6" s="2">
        <v>48</v>
      </c>
      <c r="AR6" s="2">
        <v>49</v>
      </c>
      <c r="AS6" s="2">
        <v>50</v>
      </c>
      <c r="AT6" s="2">
        <v>51</v>
      </c>
      <c r="AU6" s="2">
        <v>52</v>
      </c>
      <c r="AV6" s="2">
        <v>53</v>
      </c>
      <c r="AW6" s="2">
        <v>54</v>
      </c>
      <c r="AX6" s="2">
        <v>55</v>
      </c>
      <c r="AY6" s="2">
        <v>56</v>
      </c>
      <c r="AZ6" s="2">
        <v>57</v>
      </c>
      <c r="BA6" s="2">
        <v>60</v>
      </c>
      <c r="BB6" s="2">
        <v>61</v>
      </c>
      <c r="BC6" s="2">
        <v>62</v>
      </c>
      <c r="BD6" s="2">
        <v>63</v>
      </c>
      <c r="BE6" s="2">
        <v>64</v>
      </c>
      <c r="BF6" s="2">
        <v>65</v>
      </c>
      <c r="BG6" s="2">
        <v>66</v>
      </c>
      <c r="BH6" s="2">
        <v>67</v>
      </c>
      <c r="BI6" s="2">
        <v>68</v>
      </c>
      <c r="BJ6" s="2">
        <v>69</v>
      </c>
      <c r="BK6" s="2">
        <v>70</v>
      </c>
      <c r="BL6" s="2">
        <v>71</v>
      </c>
      <c r="BM6" s="2">
        <v>72</v>
      </c>
      <c r="BN6" s="2">
        <v>73</v>
      </c>
      <c r="BO6" s="2">
        <v>74</v>
      </c>
      <c r="BP6" s="2">
        <v>75</v>
      </c>
      <c r="BQ6" s="2">
        <v>76</v>
      </c>
      <c r="BR6" s="2">
        <v>77</v>
      </c>
      <c r="BS6" s="2">
        <v>80</v>
      </c>
      <c r="BT6" s="2">
        <v>81</v>
      </c>
      <c r="BU6" s="2">
        <v>82</v>
      </c>
      <c r="BV6" s="2">
        <v>83</v>
      </c>
      <c r="BW6" s="2">
        <v>84</v>
      </c>
      <c r="BX6" s="2">
        <v>85</v>
      </c>
      <c r="BY6" s="2">
        <v>86</v>
      </c>
      <c r="BZ6" s="2">
        <v>87</v>
      </c>
      <c r="CA6" s="2">
        <v>88</v>
      </c>
      <c r="CB6" s="2">
        <v>89</v>
      </c>
      <c r="CC6" s="2">
        <v>90</v>
      </c>
      <c r="CD6" s="2">
        <v>91</v>
      </c>
      <c r="CE6" s="2">
        <v>92</v>
      </c>
      <c r="CF6" s="2">
        <v>93</v>
      </c>
      <c r="CG6" s="2">
        <v>94</v>
      </c>
      <c r="CH6" s="2">
        <v>95</v>
      </c>
      <c r="CI6" s="2">
        <v>96</v>
      </c>
    </row>
    <row r="7" spans="1:87" ht="15" customHeight="1">
      <c r="A7" s="67">
        <v>300</v>
      </c>
      <c r="B7" s="64">
        <v>0.2</v>
      </c>
      <c r="C7" s="64">
        <v>0.5</v>
      </c>
      <c r="D7" s="64"/>
      <c r="E7" s="131">
        <v>231</v>
      </c>
      <c r="F7" s="131">
        <v>231</v>
      </c>
      <c r="G7" s="131">
        <v>250</v>
      </c>
      <c r="H7" s="131">
        <v>231</v>
      </c>
      <c r="I7" s="131">
        <v>213</v>
      </c>
      <c r="J7" s="131">
        <v>213</v>
      </c>
      <c r="K7" s="131">
        <v>213</v>
      </c>
      <c r="L7" s="131">
        <v>213</v>
      </c>
      <c r="M7" s="131">
        <v>231</v>
      </c>
      <c r="N7" s="131">
        <v>250</v>
      </c>
      <c r="O7" s="131">
        <v>193</v>
      </c>
      <c r="P7" s="131">
        <v>193</v>
      </c>
      <c r="Q7" s="131">
        <v>193</v>
      </c>
      <c r="R7" s="131">
        <v>193</v>
      </c>
      <c r="S7" s="131">
        <v>193</v>
      </c>
      <c r="T7" s="131">
        <v>193</v>
      </c>
      <c r="U7" s="131">
        <v>193</v>
      </c>
      <c r="V7" s="131">
        <v>193</v>
      </c>
      <c r="W7" s="131">
        <v>193</v>
      </c>
      <c r="X7" s="131">
        <v>193</v>
      </c>
      <c r="Y7" s="131">
        <v>193</v>
      </c>
      <c r="Z7" s="131">
        <v>193</v>
      </c>
      <c r="AA7" s="131">
        <v>193</v>
      </c>
      <c r="AB7" s="131">
        <v>193</v>
      </c>
      <c r="AC7" s="131">
        <v>193</v>
      </c>
      <c r="AD7" s="131">
        <v>193</v>
      </c>
      <c r="AE7" s="131">
        <v>213</v>
      </c>
      <c r="AF7" s="131">
        <v>213</v>
      </c>
      <c r="AG7" s="131">
        <v>213</v>
      </c>
      <c r="AH7" s="131">
        <v>287</v>
      </c>
      <c r="AI7" s="131">
        <v>157</v>
      </c>
      <c r="AJ7" s="131">
        <v>157</v>
      </c>
      <c r="AK7" s="131">
        <v>157</v>
      </c>
      <c r="AL7" s="131">
        <v>157</v>
      </c>
      <c r="AM7" s="131">
        <v>157</v>
      </c>
      <c r="AN7" s="131">
        <v>172</v>
      </c>
      <c r="AO7" s="131">
        <v>172</v>
      </c>
      <c r="AP7" s="131">
        <v>172</v>
      </c>
      <c r="AQ7" s="131">
        <v>172</v>
      </c>
      <c r="AR7" s="131">
        <v>172</v>
      </c>
      <c r="AS7" s="131">
        <v>172</v>
      </c>
      <c r="AT7" s="131">
        <v>172</v>
      </c>
      <c r="AU7" s="131">
        <v>172</v>
      </c>
      <c r="AV7" s="131">
        <v>172</v>
      </c>
      <c r="AW7" s="131">
        <v>172</v>
      </c>
      <c r="AX7" s="131">
        <v>172</v>
      </c>
      <c r="AY7" s="131">
        <v>193</v>
      </c>
      <c r="AZ7" s="131">
        <v>193</v>
      </c>
      <c r="BA7" s="131">
        <v>193</v>
      </c>
      <c r="BB7" s="131">
        <v>193</v>
      </c>
      <c r="BC7" s="131">
        <v>193</v>
      </c>
      <c r="BD7" s="131">
        <v>193</v>
      </c>
      <c r="BE7" s="131">
        <v>213</v>
      </c>
      <c r="BF7" s="131">
        <v>270</v>
      </c>
      <c r="BG7" s="131">
        <v>270</v>
      </c>
      <c r="BH7" s="131">
        <v>250</v>
      </c>
      <c r="BI7" s="131">
        <v>270</v>
      </c>
      <c r="BJ7" s="131">
        <v>270</v>
      </c>
      <c r="BK7" s="131">
        <v>231</v>
      </c>
      <c r="BL7" s="131">
        <v>287</v>
      </c>
      <c r="BM7" s="131">
        <v>250</v>
      </c>
      <c r="BN7" s="131">
        <v>250</v>
      </c>
      <c r="BO7" s="131">
        <v>287</v>
      </c>
      <c r="BP7" s="131">
        <v>287</v>
      </c>
      <c r="BQ7" s="131">
        <v>287</v>
      </c>
      <c r="BR7" s="131">
        <v>287</v>
      </c>
      <c r="BS7" s="131">
        <v>193</v>
      </c>
      <c r="BT7" s="131">
        <v>193</v>
      </c>
      <c r="BU7" s="131">
        <v>193</v>
      </c>
      <c r="BV7" s="131">
        <v>193</v>
      </c>
      <c r="BW7" s="131">
        <v>193</v>
      </c>
      <c r="BX7" s="131">
        <v>213</v>
      </c>
      <c r="BY7" s="131">
        <v>213</v>
      </c>
      <c r="BZ7" s="131">
        <v>213</v>
      </c>
      <c r="CA7" s="131">
        <v>213</v>
      </c>
      <c r="CB7" s="131">
        <v>193</v>
      </c>
      <c r="CC7" s="131">
        <v>213</v>
      </c>
      <c r="CD7" s="131">
        <v>213</v>
      </c>
      <c r="CE7" s="131">
        <v>213</v>
      </c>
      <c r="CF7" s="131">
        <v>213</v>
      </c>
      <c r="CG7" s="131">
        <v>213</v>
      </c>
      <c r="CH7" s="131">
        <v>213</v>
      </c>
      <c r="CI7" s="131">
        <v>213</v>
      </c>
    </row>
    <row r="8" spans="1:87" ht="15" customHeight="1">
      <c r="A8" s="2">
        <v>700</v>
      </c>
      <c r="B8" s="64">
        <v>0.4</v>
      </c>
      <c r="C8" s="64">
        <v>1</v>
      </c>
      <c r="D8" s="64"/>
      <c r="E8" s="131">
        <v>320</v>
      </c>
      <c r="F8" s="131">
        <v>320</v>
      </c>
      <c r="G8" s="131">
        <v>348</v>
      </c>
      <c r="H8" s="131">
        <v>320</v>
      </c>
      <c r="I8" s="131">
        <v>292</v>
      </c>
      <c r="J8" s="131">
        <v>292</v>
      </c>
      <c r="K8" s="131">
        <v>292</v>
      </c>
      <c r="L8" s="131">
        <v>292</v>
      </c>
      <c r="M8" s="131">
        <v>320</v>
      </c>
      <c r="N8" s="131">
        <v>348</v>
      </c>
      <c r="O8" s="131">
        <v>257</v>
      </c>
      <c r="P8" s="131">
        <v>257</v>
      </c>
      <c r="Q8" s="131">
        <v>257</v>
      </c>
      <c r="R8" s="131">
        <v>257</v>
      </c>
      <c r="S8" s="131">
        <v>257</v>
      </c>
      <c r="T8" s="131">
        <v>257</v>
      </c>
      <c r="U8" s="131">
        <v>257</v>
      </c>
      <c r="V8" s="131">
        <v>257</v>
      </c>
      <c r="W8" s="131">
        <v>257</v>
      </c>
      <c r="X8" s="131">
        <v>257</v>
      </c>
      <c r="Y8" s="131">
        <v>257</v>
      </c>
      <c r="Z8" s="131">
        <v>257</v>
      </c>
      <c r="AA8" s="131">
        <v>257</v>
      </c>
      <c r="AB8" s="131">
        <v>257</v>
      </c>
      <c r="AC8" s="131">
        <v>257</v>
      </c>
      <c r="AD8" s="131">
        <v>257</v>
      </c>
      <c r="AE8" s="131">
        <v>292</v>
      </c>
      <c r="AF8" s="131">
        <v>292</v>
      </c>
      <c r="AG8" s="131">
        <v>292</v>
      </c>
      <c r="AH8" s="131">
        <v>402</v>
      </c>
      <c r="AI8" s="131">
        <v>203</v>
      </c>
      <c r="AJ8" s="131">
        <v>203</v>
      </c>
      <c r="AK8" s="131">
        <v>203</v>
      </c>
      <c r="AL8" s="131">
        <v>203</v>
      </c>
      <c r="AM8" s="131">
        <v>203</v>
      </c>
      <c r="AN8" s="131">
        <v>221</v>
      </c>
      <c r="AO8" s="131">
        <v>221</v>
      </c>
      <c r="AP8" s="131">
        <v>221</v>
      </c>
      <c r="AQ8" s="131">
        <v>221</v>
      </c>
      <c r="AR8" s="131">
        <v>221</v>
      </c>
      <c r="AS8" s="131">
        <v>221</v>
      </c>
      <c r="AT8" s="131">
        <v>221</v>
      </c>
      <c r="AU8" s="131">
        <v>221</v>
      </c>
      <c r="AV8" s="131">
        <v>221</v>
      </c>
      <c r="AW8" s="131">
        <v>221</v>
      </c>
      <c r="AX8" s="131">
        <v>221</v>
      </c>
      <c r="AY8" s="131">
        <v>257</v>
      </c>
      <c r="AZ8" s="131">
        <v>257</v>
      </c>
      <c r="BA8" s="131">
        <v>257</v>
      </c>
      <c r="BB8" s="131">
        <v>257</v>
      </c>
      <c r="BC8" s="131">
        <v>257</v>
      </c>
      <c r="BD8" s="131">
        <v>257</v>
      </c>
      <c r="BE8" s="131">
        <v>292</v>
      </c>
      <c r="BF8" s="131">
        <v>379</v>
      </c>
      <c r="BG8" s="131">
        <v>379</v>
      </c>
      <c r="BH8" s="131">
        <v>348</v>
      </c>
      <c r="BI8" s="131">
        <v>379</v>
      </c>
      <c r="BJ8" s="131">
        <v>379</v>
      </c>
      <c r="BK8" s="131">
        <v>320</v>
      </c>
      <c r="BL8" s="131">
        <v>402</v>
      </c>
      <c r="BM8" s="131">
        <v>348</v>
      </c>
      <c r="BN8" s="131">
        <v>348</v>
      </c>
      <c r="BO8" s="131">
        <v>402</v>
      </c>
      <c r="BP8" s="131">
        <v>402</v>
      </c>
      <c r="BQ8" s="131">
        <v>402</v>
      </c>
      <c r="BR8" s="131">
        <v>402</v>
      </c>
      <c r="BS8" s="131">
        <v>257</v>
      </c>
      <c r="BT8" s="131">
        <v>257</v>
      </c>
      <c r="BU8" s="131">
        <v>257</v>
      </c>
      <c r="BV8" s="131">
        <v>257</v>
      </c>
      <c r="BW8" s="131">
        <v>257</v>
      </c>
      <c r="BX8" s="131">
        <v>292</v>
      </c>
      <c r="BY8" s="131">
        <v>292</v>
      </c>
      <c r="BZ8" s="131">
        <v>292</v>
      </c>
      <c r="CA8" s="131">
        <v>292</v>
      </c>
      <c r="CB8" s="131">
        <v>257</v>
      </c>
      <c r="CC8" s="131">
        <v>292</v>
      </c>
      <c r="CD8" s="131">
        <v>292</v>
      </c>
      <c r="CE8" s="131">
        <v>292</v>
      </c>
      <c r="CF8" s="131">
        <v>292</v>
      </c>
      <c r="CG8" s="131">
        <v>292</v>
      </c>
      <c r="CH8" s="131">
        <v>292</v>
      </c>
      <c r="CI8" s="131">
        <v>292</v>
      </c>
    </row>
    <row r="9" spans="1:87" ht="15" customHeight="1">
      <c r="A9" s="2">
        <v>875</v>
      </c>
      <c r="B9" s="64">
        <v>0.5</v>
      </c>
      <c r="C9" s="64"/>
      <c r="D9" s="64">
        <v>1</v>
      </c>
      <c r="E9" s="131">
        <v>411</v>
      </c>
      <c r="F9" s="131">
        <v>411</v>
      </c>
      <c r="G9" s="131">
        <v>451</v>
      </c>
      <c r="H9" s="131">
        <v>411</v>
      </c>
      <c r="I9" s="131">
        <v>374</v>
      </c>
      <c r="J9" s="131">
        <v>374</v>
      </c>
      <c r="K9" s="131">
        <v>374</v>
      </c>
      <c r="L9" s="131">
        <v>374</v>
      </c>
      <c r="M9" s="131">
        <v>411</v>
      </c>
      <c r="N9" s="131">
        <v>451</v>
      </c>
      <c r="O9" s="131">
        <v>315</v>
      </c>
      <c r="P9" s="131">
        <v>315</v>
      </c>
      <c r="Q9" s="131">
        <v>315</v>
      </c>
      <c r="R9" s="131">
        <v>315</v>
      </c>
      <c r="S9" s="131">
        <v>315</v>
      </c>
      <c r="T9" s="131">
        <v>315</v>
      </c>
      <c r="U9" s="131">
        <v>315</v>
      </c>
      <c r="V9" s="131">
        <v>315</v>
      </c>
      <c r="W9" s="131">
        <v>315</v>
      </c>
      <c r="X9" s="131">
        <v>315</v>
      </c>
      <c r="Y9" s="131">
        <v>315</v>
      </c>
      <c r="Z9" s="131">
        <v>315</v>
      </c>
      <c r="AA9" s="131">
        <v>315</v>
      </c>
      <c r="AB9" s="131">
        <v>315</v>
      </c>
      <c r="AC9" s="131">
        <v>315</v>
      </c>
      <c r="AD9" s="131">
        <v>315</v>
      </c>
      <c r="AE9" s="131">
        <v>374</v>
      </c>
      <c r="AF9" s="131">
        <v>374</v>
      </c>
      <c r="AG9" s="131">
        <v>374</v>
      </c>
      <c r="AH9" s="131">
        <v>520</v>
      </c>
      <c r="AI9" s="131">
        <v>230</v>
      </c>
      <c r="AJ9" s="131">
        <v>230</v>
      </c>
      <c r="AK9" s="131">
        <v>230</v>
      </c>
      <c r="AL9" s="131">
        <v>230</v>
      </c>
      <c r="AM9" s="131">
        <v>230</v>
      </c>
      <c r="AN9" s="131">
        <v>240</v>
      </c>
      <c r="AO9" s="131">
        <v>240</v>
      </c>
      <c r="AP9" s="131">
        <v>240</v>
      </c>
      <c r="AQ9" s="131">
        <v>240</v>
      </c>
      <c r="AR9" s="131">
        <v>240</v>
      </c>
      <c r="AS9" s="131">
        <v>240</v>
      </c>
      <c r="AT9" s="131">
        <v>240</v>
      </c>
      <c r="AU9" s="131">
        <v>240</v>
      </c>
      <c r="AV9" s="131">
        <v>240</v>
      </c>
      <c r="AW9" s="131">
        <v>240</v>
      </c>
      <c r="AX9" s="131">
        <v>240</v>
      </c>
      <c r="AY9" s="131">
        <v>315</v>
      </c>
      <c r="AZ9" s="131">
        <v>315</v>
      </c>
      <c r="BA9" s="131">
        <v>315</v>
      </c>
      <c r="BB9" s="131">
        <v>315</v>
      </c>
      <c r="BC9" s="131">
        <v>315</v>
      </c>
      <c r="BD9" s="131">
        <v>315</v>
      </c>
      <c r="BE9" s="131">
        <v>374</v>
      </c>
      <c r="BF9" s="131">
        <v>490</v>
      </c>
      <c r="BG9" s="131">
        <v>490</v>
      </c>
      <c r="BH9" s="131">
        <v>451</v>
      </c>
      <c r="BI9" s="131">
        <v>490</v>
      </c>
      <c r="BJ9" s="131">
        <v>490</v>
      </c>
      <c r="BK9" s="131">
        <v>411</v>
      </c>
      <c r="BL9" s="131">
        <v>520</v>
      </c>
      <c r="BM9" s="131">
        <v>451</v>
      </c>
      <c r="BN9" s="131">
        <v>451</v>
      </c>
      <c r="BO9" s="131">
        <v>520</v>
      </c>
      <c r="BP9" s="131">
        <v>520</v>
      </c>
      <c r="BQ9" s="131">
        <v>520</v>
      </c>
      <c r="BR9" s="131">
        <v>520</v>
      </c>
      <c r="BS9" s="131">
        <v>315</v>
      </c>
      <c r="BT9" s="131">
        <v>315</v>
      </c>
      <c r="BU9" s="131">
        <v>315</v>
      </c>
      <c r="BV9" s="131">
        <v>315</v>
      </c>
      <c r="BW9" s="131">
        <v>315</v>
      </c>
      <c r="BX9" s="131">
        <v>374</v>
      </c>
      <c r="BY9" s="131">
        <v>374</v>
      </c>
      <c r="BZ9" s="131">
        <v>374</v>
      </c>
      <c r="CA9" s="131">
        <v>374</v>
      </c>
      <c r="CB9" s="131">
        <v>315</v>
      </c>
      <c r="CC9" s="131">
        <v>374</v>
      </c>
      <c r="CD9" s="131">
        <v>374</v>
      </c>
      <c r="CE9" s="131">
        <v>374</v>
      </c>
      <c r="CF9" s="131">
        <v>374</v>
      </c>
      <c r="CG9" s="131">
        <v>374</v>
      </c>
      <c r="CH9" s="131">
        <v>374</v>
      </c>
      <c r="CI9" s="131">
        <v>374</v>
      </c>
    </row>
    <row r="10" spans="1:87" ht="15" customHeight="1">
      <c r="A10" s="2">
        <v>1050</v>
      </c>
      <c r="B10" s="64">
        <v>0.6</v>
      </c>
      <c r="C10" s="64"/>
      <c r="D10" s="64"/>
      <c r="E10" s="131">
        <v>471</v>
      </c>
      <c r="F10" s="131">
        <v>471</v>
      </c>
      <c r="G10" s="131">
        <v>513</v>
      </c>
      <c r="H10" s="131">
        <v>471</v>
      </c>
      <c r="I10" s="131">
        <v>421</v>
      </c>
      <c r="J10" s="131">
        <v>421</v>
      </c>
      <c r="K10" s="131">
        <v>421</v>
      </c>
      <c r="L10" s="131">
        <v>421</v>
      </c>
      <c r="M10" s="131">
        <v>471</v>
      </c>
      <c r="N10" s="131">
        <v>513</v>
      </c>
      <c r="O10" s="131">
        <v>350</v>
      </c>
      <c r="P10" s="131">
        <v>350</v>
      </c>
      <c r="Q10" s="131">
        <v>350</v>
      </c>
      <c r="R10" s="131">
        <v>350</v>
      </c>
      <c r="S10" s="131">
        <v>350</v>
      </c>
      <c r="T10" s="131">
        <v>350</v>
      </c>
      <c r="U10" s="131">
        <v>350</v>
      </c>
      <c r="V10" s="131">
        <v>350</v>
      </c>
      <c r="W10" s="131">
        <v>350</v>
      </c>
      <c r="X10" s="131">
        <v>350</v>
      </c>
      <c r="Y10" s="131">
        <v>350</v>
      </c>
      <c r="Z10" s="131">
        <v>350</v>
      </c>
      <c r="AA10" s="131">
        <v>350</v>
      </c>
      <c r="AB10" s="131">
        <v>350</v>
      </c>
      <c r="AC10" s="131">
        <v>350</v>
      </c>
      <c r="AD10" s="131">
        <v>350</v>
      </c>
      <c r="AE10" s="131">
        <v>421</v>
      </c>
      <c r="AF10" s="131">
        <v>421</v>
      </c>
      <c r="AG10" s="131">
        <v>421</v>
      </c>
      <c r="AH10" s="131">
        <v>591</v>
      </c>
      <c r="AI10" s="131">
        <v>265</v>
      </c>
      <c r="AJ10" s="131">
        <v>265</v>
      </c>
      <c r="AK10" s="131">
        <v>265</v>
      </c>
      <c r="AL10" s="131">
        <v>265</v>
      </c>
      <c r="AM10" s="131">
        <v>265</v>
      </c>
      <c r="AN10" s="131">
        <v>272</v>
      </c>
      <c r="AO10" s="131">
        <v>272</v>
      </c>
      <c r="AP10" s="131">
        <v>272</v>
      </c>
      <c r="AQ10" s="131">
        <v>272</v>
      </c>
      <c r="AR10" s="131">
        <v>272</v>
      </c>
      <c r="AS10" s="131">
        <v>272</v>
      </c>
      <c r="AT10" s="131">
        <v>272</v>
      </c>
      <c r="AU10" s="131">
        <v>272</v>
      </c>
      <c r="AV10" s="131">
        <v>272</v>
      </c>
      <c r="AW10" s="131">
        <v>272</v>
      </c>
      <c r="AX10" s="131">
        <v>272</v>
      </c>
      <c r="AY10" s="131">
        <v>350</v>
      </c>
      <c r="AZ10" s="131">
        <v>350</v>
      </c>
      <c r="BA10" s="131">
        <v>350</v>
      </c>
      <c r="BB10" s="131">
        <v>350</v>
      </c>
      <c r="BC10" s="131">
        <v>350</v>
      </c>
      <c r="BD10" s="131">
        <v>350</v>
      </c>
      <c r="BE10" s="131">
        <v>421</v>
      </c>
      <c r="BF10" s="131">
        <v>557</v>
      </c>
      <c r="BG10" s="131">
        <v>557</v>
      </c>
      <c r="BH10" s="131">
        <v>513</v>
      </c>
      <c r="BI10" s="131">
        <v>557</v>
      </c>
      <c r="BJ10" s="131">
        <v>557</v>
      </c>
      <c r="BK10" s="131">
        <v>471</v>
      </c>
      <c r="BL10" s="131">
        <v>591</v>
      </c>
      <c r="BM10" s="131">
        <v>513</v>
      </c>
      <c r="BN10" s="131">
        <v>513</v>
      </c>
      <c r="BO10" s="131">
        <v>591</v>
      </c>
      <c r="BP10" s="131">
        <v>591</v>
      </c>
      <c r="BQ10" s="131">
        <v>591</v>
      </c>
      <c r="BR10" s="131">
        <v>591</v>
      </c>
      <c r="BS10" s="131">
        <v>350</v>
      </c>
      <c r="BT10" s="131">
        <v>350</v>
      </c>
      <c r="BU10" s="131">
        <v>350</v>
      </c>
      <c r="BV10" s="131">
        <v>350</v>
      </c>
      <c r="BW10" s="131">
        <v>350</v>
      </c>
      <c r="BX10" s="131">
        <v>421</v>
      </c>
      <c r="BY10" s="131">
        <v>421</v>
      </c>
      <c r="BZ10" s="131">
        <v>421</v>
      </c>
      <c r="CA10" s="131">
        <v>421</v>
      </c>
      <c r="CB10" s="131">
        <v>350</v>
      </c>
      <c r="CC10" s="131">
        <v>421</v>
      </c>
      <c r="CD10" s="131">
        <v>421</v>
      </c>
      <c r="CE10" s="131">
        <v>421</v>
      </c>
      <c r="CF10" s="131">
        <v>421</v>
      </c>
      <c r="CG10" s="131">
        <v>421</v>
      </c>
      <c r="CH10" s="131">
        <v>421</v>
      </c>
      <c r="CI10" s="131">
        <v>421</v>
      </c>
    </row>
    <row r="11" spans="1:87" ht="15" customHeight="1">
      <c r="A11" s="2">
        <v>1400</v>
      </c>
      <c r="B11" s="64">
        <v>0.8</v>
      </c>
      <c r="C11" s="64">
        <v>2</v>
      </c>
      <c r="D11" s="64"/>
      <c r="E11" s="131">
        <v>531</v>
      </c>
      <c r="F11" s="131">
        <v>531</v>
      </c>
      <c r="G11" s="131">
        <v>576</v>
      </c>
      <c r="H11" s="131">
        <v>531</v>
      </c>
      <c r="I11" s="131">
        <v>468</v>
      </c>
      <c r="J11" s="131">
        <v>468</v>
      </c>
      <c r="K11" s="131">
        <v>468</v>
      </c>
      <c r="L11" s="131">
        <v>468</v>
      </c>
      <c r="M11" s="131">
        <v>531</v>
      </c>
      <c r="N11" s="131">
        <v>576</v>
      </c>
      <c r="O11" s="131">
        <v>380</v>
      </c>
      <c r="P11" s="131">
        <v>380</v>
      </c>
      <c r="Q11" s="131">
        <v>380</v>
      </c>
      <c r="R11" s="131">
        <v>380</v>
      </c>
      <c r="S11" s="131">
        <v>380</v>
      </c>
      <c r="T11" s="131">
        <v>380</v>
      </c>
      <c r="U11" s="131">
        <v>380</v>
      </c>
      <c r="V11" s="131">
        <v>380</v>
      </c>
      <c r="W11" s="131">
        <v>380</v>
      </c>
      <c r="X11" s="131">
        <v>380</v>
      </c>
      <c r="Y11" s="131">
        <v>380</v>
      </c>
      <c r="Z11" s="131">
        <v>380</v>
      </c>
      <c r="AA11" s="131">
        <v>380</v>
      </c>
      <c r="AB11" s="131">
        <v>380</v>
      </c>
      <c r="AC11" s="131">
        <v>380</v>
      </c>
      <c r="AD11" s="131">
        <v>380</v>
      </c>
      <c r="AE11" s="131">
        <v>468</v>
      </c>
      <c r="AF11" s="131">
        <v>468</v>
      </c>
      <c r="AG11" s="131">
        <v>468</v>
      </c>
      <c r="AH11" s="131">
        <v>665</v>
      </c>
      <c r="AI11" s="131">
        <v>297</v>
      </c>
      <c r="AJ11" s="131">
        <v>297</v>
      </c>
      <c r="AK11" s="131">
        <v>297</v>
      </c>
      <c r="AL11" s="131">
        <v>297</v>
      </c>
      <c r="AM11" s="131">
        <v>297</v>
      </c>
      <c r="AN11" s="131">
        <v>306</v>
      </c>
      <c r="AO11" s="131">
        <v>306</v>
      </c>
      <c r="AP11" s="131">
        <v>306</v>
      </c>
      <c r="AQ11" s="131">
        <v>306</v>
      </c>
      <c r="AR11" s="131">
        <v>306</v>
      </c>
      <c r="AS11" s="131">
        <v>306</v>
      </c>
      <c r="AT11" s="131">
        <v>306</v>
      </c>
      <c r="AU11" s="131">
        <v>306</v>
      </c>
      <c r="AV11" s="131">
        <v>306</v>
      </c>
      <c r="AW11" s="131">
        <v>306</v>
      </c>
      <c r="AX11" s="131">
        <v>306</v>
      </c>
      <c r="AY11" s="131">
        <v>380</v>
      </c>
      <c r="AZ11" s="131">
        <v>380</v>
      </c>
      <c r="BA11" s="131">
        <v>380</v>
      </c>
      <c r="BB11" s="131">
        <v>380</v>
      </c>
      <c r="BC11" s="131">
        <v>380</v>
      </c>
      <c r="BD11" s="131">
        <v>380</v>
      </c>
      <c r="BE11" s="131">
        <v>468</v>
      </c>
      <c r="BF11" s="131">
        <v>626</v>
      </c>
      <c r="BG11" s="131">
        <v>626</v>
      </c>
      <c r="BH11" s="131">
        <v>576</v>
      </c>
      <c r="BI11" s="131">
        <v>626</v>
      </c>
      <c r="BJ11" s="131">
        <v>626</v>
      </c>
      <c r="BK11" s="131">
        <v>531</v>
      </c>
      <c r="BL11" s="131">
        <v>665</v>
      </c>
      <c r="BM11" s="131">
        <v>576</v>
      </c>
      <c r="BN11" s="131">
        <v>576</v>
      </c>
      <c r="BO11" s="131">
        <v>665</v>
      </c>
      <c r="BP11" s="131">
        <v>665</v>
      </c>
      <c r="BQ11" s="131">
        <v>665</v>
      </c>
      <c r="BR11" s="131">
        <v>665</v>
      </c>
      <c r="BS11" s="131">
        <v>380</v>
      </c>
      <c r="BT11" s="131">
        <v>380</v>
      </c>
      <c r="BU11" s="131">
        <v>380</v>
      </c>
      <c r="BV11" s="131">
        <v>380</v>
      </c>
      <c r="BW11" s="131">
        <v>380</v>
      </c>
      <c r="BX11" s="131">
        <v>468</v>
      </c>
      <c r="BY11" s="131">
        <v>468</v>
      </c>
      <c r="BZ11" s="131">
        <v>468</v>
      </c>
      <c r="CA11" s="131">
        <v>468</v>
      </c>
      <c r="CB11" s="131">
        <v>380</v>
      </c>
      <c r="CC11" s="131">
        <v>468</v>
      </c>
      <c r="CD11" s="131">
        <v>468</v>
      </c>
      <c r="CE11" s="131">
        <v>468</v>
      </c>
      <c r="CF11" s="131">
        <v>468</v>
      </c>
      <c r="CG11" s="131">
        <v>468</v>
      </c>
      <c r="CH11" s="131">
        <v>468</v>
      </c>
      <c r="CI11" s="131">
        <v>468</v>
      </c>
    </row>
    <row r="12" spans="1:87" ht="15" customHeight="1">
      <c r="A12" s="2">
        <v>1750</v>
      </c>
      <c r="B12" s="64">
        <v>1</v>
      </c>
      <c r="C12" s="64"/>
      <c r="D12" s="64">
        <v>2</v>
      </c>
      <c r="E12" s="131">
        <v>568</v>
      </c>
      <c r="F12" s="131">
        <v>568</v>
      </c>
      <c r="G12" s="131">
        <v>613</v>
      </c>
      <c r="H12" s="131">
        <v>568</v>
      </c>
      <c r="I12" s="131">
        <v>504</v>
      </c>
      <c r="J12" s="131">
        <v>504</v>
      </c>
      <c r="K12" s="131">
        <v>504</v>
      </c>
      <c r="L12" s="131">
        <v>504</v>
      </c>
      <c r="M12" s="131">
        <v>568</v>
      </c>
      <c r="N12" s="131">
        <v>613</v>
      </c>
      <c r="O12" s="131">
        <v>416</v>
      </c>
      <c r="P12" s="131">
        <v>416</v>
      </c>
      <c r="Q12" s="131">
        <v>416</v>
      </c>
      <c r="R12" s="131">
        <v>416</v>
      </c>
      <c r="S12" s="131">
        <v>416</v>
      </c>
      <c r="T12" s="131">
        <v>416</v>
      </c>
      <c r="U12" s="131">
        <v>416</v>
      </c>
      <c r="V12" s="131">
        <v>416</v>
      </c>
      <c r="W12" s="131">
        <v>416</v>
      </c>
      <c r="X12" s="131">
        <v>416</v>
      </c>
      <c r="Y12" s="131">
        <v>416</v>
      </c>
      <c r="Z12" s="131">
        <v>416</v>
      </c>
      <c r="AA12" s="131">
        <v>416</v>
      </c>
      <c r="AB12" s="131">
        <v>416</v>
      </c>
      <c r="AC12" s="131">
        <v>416</v>
      </c>
      <c r="AD12" s="131">
        <v>416</v>
      </c>
      <c r="AE12" s="131">
        <v>504</v>
      </c>
      <c r="AF12" s="131">
        <v>504</v>
      </c>
      <c r="AG12" s="131">
        <v>504</v>
      </c>
      <c r="AH12" s="131">
        <v>701</v>
      </c>
      <c r="AI12" s="131">
        <v>333</v>
      </c>
      <c r="AJ12" s="131">
        <v>333</v>
      </c>
      <c r="AK12" s="131">
        <v>333</v>
      </c>
      <c r="AL12" s="131">
        <v>333</v>
      </c>
      <c r="AM12" s="131">
        <v>333</v>
      </c>
      <c r="AN12" s="131">
        <v>340</v>
      </c>
      <c r="AO12" s="131">
        <v>340</v>
      </c>
      <c r="AP12" s="131">
        <v>340</v>
      </c>
      <c r="AQ12" s="131">
        <v>340</v>
      </c>
      <c r="AR12" s="131">
        <v>340</v>
      </c>
      <c r="AS12" s="131">
        <v>340</v>
      </c>
      <c r="AT12" s="131">
        <v>340</v>
      </c>
      <c r="AU12" s="131">
        <v>340</v>
      </c>
      <c r="AV12" s="131">
        <v>340</v>
      </c>
      <c r="AW12" s="131">
        <v>340</v>
      </c>
      <c r="AX12" s="131">
        <v>340</v>
      </c>
      <c r="AY12" s="131">
        <v>416</v>
      </c>
      <c r="AZ12" s="131">
        <v>416</v>
      </c>
      <c r="BA12" s="131">
        <v>416</v>
      </c>
      <c r="BB12" s="131">
        <v>416</v>
      </c>
      <c r="BC12" s="131">
        <v>416</v>
      </c>
      <c r="BD12" s="131">
        <v>416</v>
      </c>
      <c r="BE12" s="131">
        <v>504</v>
      </c>
      <c r="BF12" s="131">
        <v>663</v>
      </c>
      <c r="BG12" s="131">
        <v>663</v>
      </c>
      <c r="BH12" s="131">
        <v>613</v>
      </c>
      <c r="BI12" s="131">
        <v>663</v>
      </c>
      <c r="BJ12" s="131">
        <v>663</v>
      </c>
      <c r="BK12" s="131">
        <v>568</v>
      </c>
      <c r="BL12" s="131">
        <v>701</v>
      </c>
      <c r="BM12" s="131">
        <v>613</v>
      </c>
      <c r="BN12" s="131">
        <v>613</v>
      </c>
      <c r="BO12" s="131">
        <v>701</v>
      </c>
      <c r="BP12" s="131">
        <v>701</v>
      </c>
      <c r="BQ12" s="131">
        <v>701</v>
      </c>
      <c r="BR12" s="131">
        <v>701</v>
      </c>
      <c r="BS12" s="131">
        <v>416</v>
      </c>
      <c r="BT12" s="131">
        <v>416</v>
      </c>
      <c r="BU12" s="131">
        <v>416</v>
      </c>
      <c r="BV12" s="131">
        <v>416</v>
      </c>
      <c r="BW12" s="131">
        <v>416</v>
      </c>
      <c r="BX12" s="131">
        <v>504</v>
      </c>
      <c r="BY12" s="131">
        <v>504</v>
      </c>
      <c r="BZ12" s="131">
        <v>504</v>
      </c>
      <c r="CA12" s="131">
        <v>504</v>
      </c>
      <c r="CB12" s="131">
        <v>416</v>
      </c>
      <c r="CC12" s="131">
        <v>504</v>
      </c>
      <c r="CD12" s="131">
        <v>504</v>
      </c>
      <c r="CE12" s="131">
        <v>504</v>
      </c>
      <c r="CF12" s="131">
        <v>504</v>
      </c>
      <c r="CG12" s="131">
        <v>504</v>
      </c>
      <c r="CH12" s="131">
        <v>504</v>
      </c>
      <c r="CI12" s="131">
        <v>504</v>
      </c>
    </row>
    <row r="13" spans="1:87" ht="15" customHeight="1">
      <c r="A13" s="2">
        <v>2100</v>
      </c>
      <c r="B13" s="64">
        <v>1.2</v>
      </c>
      <c r="C13" s="64">
        <v>3</v>
      </c>
      <c r="D13" s="64"/>
      <c r="E13" s="131">
        <v>648</v>
      </c>
      <c r="F13" s="131">
        <v>648</v>
      </c>
      <c r="G13" s="131">
        <v>643</v>
      </c>
      <c r="H13" s="131">
        <v>648</v>
      </c>
      <c r="I13" s="131">
        <v>533</v>
      </c>
      <c r="J13" s="131">
        <v>533</v>
      </c>
      <c r="K13" s="131">
        <v>533</v>
      </c>
      <c r="L13" s="131">
        <v>533</v>
      </c>
      <c r="M13" s="131">
        <v>648</v>
      </c>
      <c r="N13" s="131">
        <v>643</v>
      </c>
      <c r="O13" s="131">
        <v>448</v>
      </c>
      <c r="P13" s="131">
        <v>448</v>
      </c>
      <c r="Q13" s="131">
        <v>448</v>
      </c>
      <c r="R13" s="131">
        <v>448</v>
      </c>
      <c r="S13" s="131">
        <v>448</v>
      </c>
      <c r="T13" s="131">
        <v>448</v>
      </c>
      <c r="U13" s="131">
        <v>448</v>
      </c>
      <c r="V13" s="131">
        <v>448</v>
      </c>
      <c r="W13" s="131">
        <v>448</v>
      </c>
      <c r="X13" s="131">
        <v>448</v>
      </c>
      <c r="Y13" s="131">
        <v>448</v>
      </c>
      <c r="Z13" s="131">
        <v>448</v>
      </c>
      <c r="AA13" s="131">
        <v>448</v>
      </c>
      <c r="AB13" s="131">
        <v>448</v>
      </c>
      <c r="AC13" s="131">
        <v>448</v>
      </c>
      <c r="AD13" s="131">
        <v>448</v>
      </c>
      <c r="AE13" s="131">
        <v>533</v>
      </c>
      <c r="AF13" s="131">
        <v>533</v>
      </c>
      <c r="AG13" s="131">
        <v>533</v>
      </c>
      <c r="AH13" s="131">
        <v>727</v>
      </c>
      <c r="AI13" s="131">
        <v>364</v>
      </c>
      <c r="AJ13" s="131">
        <v>364</v>
      </c>
      <c r="AK13" s="131">
        <v>364</v>
      </c>
      <c r="AL13" s="131">
        <v>364</v>
      </c>
      <c r="AM13" s="131">
        <v>364</v>
      </c>
      <c r="AN13" s="131">
        <v>370</v>
      </c>
      <c r="AO13" s="131">
        <v>370</v>
      </c>
      <c r="AP13" s="131">
        <v>370</v>
      </c>
      <c r="AQ13" s="131">
        <v>370</v>
      </c>
      <c r="AR13" s="131">
        <v>370</v>
      </c>
      <c r="AS13" s="131">
        <v>370</v>
      </c>
      <c r="AT13" s="131">
        <v>370</v>
      </c>
      <c r="AU13" s="131">
        <v>370</v>
      </c>
      <c r="AV13" s="131">
        <v>370</v>
      </c>
      <c r="AW13" s="131">
        <v>370</v>
      </c>
      <c r="AX13" s="131">
        <v>370</v>
      </c>
      <c r="AY13" s="131">
        <v>448</v>
      </c>
      <c r="AZ13" s="131">
        <v>448</v>
      </c>
      <c r="BA13" s="131">
        <v>448</v>
      </c>
      <c r="BB13" s="131">
        <v>448</v>
      </c>
      <c r="BC13" s="131">
        <v>448</v>
      </c>
      <c r="BD13" s="131">
        <v>448</v>
      </c>
      <c r="BE13" s="131">
        <v>533</v>
      </c>
      <c r="BF13" s="131">
        <v>690</v>
      </c>
      <c r="BG13" s="131">
        <v>690</v>
      </c>
      <c r="BH13" s="131">
        <v>643</v>
      </c>
      <c r="BI13" s="131">
        <v>690</v>
      </c>
      <c r="BJ13" s="131">
        <v>690</v>
      </c>
      <c r="BK13" s="131">
        <v>648</v>
      </c>
      <c r="BL13" s="131">
        <v>727</v>
      </c>
      <c r="BM13" s="131">
        <v>643</v>
      </c>
      <c r="BN13" s="131">
        <v>643</v>
      </c>
      <c r="BO13" s="131">
        <v>727</v>
      </c>
      <c r="BP13" s="131">
        <v>727</v>
      </c>
      <c r="BQ13" s="131">
        <v>727</v>
      </c>
      <c r="BR13" s="131">
        <v>727</v>
      </c>
      <c r="BS13" s="131">
        <v>448</v>
      </c>
      <c r="BT13" s="131">
        <v>448</v>
      </c>
      <c r="BU13" s="131">
        <v>448</v>
      </c>
      <c r="BV13" s="131">
        <v>448</v>
      </c>
      <c r="BW13" s="131">
        <v>448</v>
      </c>
      <c r="BX13" s="131">
        <v>533</v>
      </c>
      <c r="BY13" s="131">
        <v>533</v>
      </c>
      <c r="BZ13" s="131">
        <v>533</v>
      </c>
      <c r="CA13" s="131">
        <v>533</v>
      </c>
      <c r="CB13" s="131">
        <v>448</v>
      </c>
      <c r="CC13" s="131">
        <v>533</v>
      </c>
      <c r="CD13" s="131">
        <v>533</v>
      </c>
      <c r="CE13" s="131">
        <v>533</v>
      </c>
      <c r="CF13" s="131">
        <v>533</v>
      </c>
      <c r="CG13" s="131">
        <v>533</v>
      </c>
      <c r="CH13" s="131">
        <v>533</v>
      </c>
      <c r="CI13" s="131">
        <v>533</v>
      </c>
    </row>
    <row r="14" spans="1:87" ht="15" customHeight="1">
      <c r="A14" s="2">
        <v>2625</v>
      </c>
      <c r="B14" s="64">
        <v>1.5</v>
      </c>
      <c r="C14" s="64"/>
      <c r="D14" s="64">
        <v>3</v>
      </c>
      <c r="E14" s="131">
        <v>696</v>
      </c>
      <c r="F14" s="131">
        <v>696</v>
      </c>
      <c r="G14" s="131">
        <v>693</v>
      </c>
      <c r="H14" s="131">
        <v>696</v>
      </c>
      <c r="I14" s="131">
        <v>584</v>
      </c>
      <c r="J14" s="131">
        <v>584</v>
      </c>
      <c r="K14" s="131">
        <v>584</v>
      </c>
      <c r="L14" s="131">
        <v>584</v>
      </c>
      <c r="M14" s="131">
        <v>696</v>
      </c>
      <c r="N14" s="131">
        <v>693</v>
      </c>
      <c r="O14" s="131">
        <v>497</v>
      </c>
      <c r="P14" s="131">
        <v>497</v>
      </c>
      <c r="Q14" s="131">
        <v>497</v>
      </c>
      <c r="R14" s="131">
        <v>497</v>
      </c>
      <c r="S14" s="131">
        <v>497</v>
      </c>
      <c r="T14" s="131">
        <v>497</v>
      </c>
      <c r="U14" s="131">
        <v>497</v>
      </c>
      <c r="V14" s="131">
        <v>497</v>
      </c>
      <c r="W14" s="131">
        <v>497</v>
      </c>
      <c r="X14" s="131">
        <v>497</v>
      </c>
      <c r="Y14" s="131">
        <v>497</v>
      </c>
      <c r="Z14" s="131">
        <v>497</v>
      </c>
      <c r="AA14" s="131">
        <v>497</v>
      </c>
      <c r="AB14" s="131">
        <v>497</v>
      </c>
      <c r="AC14" s="131">
        <v>497</v>
      </c>
      <c r="AD14" s="131">
        <v>497</v>
      </c>
      <c r="AE14" s="131">
        <v>584</v>
      </c>
      <c r="AF14" s="131">
        <v>584</v>
      </c>
      <c r="AG14" s="131">
        <v>584</v>
      </c>
      <c r="AH14" s="131">
        <v>768</v>
      </c>
      <c r="AI14" s="131">
        <v>414</v>
      </c>
      <c r="AJ14" s="131">
        <v>414</v>
      </c>
      <c r="AK14" s="131">
        <v>414</v>
      </c>
      <c r="AL14" s="131">
        <v>414</v>
      </c>
      <c r="AM14" s="131">
        <v>414</v>
      </c>
      <c r="AN14" s="131">
        <v>422</v>
      </c>
      <c r="AO14" s="131">
        <v>422</v>
      </c>
      <c r="AP14" s="131">
        <v>422</v>
      </c>
      <c r="AQ14" s="131">
        <v>422</v>
      </c>
      <c r="AR14" s="131">
        <v>422</v>
      </c>
      <c r="AS14" s="131">
        <v>422</v>
      </c>
      <c r="AT14" s="131">
        <v>422</v>
      </c>
      <c r="AU14" s="131">
        <v>422</v>
      </c>
      <c r="AV14" s="131">
        <v>422</v>
      </c>
      <c r="AW14" s="131">
        <v>422</v>
      </c>
      <c r="AX14" s="131">
        <v>422</v>
      </c>
      <c r="AY14" s="131">
        <v>497</v>
      </c>
      <c r="AZ14" s="131">
        <v>497</v>
      </c>
      <c r="BA14" s="131">
        <v>497</v>
      </c>
      <c r="BB14" s="131">
        <v>497</v>
      </c>
      <c r="BC14" s="131">
        <v>497</v>
      </c>
      <c r="BD14" s="131">
        <v>497</v>
      </c>
      <c r="BE14" s="131">
        <v>584</v>
      </c>
      <c r="BF14" s="131">
        <v>734</v>
      </c>
      <c r="BG14" s="131">
        <v>734</v>
      </c>
      <c r="BH14" s="131">
        <v>693</v>
      </c>
      <c r="BI14" s="131">
        <v>734</v>
      </c>
      <c r="BJ14" s="131">
        <v>734</v>
      </c>
      <c r="BK14" s="131">
        <v>696</v>
      </c>
      <c r="BL14" s="131">
        <v>768</v>
      </c>
      <c r="BM14" s="131">
        <v>693</v>
      </c>
      <c r="BN14" s="131">
        <v>693</v>
      </c>
      <c r="BO14" s="131">
        <v>768</v>
      </c>
      <c r="BP14" s="131">
        <v>768</v>
      </c>
      <c r="BQ14" s="131">
        <v>768</v>
      </c>
      <c r="BR14" s="131">
        <v>768</v>
      </c>
      <c r="BS14" s="131">
        <v>497</v>
      </c>
      <c r="BT14" s="131">
        <v>497</v>
      </c>
      <c r="BU14" s="131">
        <v>497</v>
      </c>
      <c r="BV14" s="131">
        <v>497</v>
      </c>
      <c r="BW14" s="131">
        <v>497</v>
      </c>
      <c r="BX14" s="131">
        <v>584</v>
      </c>
      <c r="BY14" s="131">
        <v>584</v>
      </c>
      <c r="BZ14" s="131">
        <v>584</v>
      </c>
      <c r="CA14" s="131">
        <v>584</v>
      </c>
      <c r="CB14" s="131">
        <v>497</v>
      </c>
      <c r="CC14" s="131">
        <v>584</v>
      </c>
      <c r="CD14" s="131">
        <v>584</v>
      </c>
      <c r="CE14" s="131">
        <v>584</v>
      </c>
      <c r="CF14" s="131">
        <v>584</v>
      </c>
      <c r="CG14" s="131">
        <v>584</v>
      </c>
      <c r="CH14" s="131">
        <v>584</v>
      </c>
      <c r="CI14" s="131">
        <v>584</v>
      </c>
    </row>
    <row r="15" spans="1:87" ht="15" customHeight="1">
      <c r="A15" s="2">
        <v>2800</v>
      </c>
      <c r="B15" s="64">
        <v>1.6</v>
      </c>
      <c r="C15" s="64">
        <v>4</v>
      </c>
      <c r="D15" s="64"/>
      <c r="E15" s="131">
        <v>722</v>
      </c>
      <c r="F15" s="131">
        <v>722</v>
      </c>
      <c r="G15" s="131">
        <v>707</v>
      </c>
      <c r="H15" s="131">
        <v>722</v>
      </c>
      <c r="I15" s="131">
        <v>608</v>
      </c>
      <c r="J15" s="131">
        <v>608</v>
      </c>
      <c r="K15" s="131">
        <v>608</v>
      </c>
      <c r="L15" s="131">
        <v>608</v>
      </c>
      <c r="M15" s="131">
        <v>722</v>
      </c>
      <c r="N15" s="131">
        <v>707</v>
      </c>
      <c r="O15" s="131">
        <v>524</v>
      </c>
      <c r="P15" s="131">
        <v>524</v>
      </c>
      <c r="Q15" s="131">
        <v>524</v>
      </c>
      <c r="R15" s="131">
        <v>524</v>
      </c>
      <c r="S15" s="131">
        <v>524</v>
      </c>
      <c r="T15" s="131">
        <v>524</v>
      </c>
      <c r="U15" s="131">
        <v>524</v>
      </c>
      <c r="V15" s="131">
        <v>524</v>
      </c>
      <c r="W15" s="131">
        <v>524</v>
      </c>
      <c r="X15" s="131">
        <v>524</v>
      </c>
      <c r="Y15" s="131">
        <v>524</v>
      </c>
      <c r="Z15" s="131">
        <v>524</v>
      </c>
      <c r="AA15" s="131">
        <v>524</v>
      </c>
      <c r="AB15" s="131">
        <v>524</v>
      </c>
      <c r="AC15" s="131">
        <v>524</v>
      </c>
      <c r="AD15" s="131">
        <v>524</v>
      </c>
      <c r="AE15" s="131">
        <v>608</v>
      </c>
      <c r="AF15" s="131">
        <v>608</v>
      </c>
      <c r="AG15" s="131">
        <v>608</v>
      </c>
      <c r="AH15" s="131">
        <v>781</v>
      </c>
      <c r="AI15" s="131">
        <v>437</v>
      </c>
      <c r="AJ15" s="131">
        <v>437</v>
      </c>
      <c r="AK15" s="131">
        <v>437</v>
      </c>
      <c r="AL15" s="131">
        <v>437</v>
      </c>
      <c r="AM15" s="131">
        <v>437</v>
      </c>
      <c r="AN15" s="131">
        <v>447</v>
      </c>
      <c r="AO15" s="131">
        <v>447</v>
      </c>
      <c r="AP15" s="131">
        <v>447</v>
      </c>
      <c r="AQ15" s="131">
        <v>447</v>
      </c>
      <c r="AR15" s="131">
        <v>447</v>
      </c>
      <c r="AS15" s="131">
        <v>447</v>
      </c>
      <c r="AT15" s="131">
        <v>447</v>
      </c>
      <c r="AU15" s="131">
        <v>447</v>
      </c>
      <c r="AV15" s="131">
        <v>447</v>
      </c>
      <c r="AW15" s="131">
        <v>447</v>
      </c>
      <c r="AX15" s="131">
        <v>447</v>
      </c>
      <c r="AY15" s="131">
        <v>524</v>
      </c>
      <c r="AZ15" s="131">
        <v>524</v>
      </c>
      <c r="BA15" s="131">
        <v>524</v>
      </c>
      <c r="BB15" s="131">
        <v>524</v>
      </c>
      <c r="BC15" s="131">
        <v>524</v>
      </c>
      <c r="BD15" s="131">
        <v>524</v>
      </c>
      <c r="BE15" s="131">
        <v>608</v>
      </c>
      <c r="BF15" s="131">
        <v>748</v>
      </c>
      <c r="BG15" s="131">
        <v>748</v>
      </c>
      <c r="BH15" s="131">
        <v>707</v>
      </c>
      <c r="BI15" s="131">
        <v>748</v>
      </c>
      <c r="BJ15" s="131">
        <v>748</v>
      </c>
      <c r="BK15" s="131">
        <v>722</v>
      </c>
      <c r="BL15" s="131">
        <v>781</v>
      </c>
      <c r="BM15" s="131">
        <v>707</v>
      </c>
      <c r="BN15" s="131">
        <v>707</v>
      </c>
      <c r="BO15" s="131">
        <v>781</v>
      </c>
      <c r="BP15" s="131">
        <v>781</v>
      </c>
      <c r="BQ15" s="131">
        <v>781</v>
      </c>
      <c r="BR15" s="131">
        <v>781</v>
      </c>
      <c r="BS15" s="131">
        <v>524</v>
      </c>
      <c r="BT15" s="131">
        <v>524</v>
      </c>
      <c r="BU15" s="131">
        <v>524</v>
      </c>
      <c r="BV15" s="131">
        <v>524</v>
      </c>
      <c r="BW15" s="131">
        <v>524</v>
      </c>
      <c r="BX15" s="131">
        <v>608</v>
      </c>
      <c r="BY15" s="131">
        <v>608</v>
      </c>
      <c r="BZ15" s="131">
        <v>608</v>
      </c>
      <c r="CA15" s="131">
        <v>608</v>
      </c>
      <c r="CB15" s="131">
        <v>524</v>
      </c>
      <c r="CC15" s="131">
        <v>608</v>
      </c>
      <c r="CD15" s="131">
        <v>608</v>
      </c>
      <c r="CE15" s="131">
        <v>608</v>
      </c>
      <c r="CF15" s="131">
        <v>608</v>
      </c>
      <c r="CG15" s="131">
        <v>608</v>
      </c>
      <c r="CH15" s="131">
        <v>608</v>
      </c>
      <c r="CI15" s="131">
        <v>608</v>
      </c>
    </row>
    <row r="16" spans="1:87" ht="15" customHeight="1">
      <c r="A16" s="2">
        <v>3500</v>
      </c>
      <c r="B16" s="64">
        <v>2</v>
      </c>
      <c r="C16" s="64">
        <v>5</v>
      </c>
      <c r="D16" s="64">
        <v>4</v>
      </c>
      <c r="E16" s="131">
        <v>761</v>
      </c>
      <c r="F16" s="131">
        <v>761</v>
      </c>
      <c r="G16" s="131">
        <v>772</v>
      </c>
      <c r="H16" s="131">
        <v>761</v>
      </c>
      <c r="I16" s="131">
        <v>649</v>
      </c>
      <c r="J16" s="131">
        <v>649</v>
      </c>
      <c r="K16" s="131">
        <v>649</v>
      </c>
      <c r="L16" s="131">
        <v>649</v>
      </c>
      <c r="M16" s="131">
        <v>761</v>
      </c>
      <c r="N16" s="131">
        <v>772</v>
      </c>
      <c r="O16" s="131">
        <v>564</v>
      </c>
      <c r="P16" s="131">
        <v>564</v>
      </c>
      <c r="Q16" s="131">
        <v>564</v>
      </c>
      <c r="R16" s="131">
        <v>564</v>
      </c>
      <c r="S16" s="131">
        <v>564</v>
      </c>
      <c r="T16" s="131">
        <v>564</v>
      </c>
      <c r="U16" s="131">
        <v>564</v>
      </c>
      <c r="V16" s="131">
        <v>564</v>
      </c>
      <c r="W16" s="131">
        <v>564</v>
      </c>
      <c r="X16" s="131">
        <v>564</v>
      </c>
      <c r="Y16" s="131">
        <v>564</v>
      </c>
      <c r="Z16" s="131">
        <v>564</v>
      </c>
      <c r="AA16" s="131">
        <v>564</v>
      </c>
      <c r="AB16" s="131">
        <v>564</v>
      </c>
      <c r="AC16" s="131">
        <v>564</v>
      </c>
      <c r="AD16" s="131">
        <v>564</v>
      </c>
      <c r="AE16" s="131">
        <v>649</v>
      </c>
      <c r="AF16" s="131">
        <v>649</v>
      </c>
      <c r="AG16" s="131">
        <v>649</v>
      </c>
      <c r="AH16" s="131">
        <v>834</v>
      </c>
      <c r="AI16" s="131">
        <v>479</v>
      </c>
      <c r="AJ16" s="131">
        <v>479</v>
      </c>
      <c r="AK16" s="131">
        <v>479</v>
      </c>
      <c r="AL16" s="131">
        <v>479</v>
      </c>
      <c r="AM16" s="131">
        <v>479</v>
      </c>
      <c r="AN16" s="131">
        <v>486</v>
      </c>
      <c r="AO16" s="131">
        <v>486</v>
      </c>
      <c r="AP16" s="131">
        <v>486</v>
      </c>
      <c r="AQ16" s="131">
        <v>486</v>
      </c>
      <c r="AR16" s="131">
        <v>486</v>
      </c>
      <c r="AS16" s="131">
        <v>486</v>
      </c>
      <c r="AT16" s="131">
        <v>486</v>
      </c>
      <c r="AU16" s="131">
        <v>486</v>
      </c>
      <c r="AV16" s="131">
        <v>486</v>
      </c>
      <c r="AW16" s="131">
        <v>486</v>
      </c>
      <c r="AX16" s="131">
        <v>486</v>
      </c>
      <c r="AY16" s="131">
        <v>564</v>
      </c>
      <c r="AZ16" s="131">
        <v>564</v>
      </c>
      <c r="BA16" s="131">
        <v>564</v>
      </c>
      <c r="BB16" s="131">
        <v>564</v>
      </c>
      <c r="BC16" s="131">
        <v>564</v>
      </c>
      <c r="BD16" s="131">
        <v>564</v>
      </c>
      <c r="BE16" s="131">
        <v>649</v>
      </c>
      <c r="BF16" s="131">
        <v>805</v>
      </c>
      <c r="BG16" s="131">
        <v>805</v>
      </c>
      <c r="BH16" s="131">
        <v>772</v>
      </c>
      <c r="BI16" s="131">
        <v>805</v>
      </c>
      <c r="BJ16" s="131">
        <v>805</v>
      </c>
      <c r="BK16" s="131">
        <v>761</v>
      </c>
      <c r="BL16" s="131">
        <v>834</v>
      </c>
      <c r="BM16" s="131">
        <v>772</v>
      </c>
      <c r="BN16" s="131">
        <v>772</v>
      </c>
      <c r="BO16" s="131">
        <v>834</v>
      </c>
      <c r="BP16" s="131">
        <v>834</v>
      </c>
      <c r="BQ16" s="131">
        <v>834</v>
      </c>
      <c r="BR16" s="131">
        <v>834</v>
      </c>
      <c r="BS16" s="131">
        <v>564</v>
      </c>
      <c r="BT16" s="131">
        <v>564</v>
      </c>
      <c r="BU16" s="131">
        <v>564</v>
      </c>
      <c r="BV16" s="131">
        <v>564</v>
      </c>
      <c r="BW16" s="131">
        <v>564</v>
      </c>
      <c r="BX16" s="131">
        <v>649</v>
      </c>
      <c r="BY16" s="131">
        <v>649</v>
      </c>
      <c r="BZ16" s="131">
        <v>649</v>
      </c>
      <c r="CA16" s="131">
        <v>649</v>
      </c>
      <c r="CB16" s="131">
        <v>564</v>
      </c>
      <c r="CC16" s="131">
        <v>649</v>
      </c>
      <c r="CD16" s="131">
        <v>649</v>
      </c>
      <c r="CE16" s="131">
        <v>649</v>
      </c>
      <c r="CF16" s="131">
        <v>649</v>
      </c>
      <c r="CG16" s="131">
        <v>649</v>
      </c>
      <c r="CH16" s="131">
        <v>649</v>
      </c>
      <c r="CI16" s="131">
        <v>649</v>
      </c>
    </row>
    <row r="17" spans="1:87" ht="15" customHeight="1">
      <c r="A17" s="2">
        <v>4200</v>
      </c>
      <c r="B17" s="2">
        <v>2.4</v>
      </c>
      <c r="C17" s="2">
        <v>6</v>
      </c>
      <c r="D17" s="2"/>
      <c r="E17" s="131">
        <v>809</v>
      </c>
      <c r="F17" s="131">
        <v>809</v>
      </c>
      <c r="G17" s="131">
        <v>820</v>
      </c>
      <c r="H17" s="131">
        <v>809</v>
      </c>
      <c r="I17" s="131">
        <v>706</v>
      </c>
      <c r="J17" s="131">
        <v>706</v>
      </c>
      <c r="K17" s="131">
        <v>706</v>
      </c>
      <c r="L17" s="131">
        <v>706</v>
      </c>
      <c r="M17" s="131">
        <v>809</v>
      </c>
      <c r="N17" s="131">
        <v>820</v>
      </c>
      <c r="O17" s="131">
        <v>626</v>
      </c>
      <c r="P17" s="131">
        <v>626</v>
      </c>
      <c r="Q17" s="131">
        <v>626</v>
      </c>
      <c r="R17" s="131">
        <v>626</v>
      </c>
      <c r="S17" s="131">
        <v>626</v>
      </c>
      <c r="T17" s="131">
        <v>626</v>
      </c>
      <c r="U17" s="131">
        <v>626</v>
      </c>
      <c r="V17" s="131">
        <v>626</v>
      </c>
      <c r="W17" s="131">
        <v>626</v>
      </c>
      <c r="X17" s="131">
        <v>626</v>
      </c>
      <c r="Y17" s="131">
        <v>626</v>
      </c>
      <c r="Z17" s="131">
        <v>626</v>
      </c>
      <c r="AA17" s="131">
        <v>626</v>
      </c>
      <c r="AB17" s="131">
        <v>626</v>
      </c>
      <c r="AC17" s="131">
        <v>626</v>
      </c>
      <c r="AD17" s="131">
        <v>626</v>
      </c>
      <c r="AE17" s="131">
        <v>706</v>
      </c>
      <c r="AF17" s="131">
        <v>706</v>
      </c>
      <c r="AG17" s="131">
        <v>706</v>
      </c>
      <c r="AH17" s="131">
        <v>869</v>
      </c>
      <c r="AI17" s="131">
        <v>549</v>
      </c>
      <c r="AJ17" s="131">
        <v>549</v>
      </c>
      <c r="AK17" s="131">
        <v>549</v>
      </c>
      <c r="AL17" s="131">
        <v>549</v>
      </c>
      <c r="AM17" s="131">
        <v>549</v>
      </c>
      <c r="AN17" s="131">
        <v>555</v>
      </c>
      <c r="AO17" s="131">
        <v>555</v>
      </c>
      <c r="AP17" s="131">
        <v>555</v>
      </c>
      <c r="AQ17" s="131">
        <v>555</v>
      </c>
      <c r="AR17" s="131">
        <v>555</v>
      </c>
      <c r="AS17" s="131">
        <v>555</v>
      </c>
      <c r="AT17" s="131">
        <v>555</v>
      </c>
      <c r="AU17" s="131">
        <v>555</v>
      </c>
      <c r="AV17" s="131">
        <v>555</v>
      </c>
      <c r="AW17" s="131">
        <v>555</v>
      </c>
      <c r="AX17" s="131">
        <v>555</v>
      </c>
      <c r="AY17" s="131">
        <v>626</v>
      </c>
      <c r="AZ17" s="131">
        <v>626</v>
      </c>
      <c r="BA17" s="131">
        <v>626</v>
      </c>
      <c r="BB17" s="131">
        <v>626</v>
      </c>
      <c r="BC17" s="131">
        <v>626</v>
      </c>
      <c r="BD17" s="131">
        <v>626</v>
      </c>
      <c r="BE17" s="131">
        <v>706</v>
      </c>
      <c r="BF17" s="131">
        <v>844</v>
      </c>
      <c r="BG17" s="131">
        <v>844</v>
      </c>
      <c r="BH17" s="131">
        <v>820</v>
      </c>
      <c r="BI17" s="131">
        <v>844</v>
      </c>
      <c r="BJ17" s="131">
        <v>844</v>
      </c>
      <c r="BK17" s="131">
        <v>809</v>
      </c>
      <c r="BL17" s="131">
        <v>869</v>
      </c>
      <c r="BM17" s="131">
        <v>820</v>
      </c>
      <c r="BN17" s="131">
        <v>820</v>
      </c>
      <c r="BO17" s="131">
        <v>869</v>
      </c>
      <c r="BP17" s="131">
        <v>869</v>
      </c>
      <c r="BQ17" s="131">
        <v>869</v>
      </c>
      <c r="BR17" s="131">
        <v>869</v>
      </c>
      <c r="BS17" s="131">
        <v>626</v>
      </c>
      <c r="BT17" s="131">
        <v>626</v>
      </c>
      <c r="BU17" s="131">
        <v>626</v>
      </c>
      <c r="BV17" s="131">
        <v>626</v>
      </c>
      <c r="BW17" s="131">
        <v>626</v>
      </c>
      <c r="BX17" s="131">
        <v>706</v>
      </c>
      <c r="BY17" s="131">
        <v>706</v>
      </c>
      <c r="BZ17" s="131">
        <v>706</v>
      </c>
      <c r="CA17" s="131">
        <v>706</v>
      </c>
      <c r="CB17" s="131">
        <v>626</v>
      </c>
      <c r="CC17" s="131">
        <v>706</v>
      </c>
      <c r="CD17" s="131">
        <v>706</v>
      </c>
      <c r="CE17" s="131">
        <v>706</v>
      </c>
      <c r="CF17" s="131">
        <v>706</v>
      </c>
      <c r="CG17" s="131">
        <v>706</v>
      </c>
      <c r="CH17" s="131">
        <v>706</v>
      </c>
      <c r="CI17" s="131">
        <v>706</v>
      </c>
    </row>
    <row r="18" spans="1:87" ht="15" customHeight="1">
      <c r="A18" s="2">
        <v>4375</v>
      </c>
      <c r="B18" s="2">
        <v>2.5</v>
      </c>
      <c r="C18" s="2"/>
      <c r="D18" s="2">
        <v>5</v>
      </c>
      <c r="E18" s="131">
        <v>825</v>
      </c>
      <c r="F18" s="131">
        <v>825</v>
      </c>
      <c r="G18" s="131">
        <v>834</v>
      </c>
      <c r="H18" s="131">
        <v>825</v>
      </c>
      <c r="I18" s="131">
        <v>719</v>
      </c>
      <c r="J18" s="131">
        <v>719</v>
      </c>
      <c r="K18" s="131">
        <v>719</v>
      </c>
      <c r="L18" s="131">
        <v>719</v>
      </c>
      <c r="M18" s="131">
        <v>825</v>
      </c>
      <c r="N18" s="131">
        <v>834</v>
      </c>
      <c r="O18" s="131">
        <v>641</v>
      </c>
      <c r="P18" s="131">
        <v>641</v>
      </c>
      <c r="Q18" s="131">
        <v>641</v>
      </c>
      <c r="R18" s="131">
        <v>641</v>
      </c>
      <c r="S18" s="131">
        <v>641</v>
      </c>
      <c r="T18" s="131">
        <v>641</v>
      </c>
      <c r="U18" s="131">
        <v>641</v>
      </c>
      <c r="V18" s="131">
        <v>641</v>
      </c>
      <c r="W18" s="131">
        <v>641</v>
      </c>
      <c r="X18" s="131">
        <v>641</v>
      </c>
      <c r="Y18" s="131">
        <v>641</v>
      </c>
      <c r="Z18" s="131">
        <v>641</v>
      </c>
      <c r="AA18" s="131">
        <v>641</v>
      </c>
      <c r="AB18" s="131">
        <v>641</v>
      </c>
      <c r="AC18" s="131">
        <v>641</v>
      </c>
      <c r="AD18" s="131">
        <v>641</v>
      </c>
      <c r="AE18" s="131">
        <v>719</v>
      </c>
      <c r="AF18" s="131">
        <v>719</v>
      </c>
      <c r="AG18" s="131">
        <v>719</v>
      </c>
      <c r="AH18" s="131">
        <v>881</v>
      </c>
      <c r="AI18" s="131">
        <v>587</v>
      </c>
      <c r="AJ18" s="131">
        <v>587</v>
      </c>
      <c r="AK18" s="131">
        <v>587</v>
      </c>
      <c r="AL18" s="131">
        <v>587</v>
      </c>
      <c r="AM18" s="131">
        <v>587</v>
      </c>
      <c r="AN18" s="131">
        <v>596</v>
      </c>
      <c r="AO18" s="131">
        <v>596</v>
      </c>
      <c r="AP18" s="131">
        <v>596</v>
      </c>
      <c r="AQ18" s="131">
        <v>596</v>
      </c>
      <c r="AR18" s="131">
        <v>596</v>
      </c>
      <c r="AS18" s="131">
        <v>596</v>
      </c>
      <c r="AT18" s="131">
        <v>596</v>
      </c>
      <c r="AU18" s="131">
        <v>596</v>
      </c>
      <c r="AV18" s="131">
        <v>596</v>
      </c>
      <c r="AW18" s="131">
        <v>596</v>
      </c>
      <c r="AX18" s="131">
        <v>596</v>
      </c>
      <c r="AY18" s="131">
        <v>641</v>
      </c>
      <c r="AZ18" s="131">
        <v>641</v>
      </c>
      <c r="BA18" s="131">
        <v>641</v>
      </c>
      <c r="BB18" s="131">
        <v>641</v>
      </c>
      <c r="BC18" s="131">
        <v>641</v>
      </c>
      <c r="BD18" s="131">
        <v>641</v>
      </c>
      <c r="BE18" s="131">
        <v>719</v>
      </c>
      <c r="BF18" s="131">
        <v>859</v>
      </c>
      <c r="BG18" s="131">
        <v>859</v>
      </c>
      <c r="BH18" s="131">
        <v>834</v>
      </c>
      <c r="BI18" s="131">
        <v>859</v>
      </c>
      <c r="BJ18" s="131">
        <v>859</v>
      </c>
      <c r="BK18" s="131">
        <v>825</v>
      </c>
      <c r="BL18" s="131">
        <v>881</v>
      </c>
      <c r="BM18" s="131">
        <v>834</v>
      </c>
      <c r="BN18" s="131">
        <v>834</v>
      </c>
      <c r="BO18" s="131">
        <v>881</v>
      </c>
      <c r="BP18" s="131">
        <v>881</v>
      </c>
      <c r="BQ18" s="131">
        <v>881</v>
      </c>
      <c r="BR18" s="131">
        <v>881</v>
      </c>
      <c r="BS18" s="131">
        <v>641</v>
      </c>
      <c r="BT18" s="131">
        <v>641</v>
      </c>
      <c r="BU18" s="131">
        <v>641</v>
      </c>
      <c r="BV18" s="131">
        <v>641</v>
      </c>
      <c r="BW18" s="131">
        <v>641</v>
      </c>
      <c r="BX18" s="131">
        <v>719</v>
      </c>
      <c r="BY18" s="131">
        <v>719</v>
      </c>
      <c r="BZ18" s="131">
        <v>719</v>
      </c>
      <c r="CA18" s="131">
        <v>719</v>
      </c>
      <c r="CB18" s="131">
        <v>641</v>
      </c>
      <c r="CC18" s="131">
        <v>719</v>
      </c>
      <c r="CD18" s="131">
        <v>719</v>
      </c>
      <c r="CE18" s="131">
        <v>719</v>
      </c>
      <c r="CF18" s="131">
        <v>719</v>
      </c>
      <c r="CG18" s="131">
        <v>719</v>
      </c>
      <c r="CH18" s="131">
        <v>719</v>
      </c>
      <c r="CI18" s="131">
        <v>719</v>
      </c>
    </row>
    <row r="19" spans="1:87" ht="15" customHeight="1">
      <c r="A19" s="2">
        <v>4900</v>
      </c>
      <c r="B19" s="2">
        <v>2.8</v>
      </c>
      <c r="C19" s="2">
        <v>7</v>
      </c>
      <c r="D19" s="2"/>
      <c r="E19" s="131">
        <v>861</v>
      </c>
      <c r="F19" s="131">
        <v>861</v>
      </c>
      <c r="G19" s="131">
        <v>882</v>
      </c>
      <c r="H19" s="131">
        <v>861</v>
      </c>
      <c r="I19" s="131">
        <v>769</v>
      </c>
      <c r="J19" s="131">
        <v>769</v>
      </c>
      <c r="K19" s="131">
        <v>769</v>
      </c>
      <c r="L19" s="131">
        <v>769</v>
      </c>
      <c r="M19" s="131">
        <v>861</v>
      </c>
      <c r="N19" s="131">
        <v>882</v>
      </c>
      <c r="O19" s="131">
        <v>677</v>
      </c>
      <c r="P19" s="131">
        <v>677</v>
      </c>
      <c r="Q19" s="131">
        <v>677</v>
      </c>
      <c r="R19" s="131">
        <v>677</v>
      </c>
      <c r="S19" s="131">
        <v>677</v>
      </c>
      <c r="T19" s="131">
        <v>677</v>
      </c>
      <c r="U19" s="131">
        <v>677</v>
      </c>
      <c r="V19" s="131">
        <v>677</v>
      </c>
      <c r="W19" s="131">
        <v>677</v>
      </c>
      <c r="X19" s="131">
        <v>677</v>
      </c>
      <c r="Y19" s="131">
        <v>677</v>
      </c>
      <c r="Z19" s="131">
        <v>677</v>
      </c>
      <c r="AA19" s="131">
        <v>677</v>
      </c>
      <c r="AB19" s="131">
        <v>677</v>
      </c>
      <c r="AC19" s="131">
        <v>677</v>
      </c>
      <c r="AD19" s="131">
        <v>677</v>
      </c>
      <c r="AE19" s="131">
        <v>769</v>
      </c>
      <c r="AF19" s="131">
        <v>769</v>
      </c>
      <c r="AG19" s="131">
        <v>769</v>
      </c>
      <c r="AH19" s="131">
        <v>921</v>
      </c>
      <c r="AI19" s="131">
        <v>623</v>
      </c>
      <c r="AJ19" s="131">
        <v>623</v>
      </c>
      <c r="AK19" s="131">
        <v>623</v>
      </c>
      <c r="AL19" s="131">
        <v>623</v>
      </c>
      <c r="AM19" s="131">
        <v>623</v>
      </c>
      <c r="AN19" s="131">
        <v>632</v>
      </c>
      <c r="AO19" s="131">
        <v>632</v>
      </c>
      <c r="AP19" s="131">
        <v>632</v>
      </c>
      <c r="AQ19" s="131">
        <v>632</v>
      </c>
      <c r="AR19" s="131">
        <v>632</v>
      </c>
      <c r="AS19" s="131">
        <v>632</v>
      </c>
      <c r="AT19" s="131">
        <v>632</v>
      </c>
      <c r="AU19" s="131">
        <v>632</v>
      </c>
      <c r="AV19" s="131">
        <v>632</v>
      </c>
      <c r="AW19" s="131">
        <v>632</v>
      </c>
      <c r="AX19" s="131">
        <v>632</v>
      </c>
      <c r="AY19" s="131">
        <v>677</v>
      </c>
      <c r="AZ19" s="131">
        <v>677</v>
      </c>
      <c r="BA19" s="131">
        <v>677</v>
      </c>
      <c r="BB19" s="131">
        <v>677</v>
      </c>
      <c r="BC19" s="131">
        <v>677</v>
      </c>
      <c r="BD19" s="131">
        <v>677</v>
      </c>
      <c r="BE19" s="131">
        <v>769</v>
      </c>
      <c r="BF19" s="131">
        <v>900</v>
      </c>
      <c r="BG19" s="131">
        <v>900</v>
      </c>
      <c r="BH19" s="131">
        <v>882</v>
      </c>
      <c r="BI19" s="131">
        <v>900</v>
      </c>
      <c r="BJ19" s="131">
        <v>900</v>
      </c>
      <c r="BK19" s="131">
        <v>861</v>
      </c>
      <c r="BL19" s="131">
        <v>921</v>
      </c>
      <c r="BM19" s="131">
        <v>882</v>
      </c>
      <c r="BN19" s="131">
        <v>882</v>
      </c>
      <c r="BO19" s="131">
        <v>921</v>
      </c>
      <c r="BP19" s="131">
        <v>921</v>
      </c>
      <c r="BQ19" s="131">
        <v>921</v>
      </c>
      <c r="BR19" s="131">
        <v>921</v>
      </c>
      <c r="BS19" s="131">
        <v>677</v>
      </c>
      <c r="BT19" s="131">
        <v>677</v>
      </c>
      <c r="BU19" s="131">
        <v>677</v>
      </c>
      <c r="BV19" s="131">
        <v>677</v>
      </c>
      <c r="BW19" s="131">
        <v>677</v>
      </c>
      <c r="BX19" s="131">
        <v>769</v>
      </c>
      <c r="BY19" s="131">
        <v>769</v>
      </c>
      <c r="BZ19" s="131">
        <v>769</v>
      </c>
      <c r="CA19" s="131">
        <v>769</v>
      </c>
      <c r="CB19" s="131">
        <v>677</v>
      </c>
      <c r="CC19" s="131">
        <v>769</v>
      </c>
      <c r="CD19" s="131">
        <v>769</v>
      </c>
      <c r="CE19" s="131">
        <v>769</v>
      </c>
      <c r="CF19" s="131">
        <v>769</v>
      </c>
      <c r="CG19" s="131">
        <v>769</v>
      </c>
      <c r="CH19" s="131">
        <v>769</v>
      </c>
      <c r="CI19" s="131">
        <v>769</v>
      </c>
    </row>
    <row r="20" spans="1:87" ht="15" customHeight="1">
      <c r="A20" s="2">
        <v>5250</v>
      </c>
      <c r="B20" s="2">
        <v>3</v>
      </c>
      <c r="C20" s="2"/>
      <c r="D20" s="2">
        <v>6</v>
      </c>
      <c r="E20" s="131">
        <v>884</v>
      </c>
      <c r="F20" s="131">
        <v>884</v>
      </c>
      <c r="G20" s="131">
        <v>913</v>
      </c>
      <c r="H20" s="131">
        <v>884</v>
      </c>
      <c r="I20" s="131">
        <v>794</v>
      </c>
      <c r="J20" s="131">
        <v>794</v>
      </c>
      <c r="K20" s="131">
        <v>794</v>
      </c>
      <c r="L20" s="131">
        <v>794</v>
      </c>
      <c r="M20" s="131">
        <v>884</v>
      </c>
      <c r="N20" s="131">
        <v>913</v>
      </c>
      <c r="O20" s="131">
        <v>701</v>
      </c>
      <c r="P20" s="131">
        <v>701</v>
      </c>
      <c r="Q20" s="131">
        <v>701</v>
      </c>
      <c r="R20" s="131">
        <v>701</v>
      </c>
      <c r="S20" s="131">
        <v>701</v>
      </c>
      <c r="T20" s="131">
        <v>701</v>
      </c>
      <c r="U20" s="131">
        <v>701</v>
      </c>
      <c r="V20" s="131">
        <v>701</v>
      </c>
      <c r="W20" s="131">
        <v>701</v>
      </c>
      <c r="X20" s="131">
        <v>701</v>
      </c>
      <c r="Y20" s="131">
        <v>701</v>
      </c>
      <c r="Z20" s="131">
        <v>701</v>
      </c>
      <c r="AA20" s="131">
        <v>701</v>
      </c>
      <c r="AB20" s="131">
        <v>701</v>
      </c>
      <c r="AC20" s="131">
        <v>701</v>
      </c>
      <c r="AD20" s="131">
        <v>701</v>
      </c>
      <c r="AE20" s="131">
        <v>794</v>
      </c>
      <c r="AF20" s="131">
        <v>794</v>
      </c>
      <c r="AG20" s="131">
        <v>794</v>
      </c>
      <c r="AH20" s="131">
        <v>948</v>
      </c>
      <c r="AI20" s="131">
        <v>648</v>
      </c>
      <c r="AJ20" s="131">
        <v>648</v>
      </c>
      <c r="AK20" s="131">
        <v>648</v>
      </c>
      <c r="AL20" s="131">
        <v>648</v>
      </c>
      <c r="AM20" s="131">
        <v>648</v>
      </c>
      <c r="AN20" s="131">
        <v>656</v>
      </c>
      <c r="AO20" s="131">
        <v>656</v>
      </c>
      <c r="AP20" s="131">
        <v>656</v>
      </c>
      <c r="AQ20" s="131">
        <v>656</v>
      </c>
      <c r="AR20" s="131">
        <v>656</v>
      </c>
      <c r="AS20" s="131">
        <v>656</v>
      </c>
      <c r="AT20" s="131">
        <v>656</v>
      </c>
      <c r="AU20" s="131">
        <v>656</v>
      </c>
      <c r="AV20" s="131">
        <v>656</v>
      </c>
      <c r="AW20" s="131">
        <v>656</v>
      </c>
      <c r="AX20" s="131">
        <v>656</v>
      </c>
      <c r="AY20" s="131">
        <v>701</v>
      </c>
      <c r="AZ20" s="131">
        <v>701</v>
      </c>
      <c r="BA20" s="131">
        <v>701</v>
      </c>
      <c r="BB20" s="131">
        <v>701</v>
      </c>
      <c r="BC20" s="131">
        <v>701</v>
      </c>
      <c r="BD20" s="131">
        <v>701</v>
      </c>
      <c r="BE20" s="131">
        <v>794</v>
      </c>
      <c r="BF20" s="131">
        <v>930</v>
      </c>
      <c r="BG20" s="131">
        <v>930</v>
      </c>
      <c r="BH20" s="131">
        <v>913</v>
      </c>
      <c r="BI20" s="131">
        <v>930</v>
      </c>
      <c r="BJ20" s="131">
        <v>930</v>
      </c>
      <c r="BK20" s="131">
        <v>884</v>
      </c>
      <c r="BL20" s="131">
        <v>948</v>
      </c>
      <c r="BM20" s="131">
        <v>913</v>
      </c>
      <c r="BN20" s="131">
        <v>913</v>
      </c>
      <c r="BO20" s="131">
        <v>948</v>
      </c>
      <c r="BP20" s="131">
        <v>948</v>
      </c>
      <c r="BQ20" s="131">
        <v>948</v>
      </c>
      <c r="BR20" s="131">
        <v>948</v>
      </c>
      <c r="BS20" s="131">
        <v>701</v>
      </c>
      <c r="BT20" s="131">
        <v>701</v>
      </c>
      <c r="BU20" s="131">
        <v>701</v>
      </c>
      <c r="BV20" s="131">
        <v>701</v>
      </c>
      <c r="BW20" s="131">
        <v>701</v>
      </c>
      <c r="BX20" s="131">
        <v>794</v>
      </c>
      <c r="BY20" s="131">
        <v>794</v>
      </c>
      <c r="BZ20" s="131">
        <v>794</v>
      </c>
      <c r="CA20" s="131">
        <v>794</v>
      </c>
      <c r="CB20" s="131">
        <v>701</v>
      </c>
      <c r="CC20" s="131">
        <v>794</v>
      </c>
      <c r="CD20" s="131">
        <v>794</v>
      </c>
      <c r="CE20" s="131">
        <v>794</v>
      </c>
      <c r="CF20" s="131">
        <v>794</v>
      </c>
      <c r="CG20" s="131">
        <v>794</v>
      </c>
      <c r="CH20" s="131">
        <v>794</v>
      </c>
      <c r="CI20" s="131">
        <v>794</v>
      </c>
    </row>
    <row r="21" spans="1:87" ht="15" customHeight="1">
      <c r="A21" s="2">
        <v>5600</v>
      </c>
      <c r="B21" s="2">
        <v>3.2</v>
      </c>
      <c r="C21" s="2">
        <v>8</v>
      </c>
      <c r="D21" s="2"/>
      <c r="E21" s="131">
        <v>905</v>
      </c>
      <c r="F21" s="131">
        <v>905</v>
      </c>
      <c r="G21" s="131">
        <v>951</v>
      </c>
      <c r="H21" s="131">
        <v>905</v>
      </c>
      <c r="I21" s="131">
        <v>812</v>
      </c>
      <c r="J21" s="131">
        <v>812</v>
      </c>
      <c r="K21" s="131">
        <v>812</v>
      </c>
      <c r="L21" s="131">
        <v>812</v>
      </c>
      <c r="M21" s="131">
        <v>905</v>
      </c>
      <c r="N21" s="131">
        <v>951</v>
      </c>
      <c r="O21" s="131">
        <v>723</v>
      </c>
      <c r="P21" s="131">
        <v>723</v>
      </c>
      <c r="Q21" s="131">
        <v>723</v>
      </c>
      <c r="R21" s="131">
        <v>723</v>
      </c>
      <c r="S21" s="131">
        <v>723</v>
      </c>
      <c r="T21" s="131">
        <v>723</v>
      </c>
      <c r="U21" s="131">
        <v>723</v>
      </c>
      <c r="V21" s="131">
        <v>723</v>
      </c>
      <c r="W21" s="131">
        <v>723</v>
      </c>
      <c r="X21" s="131">
        <v>723</v>
      </c>
      <c r="Y21" s="131">
        <v>723</v>
      </c>
      <c r="Z21" s="131">
        <v>723</v>
      </c>
      <c r="AA21" s="131">
        <v>723</v>
      </c>
      <c r="AB21" s="131">
        <v>723</v>
      </c>
      <c r="AC21" s="131">
        <v>723</v>
      </c>
      <c r="AD21" s="131">
        <v>723</v>
      </c>
      <c r="AE21" s="131">
        <v>812</v>
      </c>
      <c r="AF21" s="131">
        <v>812</v>
      </c>
      <c r="AG21" s="131">
        <v>812</v>
      </c>
      <c r="AH21" s="131">
        <v>988</v>
      </c>
      <c r="AI21" s="131">
        <v>669</v>
      </c>
      <c r="AJ21" s="131">
        <v>669</v>
      </c>
      <c r="AK21" s="131">
        <v>669</v>
      </c>
      <c r="AL21" s="131">
        <v>669</v>
      </c>
      <c r="AM21" s="131">
        <v>669</v>
      </c>
      <c r="AN21" s="131">
        <v>678</v>
      </c>
      <c r="AO21" s="131">
        <v>678</v>
      </c>
      <c r="AP21" s="131">
        <v>678</v>
      </c>
      <c r="AQ21" s="131">
        <v>678</v>
      </c>
      <c r="AR21" s="131">
        <v>678</v>
      </c>
      <c r="AS21" s="131">
        <v>678</v>
      </c>
      <c r="AT21" s="131">
        <v>678</v>
      </c>
      <c r="AU21" s="131">
        <v>678</v>
      </c>
      <c r="AV21" s="131">
        <v>678</v>
      </c>
      <c r="AW21" s="131">
        <v>678</v>
      </c>
      <c r="AX21" s="131">
        <v>678</v>
      </c>
      <c r="AY21" s="131">
        <v>723</v>
      </c>
      <c r="AZ21" s="131">
        <v>723</v>
      </c>
      <c r="BA21" s="131">
        <v>723</v>
      </c>
      <c r="BB21" s="131">
        <v>723</v>
      </c>
      <c r="BC21" s="131">
        <v>723</v>
      </c>
      <c r="BD21" s="131">
        <v>723</v>
      </c>
      <c r="BE21" s="131">
        <v>812</v>
      </c>
      <c r="BF21" s="131">
        <v>969</v>
      </c>
      <c r="BG21" s="131">
        <v>969</v>
      </c>
      <c r="BH21" s="131">
        <v>951</v>
      </c>
      <c r="BI21" s="131">
        <v>969</v>
      </c>
      <c r="BJ21" s="131">
        <v>969</v>
      </c>
      <c r="BK21" s="131">
        <v>905</v>
      </c>
      <c r="BL21" s="131">
        <v>988</v>
      </c>
      <c r="BM21" s="131">
        <v>951</v>
      </c>
      <c r="BN21" s="131">
        <v>951</v>
      </c>
      <c r="BO21" s="131">
        <v>988</v>
      </c>
      <c r="BP21" s="131">
        <v>988</v>
      </c>
      <c r="BQ21" s="131">
        <v>988</v>
      </c>
      <c r="BR21" s="131">
        <v>988</v>
      </c>
      <c r="BS21" s="131">
        <v>723</v>
      </c>
      <c r="BT21" s="131">
        <v>723</v>
      </c>
      <c r="BU21" s="131">
        <v>723</v>
      </c>
      <c r="BV21" s="131">
        <v>723</v>
      </c>
      <c r="BW21" s="131">
        <v>723</v>
      </c>
      <c r="BX21" s="131">
        <v>812</v>
      </c>
      <c r="BY21" s="131">
        <v>812</v>
      </c>
      <c r="BZ21" s="131">
        <v>812</v>
      </c>
      <c r="CA21" s="131">
        <v>812</v>
      </c>
      <c r="CB21" s="131">
        <v>723</v>
      </c>
      <c r="CC21" s="131">
        <v>812</v>
      </c>
      <c r="CD21" s="131">
        <v>812</v>
      </c>
      <c r="CE21" s="131">
        <v>812</v>
      </c>
      <c r="CF21" s="131">
        <v>812</v>
      </c>
      <c r="CG21" s="131">
        <v>812</v>
      </c>
      <c r="CH21" s="131">
        <v>812</v>
      </c>
      <c r="CI21" s="131">
        <v>812</v>
      </c>
    </row>
    <row r="22" spans="1:87" ht="15" customHeight="1">
      <c r="A22" s="2">
        <v>6125</v>
      </c>
      <c r="B22" s="2">
        <v>3.5</v>
      </c>
      <c r="C22" s="2"/>
      <c r="D22" s="2">
        <v>7</v>
      </c>
      <c r="E22" s="131">
        <v>1036</v>
      </c>
      <c r="F22" s="131">
        <v>1036</v>
      </c>
      <c r="G22" s="131">
        <v>1011</v>
      </c>
      <c r="H22" s="131">
        <v>1036</v>
      </c>
      <c r="I22" s="131">
        <v>918</v>
      </c>
      <c r="J22" s="131">
        <v>918</v>
      </c>
      <c r="K22" s="131">
        <v>918</v>
      </c>
      <c r="L22" s="131">
        <v>918</v>
      </c>
      <c r="M22" s="131">
        <v>1036</v>
      </c>
      <c r="N22" s="131">
        <v>1011</v>
      </c>
      <c r="O22" s="131">
        <v>804</v>
      </c>
      <c r="P22" s="131">
        <v>804</v>
      </c>
      <c r="Q22" s="131">
        <v>804</v>
      </c>
      <c r="R22" s="131">
        <v>804</v>
      </c>
      <c r="S22" s="131">
        <v>804</v>
      </c>
      <c r="T22" s="131">
        <v>804</v>
      </c>
      <c r="U22" s="131">
        <v>804</v>
      </c>
      <c r="V22" s="131">
        <v>804</v>
      </c>
      <c r="W22" s="131">
        <v>804</v>
      </c>
      <c r="X22" s="131">
        <v>804</v>
      </c>
      <c r="Y22" s="131">
        <v>804</v>
      </c>
      <c r="Z22" s="131">
        <v>804</v>
      </c>
      <c r="AA22" s="131">
        <v>804</v>
      </c>
      <c r="AB22" s="131">
        <v>804</v>
      </c>
      <c r="AC22" s="131">
        <v>804</v>
      </c>
      <c r="AD22" s="131">
        <v>804</v>
      </c>
      <c r="AE22" s="131">
        <v>918</v>
      </c>
      <c r="AF22" s="131">
        <v>918</v>
      </c>
      <c r="AG22" s="131">
        <v>918</v>
      </c>
      <c r="AH22" s="131">
        <v>1048</v>
      </c>
      <c r="AI22" s="131">
        <v>716</v>
      </c>
      <c r="AJ22" s="131">
        <v>716</v>
      </c>
      <c r="AK22" s="131">
        <v>716</v>
      </c>
      <c r="AL22" s="131">
        <v>716</v>
      </c>
      <c r="AM22" s="131">
        <v>716</v>
      </c>
      <c r="AN22" s="131">
        <v>733</v>
      </c>
      <c r="AO22" s="131">
        <v>733</v>
      </c>
      <c r="AP22" s="131">
        <v>733</v>
      </c>
      <c r="AQ22" s="131">
        <v>733</v>
      </c>
      <c r="AR22" s="131">
        <v>733</v>
      </c>
      <c r="AS22" s="131">
        <v>733</v>
      </c>
      <c r="AT22" s="131">
        <v>733</v>
      </c>
      <c r="AU22" s="131">
        <v>733</v>
      </c>
      <c r="AV22" s="131">
        <v>733</v>
      </c>
      <c r="AW22" s="131">
        <v>733</v>
      </c>
      <c r="AX22" s="131">
        <v>733</v>
      </c>
      <c r="AY22" s="131">
        <v>804</v>
      </c>
      <c r="AZ22" s="131">
        <v>804</v>
      </c>
      <c r="BA22" s="131">
        <v>804</v>
      </c>
      <c r="BB22" s="131">
        <v>804</v>
      </c>
      <c r="BC22" s="131">
        <v>804</v>
      </c>
      <c r="BD22" s="131">
        <v>804</v>
      </c>
      <c r="BE22" s="131">
        <v>918</v>
      </c>
      <c r="BF22" s="131">
        <v>1028</v>
      </c>
      <c r="BG22" s="131">
        <v>1028</v>
      </c>
      <c r="BH22" s="131">
        <v>1011</v>
      </c>
      <c r="BI22" s="131">
        <v>1028</v>
      </c>
      <c r="BJ22" s="131">
        <v>1028</v>
      </c>
      <c r="BK22" s="131">
        <v>1036</v>
      </c>
      <c r="BL22" s="131">
        <v>1048</v>
      </c>
      <c r="BM22" s="131">
        <v>1011</v>
      </c>
      <c r="BN22" s="131">
        <v>1011</v>
      </c>
      <c r="BO22" s="131">
        <v>1048</v>
      </c>
      <c r="BP22" s="131">
        <v>1048</v>
      </c>
      <c r="BQ22" s="131">
        <v>1048</v>
      </c>
      <c r="BR22" s="131">
        <v>1048</v>
      </c>
      <c r="BS22" s="131">
        <v>804</v>
      </c>
      <c r="BT22" s="131">
        <v>804</v>
      </c>
      <c r="BU22" s="131">
        <v>804</v>
      </c>
      <c r="BV22" s="131">
        <v>804</v>
      </c>
      <c r="BW22" s="131">
        <v>804</v>
      </c>
      <c r="BX22" s="131">
        <v>918</v>
      </c>
      <c r="BY22" s="131">
        <v>918</v>
      </c>
      <c r="BZ22" s="131">
        <v>918</v>
      </c>
      <c r="CA22" s="131">
        <v>918</v>
      </c>
      <c r="CB22" s="131">
        <v>804</v>
      </c>
      <c r="CC22" s="131">
        <v>918</v>
      </c>
      <c r="CD22" s="131">
        <v>918</v>
      </c>
      <c r="CE22" s="131">
        <v>918</v>
      </c>
      <c r="CF22" s="131">
        <v>918</v>
      </c>
      <c r="CG22" s="131">
        <v>918</v>
      </c>
      <c r="CH22" s="131">
        <v>918</v>
      </c>
      <c r="CI22" s="131">
        <v>918</v>
      </c>
    </row>
    <row r="23" spans="1:87" ht="15" customHeight="1">
      <c r="A23" s="2">
        <v>6300</v>
      </c>
      <c r="B23" s="2">
        <v>3.6</v>
      </c>
      <c r="C23" s="2">
        <v>9</v>
      </c>
      <c r="D23" s="2"/>
      <c r="E23" s="131">
        <v>1050</v>
      </c>
      <c r="F23" s="131">
        <v>1050</v>
      </c>
      <c r="G23" s="131">
        <v>1032</v>
      </c>
      <c r="H23" s="131">
        <v>1050</v>
      </c>
      <c r="I23" s="131">
        <v>935</v>
      </c>
      <c r="J23" s="131">
        <v>935</v>
      </c>
      <c r="K23" s="131">
        <v>935</v>
      </c>
      <c r="L23" s="131">
        <v>935</v>
      </c>
      <c r="M23" s="131">
        <v>1050</v>
      </c>
      <c r="N23" s="131">
        <v>1032</v>
      </c>
      <c r="O23" s="131">
        <v>819</v>
      </c>
      <c r="P23" s="131">
        <v>819</v>
      </c>
      <c r="Q23" s="131">
        <v>819</v>
      </c>
      <c r="R23" s="131">
        <v>819</v>
      </c>
      <c r="S23" s="131">
        <v>819</v>
      </c>
      <c r="T23" s="131">
        <v>819</v>
      </c>
      <c r="U23" s="131">
        <v>819</v>
      </c>
      <c r="V23" s="131">
        <v>819</v>
      </c>
      <c r="W23" s="131">
        <v>819</v>
      </c>
      <c r="X23" s="131">
        <v>819</v>
      </c>
      <c r="Y23" s="131">
        <v>819</v>
      </c>
      <c r="Z23" s="131">
        <v>819</v>
      </c>
      <c r="AA23" s="131">
        <v>819</v>
      </c>
      <c r="AB23" s="131">
        <v>819</v>
      </c>
      <c r="AC23" s="131">
        <v>819</v>
      </c>
      <c r="AD23" s="131">
        <v>819</v>
      </c>
      <c r="AE23" s="131">
        <v>935</v>
      </c>
      <c r="AF23" s="131">
        <v>935</v>
      </c>
      <c r="AG23" s="131">
        <v>935</v>
      </c>
      <c r="AH23" s="131">
        <v>1065</v>
      </c>
      <c r="AI23" s="131">
        <v>733</v>
      </c>
      <c r="AJ23" s="131">
        <v>733</v>
      </c>
      <c r="AK23" s="131">
        <v>733</v>
      </c>
      <c r="AL23" s="131">
        <v>733</v>
      </c>
      <c r="AM23" s="131">
        <v>733</v>
      </c>
      <c r="AN23" s="131">
        <v>748</v>
      </c>
      <c r="AO23" s="131">
        <v>748</v>
      </c>
      <c r="AP23" s="131">
        <v>748</v>
      </c>
      <c r="AQ23" s="131">
        <v>748</v>
      </c>
      <c r="AR23" s="131">
        <v>748</v>
      </c>
      <c r="AS23" s="131">
        <v>748</v>
      </c>
      <c r="AT23" s="131">
        <v>748</v>
      </c>
      <c r="AU23" s="131">
        <v>748</v>
      </c>
      <c r="AV23" s="131">
        <v>748</v>
      </c>
      <c r="AW23" s="131">
        <v>748</v>
      </c>
      <c r="AX23" s="131">
        <v>748</v>
      </c>
      <c r="AY23" s="131">
        <v>819</v>
      </c>
      <c r="AZ23" s="131">
        <v>819</v>
      </c>
      <c r="BA23" s="131">
        <v>819</v>
      </c>
      <c r="BB23" s="131">
        <v>819</v>
      </c>
      <c r="BC23" s="131">
        <v>819</v>
      </c>
      <c r="BD23" s="131">
        <v>819</v>
      </c>
      <c r="BE23" s="131">
        <v>935</v>
      </c>
      <c r="BF23" s="131">
        <v>1048</v>
      </c>
      <c r="BG23" s="131">
        <v>1048</v>
      </c>
      <c r="BH23" s="131">
        <v>1032</v>
      </c>
      <c r="BI23" s="131">
        <v>1048</v>
      </c>
      <c r="BJ23" s="131">
        <v>1048</v>
      </c>
      <c r="BK23" s="131">
        <v>1050</v>
      </c>
      <c r="BL23" s="131">
        <v>1065</v>
      </c>
      <c r="BM23" s="131">
        <v>1032</v>
      </c>
      <c r="BN23" s="131">
        <v>1032</v>
      </c>
      <c r="BO23" s="131">
        <v>1065</v>
      </c>
      <c r="BP23" s="131">
        <v>1065</v>
      </c>
      <c r="BQ23" s="131">
        <v>1065</v>
      </c>
      <c r="BR23" s="131">
        <v>1065</v>
      </c>
      <c r="BS23" s="131">
        <v>819</v>
      </c>
      <c r="BT23" s="131">
        <v>819</v>
      </c>
      <c r="BU23" s="131">
        <v>819</v>
      </c>
      <c r="BV23" s="131">
        <v>819</v>
      </c>
      <c r="BW23" s="131">
        <v>819</v>
      </c>
      <c r="BX23" s="131">
        <v>935</v>
      </c>
      <c r="BY23" s="131">
        <v>935</v>
      </c>
      <c r="BZ23" s="131">
        <v>935</v>
      </c>
      <c r="CA23" s="131">
        <v>935</v>
      </c>
      <c r="CB23" s="131">
        <v>819</v>
      </c>
      <c r="CC23" s="131">
        <v>935</v>
      </c>
      <c r="CD23" s="131">
        <v>935</v>
      </c>
      <c r="CE23" s="131">
        <v>935</v>
      </c>
      <c r="CF23" s="131">
        <v>935</v>
      </c>
      <c r="CG23" s="131">
        <v>935</v>
      </c>
      <c r="CH23" s="131">
        <v>935</v>
      </c>
      <c r="CI23" s="131">
        <v>935</v>
      </c>
    </row>
    <row r="24" spans="1:87" ht="15" customHeight="1">
      <c r="A24" s="2">
        <v>7000</v>
      </c>
      <c r="B24" s="2">
        <v>4</v>
      </c>
      <c r="C24" s="2">
        <v>10</v>
      </c>
      <c r="D24" s="2">
        <v>8</v>
      </c>
      <c r="E24" s="131">
        <v>1096</v>
      </c>
      <c r="F24" s="131">
        <v>1096</v>
      </c>
      <c r="G24" s="131">
        <v>1107</v>
      </c>
      <c r="H24" s="131">
        <v>1096</v>
      </c>
      <c r="I24" s="131">
        <v>981</v>
      </c>
      <c r="J24" s="131">
        <v>981</v>
      </c>
      <c r="K24" s="131">
        <v>981</v>
      </c>
      <c r="L24" s="131">
        <v>981</v>
      </c>
      <c r="M24" s="131">
        <v>1096</v>
      </c>
      <c r="N24" s="131">
        <v>1107</v>
      </c>
      <c r="O24" s="131">
        <v>865</v>
      </c>
      <c r="P24" s="131">
        <v>865</v>
      </c>
      <c r="Q24" s="131">
        <v>865</v>
      </c>
      <c r="R24" s="131">
        <v>865</v>
      </c>
      <c r="S24" s="131">
        <v>865</v>
      </c>
      <c r="T24" s="131">
        <v>865</v>
      </c>
      <c r="U24" s="131">
        <v>865</v>
      </c>
      <c r="V24" s="131">
        <v>865</v>
      </c>
      <c r="W24" s="131">
        <v>865</v>
      </c>
      <c r="X24" s="131">
        <v>865</v>
      </c>
      <c r="Y24" s="131">
        <v>865</v>
      </c>
      <c r="Z24" s="131">
        <v>865</v>
      </c>
      <c r="AA24" s="131">
        <v>865</v>
      </c>
      <c r="AB24" s="131">
        <v>865</v>
      </c>
      <c r="AC24" s="131">
        <v>865</v>
      </c>
      <c r="AD24" s="131">
        <v>865</v>
      </c>
      <c r="AE24" s="131">
        <v>981</v>
      </c>
      <c r="AF24" s="131">
        <v>981</v>
      </c>
      <c r="AG24" s="131">
        <v>981</v>
      </c>
      <c r="AH24" s="131">
        <v>1145</v>
      </c>
      <c r="AI24" s="131">
        <v>778</v>
      </c>
      <c r="AJ24" s="131">
        <v>778</v>
      </c>
      <c r="AK24" s="131">
        <v>778</v>
      </c>
      <c r="AL24" s="131">
        <v>778</v>
      </c>
      <c r="AM24" s="131">
        <v>778</v>
      </c>
      <c r="AN24" s="131">
        <v>794</v>
      </c>
      <c r="AO24" s="131">
        <v>794</v>
      </c>
      <c r="AP24" s="131">
        <v>794</v>
      </c>
      <c r="AQ24" s="131">
        <v>794</v>
      </c>
      <c r="AR24" s="131">
        <v>794</v>
      </c>
      <c r="AS24" s="131">
        <v>794</v>
      </c>
      <c r="AT24" s="131">
        <v>794</v>
      </c>
      <c r="AU24" s="131">
        <v>794</v>
      </c>
      <c r="AV24" s="131">
        <v>794</v>
      </c>
      <c r="AW24" s="131">
        <v>794</v>
      </c>
      <c r="AX24" s="131">
        <v>794</v>
      </c>
      <c r="AY24" s="131">
        <v>865</v>
      </c>
      <c r="AZ24" s="131">
        <v>865</v>
      </c>
      <c r="BA24" s="131">
        <v>865</v>
      </c>
      <c r="BB24" s="131">
        <v>865</v>
      </c>
      <c r="BC24" s="131">
        <v>865</v>
      </c>
      <c r="BD24" s="131">
        <v>865</v>
      </c>
      <c r="BE24" s="131">
        <v>981</v>
      </c>
      <c r="BF24" s="131">
        <v>1125</v>
      </c>
      <c r="BG24" s="131">
        <v>1125</v>
      </c>
      <c r="BH24" s="131">
        <v>1107</v>
      </c>
      <c r="BI24" s="131">
        <v>1125</v>
      </c>
      <c r="BJ24" s="131">
        <v>1125</v>
      </c>
      <c r="BK24" s="131">
        <v>1096</v>
      </c>
      <c r="BL24" s="131">
        <v>1145</v>
      </c>
      <c r="BM24" s="131">
        <v>1107</v>
      </c>
      <c r="BN24" s="131">
        <v>1107</v>
      </c>
      <c r="BO24" s="131">
        <v>1145</v>
      </c>
      <c r="BP24" s="131">
        <v>1145</v>
      </c>
      <c r="BQ24" s="131">
        <v>1145</v>
      </c>
      <c r="BR24" s="131">
        <v>1145</v>
      </c>
      <c r="BS24" s="131">
        <v>865</v>
      </c>
      <c r="BT24" s="131">
        <v>865</v>
      </c>
      <c r="BU24" s="131">
        <v>865</v>
      </c>
      <c r="BV24" s="131">
        <v>865</v>
      </c>
      <c r="BW24" s="131">
        <v>865</v>
      </c>
      <c r="BX24" s="131">
        <v>981</v>
      </c>
      <c r="BY24" s="131">
        <v>981</v>
      </c>
      <c r="BZ24" s="131">
        <v>981</v>
      </c>
      <c r="CA24" s="131">
        <v>981</v>
      </c>
      <c r="CB24" s="131">
        <v>865</v>
      </c>
      <c r="CC24" s="131">
        <v>981</v>
      </c>
      <c r="CD24" s="131">
        <v>981</v>
      </c>
      <c r="CE24" s="131">
        <v>981</v>
      </c>
      <c r="CF24" s="131">
        <v>981</v>
      </c>
      <c r="CG24" s="131">
        <v>981</v>
      </c>
      <c r="CH24" s="131">
        <v>981</v>
      </c>
      <c r="CI24" s="131">
        <v>981</v>
      </c>
    </row>
    <row r="25" spans="1:87" ht="15" customHeight="1">
      <c r="A25" s="3"/>
      <c r="B25" s="3"/>
      <c r="C25" s="3"/>
      <c r="D25" s="3"/>
    </row>
    <row r="26" spans="1:87" ht="15" customHeight="1">
      <c r="A26" s="4" t="s">
        <v>24</v>
      </c>
      <c r="B26" s="3"/>
      <c r="C26" s="3"/>
      <c r="D26" s="3"/>
    </row>
    <row r="27" spans="1:87" ht="15" customHeight="1">
      <c r="A27" s="3"/>
      <c r="B27" s="3"/>
      <c r="C27" s="3"/>
      <c r="D27" s="3"/>
    </row>
    <row r="28" spans="1:87" ht="15" customHeight="1">
      <c r="A28" s="6" t="s">
        <v>25</v>
      </c>
      <c r="B28" s="40"/>
      <c r="C28" s="6" t="s">
        <v>26</v>
      </c>
      <c r="D28" s="40"/>
      <c r="E28" s="69"/>
      <c r="F28" s="70"/>
      <c r="G28" s="71" t="s">
        <v>27</v>
      </c>
      <c r="H28" s="70"/>
      <c r="I28" s="70"/>
      <c r="J28" s="70"/>
      <c r="K28" s="70"/>
      <c r="L28" s="70"/>
      <c r="M28" s="70"/>
      <c r="N28" s="70"/>
      <c r="O28" s="70"/>
      <c r="P28" s="70"/>
      <c r="Q28" s="70"/>
      <c r="R28" s="70"/>
      <c r="S28" s="70"/>
      <c r="T28" s="71" t="s">
        <v>27</v>
      </c>
      <c r="U28" s="70"/>
      <c r="V28" s="71"/>
      <c r="W28" s="70"/>
      <c r="X28" s="70"/>
      <c r="Y28" s="70"/>
      <c r="Z28" s="70"/>
      <c r="AA28" s="70"/>
      <c r="AB28" s="70"/>
      <c r="AC28" s="70"/>
      <c r="AD28" s="71" t="s">
        <v>27</v>
      </c>
      <c r="AE28" s="70"/>
      <c r="AF28" s="70"/>
      <c r="AG28" s="70"/>
      <c r="AH28" s="70"/>
      <c r="AI28" s="70"/>
      <c r="AJ28" s="70"/>
      <c r="AK28" s="70"/>
      <c r="AL28" s="70"/>
      <c r="AM28" s="70"/>
      <c r="AN28" s="70"/>
      <c r="AO28" s="70"/>
      <c r="AP28" s="71"/>
      <c r="AQ28" s="71" t="s">
        <v>27</v>
      </c>
      <c r="AR28" s="70"/>
      <c r="AS28" s="70"/>
      <c r="AT28" s="70"/>
      <c r="AU28" s="70"/>
      <c r="AV28" s="70"/>
      <c r="AW28" s="70"/>
      <c r="AX28" s="70"/>
      <c r="AY28" s="70"/>
      <c r="AZ28" s="70"/>
      <c r="BA28" s="70"/>
      <c r="BB28" s="70"/>
      <c r="BC28" s="70"/>
      <c r="BD28" s="71" t="s">
        <v>27</v>
      </c>
      <c r="BE28" s="70"/>
      <c r="BF28" s="71"/>
      <c r="BG28" s="70"/>
      <c r="BH28" s="70"/>
      <c r="BI28" s="70"/>
      <c r="BJ28" s="70"/>
      <c r="BK28" s="70"/>
      <c r="BL28" s="70"/>
      <c r="BM28" s="70"/>
      <c r="BN28" s="70"/>
      <c r="BO28" s="70"/>
      <c r="BP28" s="70"/>
      <c r="BQ28" s="71" t="s">
        <v>27</v>
      </c>
      <c r="BR28" s="70"/>
      <c r="BS28" s="70"/>
      <c r="BT28" s="70"/>
      <c r="BU28" s="70"/>
      <c r="BV28" s="70"/>
      <c r="BW28" s="70"/>
      <c r="BX28" s="70"/>
      <c r="BY28" s="70"/>
      <c r="BZ28" s="70"/>
      <c r="CA28" s="70"/>
      <c r="CB28" s="87"/>
      <c r="CC28" s="87"/>
      <c r="CD28" s="71"/>
      <c r="CE28" s="87"/>
      <c r="CF28" s="132"/>
      <c r="CG28" s="132"/>
      <c r="CH28" s="132"/>
      <c r="CI28" s="118"/>
    </row>
    <row r="29" spans="1:87" ht="15" customHeight="1">
      <c r="A29" s="222" t="s">
        <v>28</v>
      </c>
      <c r="B29" s="223"/>
      <c r="C29" s="6" t="s">
        <v>46</v>
      </c>
      <c r="D29" s="73"/>
      <c r="E29" s="88" t="s">
        <v>30</v>
      </c>
      <c r="F29" s="88" t="s">
        <v>30</v>
      </c>
      <c r="G29" s="88" t="s">
        <v>30</v>
      </c>
      <c r="H29" s="88" t="s">
        <v>30</v>
      </c>
      <c r="I29" s="88" t="s">
        <v>30</v>
      </c>
      <c r="J29" s="88" t="s">
        <v>30</v>
      </c>
      <c r="K29" s="88" t="s">
        <v>30</v>
      </c>
      <c r="L29" s="88" t="s">
        <v>30</v>
      </c>
      <c r="M29" s="88" t="s">
        <v>30</v>
      </c>
      <c r="N29" s="88" t="s">
        <v>30</v>
      </c>
      <c r="O29" s="88" t="s">
        <v>30</v>
      </c>
      <c r="P29" s="88" t="s">
        <v>30</v>
      </c>
      <c r="Q29" s="88" t="s">
        <v>30</v>
      </c>
      <c r="R29" s="88" t="s">
        <v>30</v>
      </c>
      <c r="S29" s="88" t="s">
        <v>30</v>
      </c>
      <c r="T29" s="88" t="s">
        <v>30</v>
      </c>
      <c r="U29" s="88" t="s">
        <v>30</v>
      </c>
      <c r="V29" s="88" t="s">
        <v>30</v>
      </c>
      <c r="W29" s="88" t="s">
        <v>30</v>
      </c>
      <c r="X29" s="88" t="s">
        <v>30</v>
      </c>
      <c r="Y29" s="88" t="s">
        <v>30</v>
      </c>
      <c r="Z29" s="88" t="s">
        <v>30</v>
      </c>
      <c r="AA29" s="88" t="s">
        <v>30</v>
      </c>
      <c r="AB29" s="88" t="s">
        <v>30</v>
      </c>
      <c r="AC29" s="88" t="s">
        <v>30</v>
      </c>
      <c r="AD29" s="88" t="s">
        <v>30</v>
      </c>
      <c r="AE29" s="88" t="s">
        <v>30</v>
      </c>
      <c r="AF29" s="88" t="s">
        <v>30</v>
      </c>
      <c r="AG29" s="88" t="s">
        <v>30</v>
      </c>
      <c r="AH29" s="88" t="s">
        <v>30</v>
      </c>
      <c r="AI29" s="88" t="s">
        <v>30</v>
      </c>
      <c r="AJ29" s="88" t="s">
        <v>30</v>
      </c>
      <c r="AK29" s="88" t="s">
        <v>30</v>
      </c>
      <c r="AL29" s="88" t="s">
        <v>30</v>
      </c>
      <c r="AM29" s="88" t="s">
        <v>30</v>
      </c>
      <c r="AN29" s="88" t="s">
        <v>30</v>
      </c>
      <c r="AO29" s="88" t="s">
        <v>30</v>
      </c>
      <c r="AP29" s="88" t="s">
        <v>30</v>
      </c>
      <c r="AQ29" s="88" t="s">
        <v>30</v>
      </c>
      <c r="AR29" s="88" t="s">
        <v>30</v>
      </c>
      <c r="AS29" s="88" t="s">
        <v>30</v>
      </c>
      <c r="AT29" s="88" t="s">
        <v>30</v>
      </c>
      <c r="AU29" s="88" t="s">
        <v>30</v>
      </c>
      <c r="AV29" s="88" t="s">
        <v>30</v>
      </c>
      <c r="AW29" s="88" t="s">
        <v>30</v>
      </c>
      <c r="AX29" s="88" t="s">
        <v>30</v>
      </c>
      <c r="AY29" s="88" t="s">
        <v>30</v>
      </c>
      <c r="AZ29" s="88" t="s">
        <v>30</v>
      </c>
      <c r="BA29" s="88" t="s">
        <v>30</v>
      </c>
      <c r="BB29" s="88" t="s">
        <v>30</v>
      </c>
      <c r="BC29" s="88" t="s">
        <v>30</v>
      </c>
      <c r="BD29" s="88" t="s">
        <v>30</v>
      </c>
      <c r="BE29" s="88" t="s">
        <v>30</v>
      </c>
      <c r="BF29" s="88" t="s">
        <v>30</v>
      </c>
      <c r="BG29" s="88" t="s">
        <v>30</v>
      </c>
      <c r="BH29" s="88" t="s">
        <v>30</v>
      </c>
      <c r="BI29" s="88" t="s">
        <v>30</v>
      </c>
      <c r="BJ29" s="88" t="s">
        <v>30</v>
      </c>
      <c r="BK29" s="88" t="s">
        <v>30</v>
      </c>
      <c r="BL29" s="88" t="s">
        <v>30</v>
      </c>
      <c r="BM29" s="88" t="s">
        <v>30</v>
      </c>
      <c r="BN29" s="88" t="s">
        <v>30</v>
      </c>
      <c r="BO29" s="88" t="s">
        <v>30</v>
      </c>
      <c r="BP29" s="88" t="s">
        <v>30</v>
      </c>
      <c r="BQ29" s="88" t="s">
        <v>30</v>
      </c>
      <c r="BR29" s="88" t="s">
        <v>30</v>
      </c>
      <c r="BS29" s="88" t="s">
        <v>30</v>
      </c>
      <c r="BT29" s="88" t="s">
        <v>30</v>
      </c>
      <c r="BU29" s="88" t="s">
        <v>30</v>
      </c>
      <c r="BV29" s="88" t="s">
        <v>30</v>
      </c>
      <c r="BW29" s="88" t="s">
        <v>30</v>
      </c>
      <c r="BX29" s="88" t="s">
        <v>30</v>
      </c>
      <c r="BY29" s="88" t="s">
        <v>30</v>
      </c>
      <c r="BZ29" s="88" t="s">
        <v>30</v>
      </c>
      <c r="CA29" s="88" t="s">
        <v>30</v>
      </c>
      <c r="CB29" s="88" t="s">
        <v>30</v>
      </c>
      <c r="CC29" s="88" t="s">
        <v>30</v>
      </c>
      <c r="CD29" s="88" t="s">
        <v>30</v>
      </c>
      <c r="CE29" s="88" t="s">
        <v>30</v>
      </c>
      <c r="CF29" s="88" t="s">
        <v>30</v>
      </c>
      <c r="CG29" s="88" t="s">
        <v>30</v>
      </c>
      <c r="CH29" s="88" t="s">
        <v>30</v>
      </c>
      <c r="CI29" s="88" t="s">
        <v>30</v>
      </c>
    </row>
    <row r="30" spans="1:87" ht="15" customHeight="1">
      <c r="A30" s="222" t="s">
        <v>32</v>
      </c>
      <c r="B30" s="223"/>
      <c r="C30" s="6" t="s">
        <v>46</v>
      </c>
      <c r="D30" s="73"/>
      <c r="E30" s="39">
        <v>2</v>
      </c>
      <c r="F30" s="39">
        <v>2</v>
      </c>
      <c r="G30" s="39">
        <v>2</v>
      </c>
      <c r="H30" s="39">
        <v>2</v>
      </c>
      <c r="I30" s="39">
        <v>2</v>
      </c>
      <c r="J30" s="39">
        <v>2</v>
      </c>
      <c r="K30" s="39">
        <v>2</v>
      </c>
      <c r="L30" s="39">
        <v>2</v>
      </c>
      <c r="M30" s="39">
        <v>2</v>
      </c>
      <c r="N30" s="39">
        <v>2</v>
      </c>
      <c r="O30" s="39">
        <v>2</v>
      </c>
      <c r="P30" s="39">
        <v>2</v>
      </c>
      <c r="Q30" s="39">
        <v>2</v>
      </c>
      <c r="R30" s="39">
        <v>2</v>
      </c>
      <c r="S30" s="39">
        <v>2</v>
      </c>
      <c r="T30" s="39">
        <v>2</v>
      </c>
      <c r="U30" s="39">
        <v>2</v>
      </c>
      <c r="V30" s="39">
        <v>2</v>
      </c>
      <c r="W30" s="39">
        <v>2</v>
      </c>
      <c r="X30" s="39">
        <v>2</v>
      </c>
      <c r="Y30" s="39">
        <v>2</v>
      </c>
      <c r="Z30" s="39">
        <v>2</v>
      </c>
      <c r="AA30" s="39">
        <v>2</v>
      </c>
      <c r="AB30" s="39">
        <v>2</v>
      </c>
      <c r="AC30" s="39">
        <v>2</v>
      </c>
      <c r="AD30" s="39">
        <v>2</v>
      </c>
      <c r="AE30" s="39">
        <v>2</v>
      </c>
      <c r="AF30" s="39">
        <v>3</v>
      </c>
      <c r="AG30" s="39">
        <v>3</v>
      </c>
      <c r="AH30" s="39">
        <v>3</v>
      </c>
      <c r="AI30" s="39">
        <v>2</v>
      </c>
      <c r="AJ30" s="39">
        <v>2</v>
      </c>
      <c r="AK30" s="39">
        <v>2</v>
      </c>
      <c r="AL30" s="39">
        <v>2</v>
      </c>
      <c r="AM30" s="39">
        <v>2</v>
      </c>
      <c r="AN30" s="39">
        <v>2</v>
      </c>
      <c r="AO30" s="39">
        <v>2</v>
      </c>
      <c r="AP30" s="39">
        <v>2</v>
      </c>
      <c r="AQ30" s="39">
        <v>2</v>
      </c>
      <c r="AR30" s="39">
        <v>2</v>
      </c>
      <c r="AS30" s="39">
        <v>2</v>
      </c>
      <c r="AT30" s="39">
        <v>2</v>
      </c>
      <c r="AU30" s="39">
        <v>2</v>
      </c>
      <c r="AV30" s="39">
        <v>2</v>
      </c>
      <c r="AW30" s="39">
        <v>2</v>
      </c>
      <c r="AX30" s="39">
        <v>2</v>
      </c>
      <c r="AY30" s="39">
        <v>2</v>
      </c>
      <c r="AZ30" s="39">
        <v>2</v>
      </c>
      <c r="BA30" s="39">
        <v>2</v>
      </c>
      <c r="BB30" s="39">
        <v>2</v>
      </c>
      <c r="BC30" s="39">
        <v>2</v>
      </c>
      <c r="BD30" s="39">
        <v>2</v>
      </c>
      <c r="BE30" s="39">
        <v>2</v>
      </c>
      <c r="BF30" s="39">
        <v>3</v>
      </c>
      <c r="BG30" s="39">
        <v>3</v>
      </c>
      <c r="BH30" s="39">
        <v>3</v>
      </c>
      <c r="BI30" s="39">
        <v>3</v>
      </c>
      <c r="BJ30" s="39">
        <v>3</v>
      </c>
      <c r="BK30" s="39">
        <v>3</v>
      </c>
      <c r="BL30" s="39">
        <v>3</v>
      </c>
      <c r="BM30" s="39">
        <v>3</v>
      </c>
      <c r="BN30" s="39">
        <v>3</v>
      </c>
      <c r="BO30" s="39">
        <v>2</v>
      </c>
      <c r="BP30" s="39">
        <v>2</v>
      </c>
      <c r="BQ30" s="39">
        <v>2</v>
      </c>
      <c r="BR30" s="39">
        <v>2</v>
      </c>
      <c r="BS30" s="39">
        <v>2</v>
      </c>
      <c r="BT30" s="39">
        <v>2</v>
      </c>
      <c r="BU30" s="39">
        <v>2</v>
      </c>
      <c r="BV30" s="39">
        <v>2</v>
      </c>
      <c r="BW30" s="39">
        <v>2</v>
      </c>
      <c r="BX30" s="39">
        <v>2</v>
      </c>
      <c r="BY30" s="39">
        <v>2</v>
      </c>
      <c r="BZ30" s="39">
        <v>2</v>
      </c>
      <c r="CA30" s="39">
        <v>2</v>
      </c>
      <c r="CB30" s="39">
        <v>2</v>
      </c>
      <c r="CC30" s="39">
        <v>2</v>
      </c>
      <c r="CD30" s="39">
        <v>2</v>
      </c>
      <c r="CE30" s="39">
        <v>2</v>
      </c>
      <c r="CF30" s="39">
        <v>2</v>
      </c>
      <c r="CG30" s="39">
        <v>2</v>
      </c>
      <c r="CH30" s="39">
        <v>2</v>
      </c>
      <c r="CI30" s="39">
        <v>2</v>
      </c>
    </row>
    <row r="31" spans="1:87" ht="15" customHeight="1">
      <c r="A31" s="222" t="s">
        <v>33</v>
      </c>
      <c r="B31" s="223"/>
      <c r="C31" s="6" t="s">
        <v>29</v>
      </c>
      <c r="D31" s="76"/>
      <c r="E31" s="39">
        <v>2</v>
      </c>
      <c r="F31" s="39">
        <v>2</v>
      </c>
      <c r="G31" s="39">
        <v>2</v>
      </c>
      <c r="H31" s="39">
        <v>2</v>
      </c>
      <c r="I31" s="39">
        <v>2</v>
      </c>
      <c r="J31" s="39">
        <v>2</v>
      </c>
      <c r="K31" s="39">
        <v>2</v>
      </c>
      <c r="L31" s="39">
        <v>2</v>
      </c>
      <c r="M31" s="39">
        <v>2</v>
      </c>
      <c r="N31" s="39">
        <v>2</v>
      </c>
      <c r="O31" s="39">
        <v>2</v>
      </c>
      <c r="P31" s="39">
        <v>2</v>
      </c>
      <c r="Q31" s="39">
        <v>2</v>
      </c>
      <c r="R31" s="39">
        <v>2</v>
      </c>
      <c r="S31" s="39">
        <v>2</v>
      </c>
      <c r="T31" s="39">
        <v>2</v>
      </c>
      <c r="U31" s="39">
        <v>2</v>
      </c>
      <c r="V31" s="39">
        <v>2</v>
      </c>
      <c r="W31" s="39">
        <v>2</v>
      </c>
      <c r="X31" s="39">
        <v>2</v>
      </c>
      <c r="Y31" s="39">
        <v>2</v>
      </c>
      <c r="Z31" s="39">
        <v>2</v>
      </c>
      <c r="AA31" s="39">
        <v>2</v>
      </c>
      <c r="AB31" s="39">
        <v>2</v>
      </c>
      <c r="AC31" s="39">
        <v>2</v>
      </c>
      <c r="AD31" s="39">
        <v>2</v>
      </c>
      <c r="AE31" s="39">
        <v>2</v>
      </c>
      <c r="AF31" s="39">
        <v>2</v>
      </c>
      <c r="AG31" s="39">
        <v>2</v>
      </c>
      <c r="AH31" s="39">
        <v>2</v>
      </c>
      <c r="AI31" s="39">
        <v>2</v>
      </c>
      <c r="AJ31" s="39">
        <v>2</v>
      </c>
      <c r="AK31" s="39">
        <v>2</v>
      </c>
      <c r="AL31" s="39">
        <v>2</v>
      </c>
      <c r="AM31" s="39">
        <v>2</v>
      </c>
      <c r="AN31" s="39">
        <v>2</v>
      </c>
      <c r="AO31" s="39">
        <v>2</v>
      </c>
      <c r="AP31" s="39">
        <v>2</v>
      </c>
      <c r="AQ31" s="39">
        <v>2</v>
      </c>
      <c r="AR31" s="39">
        <v>2</v>
      </c>
      <c r="AS31" s="39">
        <v>2</v>
      </c>
      <c r="AT31" s="39">
        <v>2</v>
      </c>
      <c r="AU31" s="39">
        <v>2</v>
      </c>
      <c r="AV31" s="39">
        <v>2</v>
      </c>
      <c r="AW31" s="39">
        <v>2</v>
      </c>
      <c r="AX31" s="39">
        <v>2</v>
      </c>
      <c r="AY31" s="39">
        <v>2</v>
      </c>
      <c r="AZ31" s="39">
        <v>2</v>
      </c>
      <c r="BA31" s="39">
        <v>2</v>
      </c>
      <c r="BB31" s="39">
        <v>2</v>
      </c>
      <c r="BC31" s="39">
        <v>2</v>
      </c>
      <c r="BD31" s="39">
        <v>2</v>
      </c>
      <c r="BE31" s="39">
        <v>2</v>
      </c>
      <c r="BF31" s="39">
        <v>2</v>
      </c>
      <c r="BG31" s="39">
        <v>2</v>
      </c>
      <c r="BH31" s="39">
        <v>2</v>
      </c>
      <c r="BI31" s="39">
        <v>2</v>
      </c>
      <c r="BJ31" s="39">
        <v>2</v>
      </c>
      <c r="BK31" s="39">
        <v>2</v>
      </c>
      <c r="BL31" s="39">
        <v>2</v>
      </c>
      <c r="BM31" s="39">
        <v>2</v>
      </c>
      <c r="BN31" s="39">
        <v>2</v>
      </c>
      <c r="BO31" s="39">
        <v>2</v>
      </c>
      <c r="BP31" s="39">
        <v>2</v>
      </c>
      <c r="BQ31" s="39">
        <v>2</v>
      </c>
      <c r="BR31" s="39">
        <v>2</v>
      </c>
      <c r="BS31" s="39">
        <v>2</v>
      </c>
      <c r="BT31" s="39">
        <v>2</v>
      </c>
      <c r="BU31" s="39">
        <v>2</v>
      </c>
      <c r="BV31" s="39">
        <v>2</v>
      </c>
      <c r="BW31" s="39">
        <v>2</v>
      </c>
      <c r="BX31" s="39">
        <v>2</v>
      </c>
      <c r="BY31" s="39">
        <v>2</v>
      </c>
      <c r="BZ31" s="39">
        <v>2</v>
      </c>
      <c r="CA31" s="39">
        <v>2</v>
      </c>
      <c r="CB31" s="39">
        <v>2</v>
      </c>
      <c r="CC31" s="39">
        <v>2</v>
      </c>
      <c r="CD31" s="39">
        <v>2</v>
      </c>
      <c r="CE31" s="39">
        <v>2</v>
      </c>
      <c r="CF31" s="39">
        <v>2</v>
      </c>
      <c r="CG31" s="39">
        <v>2</v>
      </c>
      <c r="CH31" s="39">
        <v>2</v>
      </c>
      <c r="CI31" s="39">
        <v>2</v>
      </c>
    </row>
    <row r="33" spans="1:1">
      <c r="A33" s="4"/>
    </row>
    <row r="34" spans="1:1">
      <c r="A34" s="3"/>
    </row>
    <row r="35" spans="1:1">
      <c r="A35" s="3"/>
    </row>
  </sheetData>
  <mergeCells count="3">
    <mergeCell ref="A29:B29"/>
    <mergeCell ref="A30:B30"/>
    <mergeCell ref="A31:B3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D00B-07AE-490E-BA29-BDB00C4C8DA3}">
  <dimension ref="A1:BL35"/>
  <sheetViews>
    <sheetView showGridLines="0" workbookViewId="0">
      <pane xSplit="4" ySplit="6" topLeftCell="E7" activePane="bottomRight" state="frozen"/>
      <selection pane="bottomRight" activeCell="E7" sqref="E7"/>
      <selection pane="bottomLeft" activeCell="E1" sqref="E1:MB1048576"/>
      <selection pane="topRight" activeCell="E1" sqref="E1:MB1048576"/>
    </sheetView>
  </sheetViews>
  <sheetFormatPr defaultRowHeight="15"/>
  <cols>
    <col min="1" max="4" width="11.7109375" style="1" customWidth="1"/>
    <col min="5" max="5" width="10.5703125" style="3" customWidth="1"/>
    <col min="6" max="340" width="10.5703125" customWidth="1"/>
  </cols>
  <sheetData>
    <row r="1" spans="1:64" ht="15" customHeight="1"/>
    <row r="2" spans="1:64" ht="15" customHeight="1">
      <c r="A2" s="9"/>
      <c r="B2" s="7"/>
      <c r="C2" s="7"/>
      <c r="D2" s="7"/>
      <c r="E2" s="7"/>
    </row>
    <row r="3" spans="1:64" ht="20.45" customHeight="1">
      <c r="A3" s="9" t="str">
        <f>Voorblad!A5</f>
        <v>Team Freight Forwarding Logistics</v>
      </c>
      <c r="B3" s="8"/>
      <c r="C3" s="8"/>
      <c r="D3" s="8"/>
      <c r="E3" s="48"/>
    </row>
    <row r="4" spans="1:64" s="51" customFormat="1" ht="15.75">
      <c r="A4" s="62" t="s">
        <v>47</v>
      </c>
      <c r="B4" s="49"/>
      <c r="C4" s="50"/>
      <c r="D4" s="50"/>
      <c r="E4" s="50"/>
    </row>
    <row r="5" spans="1:64" ht="15" customHeight="1">
      <c r="A5" s="7"/>
      <c r="B5" s="7"/>
      <c r="C5" s="7"/>
      <c r="D5" s="7"/>
      <c r="E5" s="26"/>
    </row>
    <row r="6" spans="1:64" ht="15" customHeight="1">
      <c r="A6" s="63" t="s">
        <v>20</v>
      </c>
      <c r="B6" s="63" t="s">
        <v>21</v>
      </c>
      <c r="C6" s="64" t="s">
        <v>22</v>
      </c>
      <c r="D6" s="64" t="s">
        <v>23</v>
      </c>
      <c r="E6" s="2">
        <v>10</v>
      </c>
      <c r="F6" s="2">
        <v>11</v>
      </c>
      <c r="G6" s="2">
        <v>12</v>
      </c>
      <c r="H6" s="2">
        <v>13</v>
      </c>
      <c r="I6" s="2">
        <v>14</v>
      </c>
      <c r="J6" s="2">
        <v>15</v>
      </c>
      <c r="K6" s="2">
        <v>16</v>
      </c>
      <c r="L6" s="2">
        <v>17</v>
      </c>
      <c r="M6" s="2">
        <v>18</v>
      </c>
      <c r="N6" s="2">
        <v>19</v>
      </c>
      <c r="O6" s="2">
        <v>25</v>
      </c>
      <c r="P6" s="2">
        <v>26</v>
      </c>
      <c r="Q6" s="2">
        <v>27</v>
      </c>
      <c r="R6" s="2">
        <v>28</v>
      </c>
      <c r="S6" s="2">
        <v>29</v>
      </c>
      <c r="T6" s="2">
        <v>30</v>
      </c>
      <c r="U6" s="2">
        <v>31</v>
      </c>
      <c r="V6" s="2">
        <v>32</v>
      </c>
      <c r="W6" s="2">
        <v>33</v>
      </c>
      <c r="X6" s="2">
        <v>34</v>
      </c>
      <c r="Y6" s="2">
        <v>35</v>
      </c>
      <c r="Z6" s="2">
        <v>36</v>
      </c>
      <c r="AA6" s="2">
        <v>37</v>
      </c>
      <c r="AB6" s="2">
        <v>38</v>
      </c>
      <c r="AC6" s="2">
        <v>39</v>
      </c>
      <c r="AD6" s="2">
        <v>40</v>
      </c>
      <c r="AE6" s="2">
        <v>41</v>
      </c>
      <c r="AF6" s="2">
        <v>43</v>
      </c>
      <c r="AG6" s="2">
        <v>44</v>
      </c>
      <c r="AH6" s="2">
        <v>46</v>
      </c>
      <c r="AI6" s="2">
        <v>47</v>
      </c>
      <c r="AJ6" s="2">
        <v>50</v>
      </c>
      <c r="AK6" s="2">
        <v>51</v>
      </c>
      <c r="AL6" s="2">
        <v>53</v>
      </c>
      <c r="AM6" s="2">
        <v>54</v>
      </c>
      <c r="AN6" s="2">
        <v>55</v>
      </c>
      <c r="AO6" s="2">
        <v>56</v>
      </c>
      <c r="AP6" s="2">
        <v>57</v>
      </c>
      <c r="AQ6" s="2">
        <v>58</v>
      </c>
      <c r="AR6" s="2">
        <v>59</v>
      </c>
      <c r="AS6" s="2">
        <v>60</v>
      </c>
      <c r="AT6" s="2">
        <v>61</v>
      </c>
      <c r="AU6" s="2">
        <v>62</v>
      </c>
      <c r="AV6" s="2">
        <v>63</v>
      </c>
      <c r="AW6" s="2">
        <v>64</v>
      </c>
      <c r="AX6" s="2">
        <v>65</v>
      </c>
      <c r="AY6" s="2">
        <v>66</v>
      </c>
      <c r="AZ6" s="2">
        <v>67</v>
      </c>
      <c r="BA6" s="2">
        <v>68</v>
      </c>
      <c r="BB6" s="2">
        <v>69</v>
      </c>
      <c r="BC6" s="2">
        <v>70</v>
      </c>
      <c r="BD6" s="2">
        <v>71</v>
      </c>
      <c r="BE6" s="2">
        <v>72</v>
      </c>
      <c r="BF6" s="2">
        <v>73</v>
      </c>
      <c r="BG6" s="2">
        <v>74</v>
      </c>
      <c r="BH6" s="2">
        <v>75</v>
      </c>
      <c r="BI6" s="2">
        <v>76</v>
      </c>
      <c r="BJ6" s="2">
        <v>77</v>
      </c>
      <c r="BK6" s="2">
        <v>78</v>
      </c>
      <c r="BL6" s="2">
        <v>79</v>
      </c>
    </row>
    <row r="7" spans="1:64" ht="15" customHeight="1">
      <c r="A7" s="67">
        <v>300</v>
      </c>
      <c r="B7" s="64">
        <v>0.2</v>
      </c>
      <c r="C7" s="64">
        <v>0.5</v>
      </c>
      <c r="D7" s="64"/>
      <c r="E7" s="90">
        <v>67</v>
      </c>
      <c r="F7" s="90">
        <v>67</v>
      </c>
      <c r="G7" s="90">
        <v>67</v>
      </c>
      <c r="H7" s="90">
        <v>67</v>
      </c>
      <c r="I7" s="90">
        <v>67</v>
      </c>
      <c r="J7" s="90">
        <v>67</v>
      </c>
      <c r="K7" s="90">
        <v>67</v>
      </c>
      <c r="L7" s="90">
        <v>67</v>
      </c>
      <c r="M7" s="90">
        <v>67</v>
      </c>
      <c r="N7" s="90">
        <v>67</v>
      </c>
      <c r="O7" s="90">
        <v>73</v>
      </c>
      <c r="P7" s="90">
        <v>73</v>
      </c>
      <c r="Q7" s="90">
        <v>73</v>
      </c>
      <c r="R7" s="90">
        <v>73</v>
      </c>
      <c r="S7" s="90">
        <v>73</v>
      </c>
      <c r="T7" s="90">
        <v>76</v>
      </c>
      <c r="U7" s="90">
        <v>76</v>
      </c>
      <c r="V7" s="90">
        <v>76</v>
      </c>
      <c r="W7" s="90">
        <v>76</v>
      </c>
      <c r="X7" s="90">
        <v>79</v>
      </c>
      <c r="Y7" s="90">
        <v>81</v>
      </c>
      <c r="Z7" s="90">
        <v>76</v>
      </c>
      <c r="AA7" s="90">
        <v>76</v>
      </c>
      <c r="AB7" s="90">
        <v>76</v>
      </c>
      <c r="AC7" s="90">
        <v>76</v>
      </c>
      <c r="AD7" s="90">
        <v>76</v>
      </c>
      <c r="AE7" s="90">
        <v>76</v>
      </c>
      <c r="AF7" s="90">
        <v>76</v>
      </c>
      <c r="AG7" s="90">
        <v>76</v>
      </c>
      <c r="AH7" s="90">
        <v>76</v>
      </c>
      <c r="AI7" s="90">
        <v>76</v>
      </c>
      <c r="AJ7" s="90">
        <v>76</v>
      </c>
      <c r="AK7" s="90">
        <v>76</v>
      </c>
      <c r="AL7" s="90">
        <v>76</v>
      </c>
      <c r="AM7" s="90">
        <v>76</v>
      </c>
      <c r="AN7" s="90">
        <v>76</v>
      </c>
      <c r="AO7" s="90">
        <v>76</v>
      </c>
      <c r="AP7" s="90">
        <v>76</v>
      </c>
      <c r="AQ7" s="90">
        <v>76</v>
      </c>
      <c r="AR7" s="90">
        <v>76</v>
      </c>
      <c r="AS7" s="90">
        <v>73</v>
      </c>
      <c r="AT7" s="90">
        <v>73</v>
      </c>
      <c r="AU7" s="90">
        <v>73</v>
      </c>
      <c r="AV7" s="90">
        <v>73</v>
      </c>
      <c r="AW7" s="90">
        <v>73</v>
      </c>
      <c r="AX7" s="90">
        <v>79</v>
      </c>
      <c r="AY7" s="90">
        <v>79</v>
      </c>
      <c r="AZ7" s="90">
        <v>79</v>
      </c>
      <c r="BA7" s="90">
        <v>79</v>
      </c>
      <c r="BB7" s="90">
        <v>79</v>
      </c>
      <c r="BC7" s="90">
        <v>82</v>
      </c>
      <c r="BD7" s="90">
        <v>76</v>
      </c>
      <c r="BE7" s="90">
        <v>76</v>
      </c>
      <c r="BF7" s="90">
        <v>76</v>
      </c>
      <c r="BG7" s="90">
        <v>76</v>
      </c>
      <c r="BH7" s="90">
        <v>83</v>
      </c>
      <c r="BI7" s="90">
        <v>76</v>
      </c>
      <c r="BJ7" s="90">
        <v>76</v>
      </c>
      <c r="BK7" s="90">
        <v>76</v>
      </c>
      <c r="BL7" s="90">
        <v>85</v>
      </c>
    </row>
    <row r="8" spans="1:64" ht="15" customHeight="1">
      <c r="A8" s="2">
        <v>700</v>
      </c>
      <c r="B8" s="64">
        <v>0.4</v>
      </c>
      <c r="C8" s="64">
        <v>1</v>
      </c>
      <c r="D8" s="64"/>
      <c r="E8" s="90">
        <v>107</v>
      </c>
      <c r="F8" s="90">
        <v>107</v>
      </c>
      <c r="G8" s="90">
        <v>107</v>
      </c>
      <c r="H8" s="90">
        <v>107</v>
      </c>
      <c r="I8" s="90">
        <v>107</v>
      </c>
      <c r="J8" s="90">
        <v>107</v>
      </c>
      <c r="K8" s="90">
        <v>107</v>
      </c>
      <c r="L8" s="90">
        <v>107</v>
      </c>
      <c r="M8" s="90">
        <v>107</v>
      </c>
      <c r="N8" s="90">
        <v>107</v>
      </c>
      <c r="O8" s="90">
        <v>116</v>
      </c>
      <c r="P8" s="90">
        <v>116</v>
      </c>
      <c r="Q8" s="90">
        <v>116</v>
      </c>
      <c r="R8" s="90">
        <v>116</v>
      </c>
      <c r="S8" s="90">
        <v>116</v>
      </c>
      <c r="T8" s="90">
        <v>123</v>
      </c>
      <c r="U8" s="90">
        <v>123</v>
      </c>
      <c r="V8" s="90">
        <v>123</v>
      </c>
      <c r="W8" s="90">
        <v>123</v>
      </c>
      <c r="X8" s="90">
        <v>131</v>
      </c>
      <c r="Y8" s="90">
        <v>136</v>
      </c>
      <c r="Z8" s="90">
        <v>123</v>
      </c>
      <c r="AA8" s="90">
        <v>123</v>
      </c>
      <c r="AB8" s="90">
        <v>123</v>
      </c>
      <c r="AC8" s="90">
        <v>123</v>
      </c>
      <c r="AD8" s="90">
        <v>123</v>
      </c>
      <c r="AE8" s="90">
        <v>123</v>
      </c>
      <c r="AF8" s="90">
        <v>123</v>
      </c>
      <c r="AG8" s="90">
        <v>123</v>
      </c>
      <c r="AH8" s="90">
        <v>123</v>
      </c>
      <c r="AI8" s="90">
        <v>123</v>
      </c>
      <c r="AJ8" s="90">
        <v>123</v>
      </c>
      <c r="AK8" s="90">
        <v>123</v>
      </c>
      <c r="AL8" s="90">
        <v>123</v>
      </c>
      <c r="AM8" s="90">
        <v>123</v>
      </c>
      <c r="AN8" s="90">
        <v>123</v>
      </c>
      <c r="AO8" s="90">
        <v>124</v>
      </c>
      <c r="AP8" s="90">
        <v>124</v>
      </c>
      <c r="AQ8" s="90">
        <v>124</v>
      </c>
      <c r="AR8" s="90">
        <v>124</v>
      </c>
      <c r="AS8" s="90">
        <v>116</v>
      </c>
      <c r="AT8" s="90">
        <v>116</v>
      </c>
      <c r="AU8" s="90">
        <v>116</v>
      </c>
      <c r="AV8" s="90">
        <v>116</v>
      </c>
      <c r="AW8" s="90">
        <v>116</v>
      </c>
      <c r="AX8" s="90">
        <v>132</v>
      </c>
      <c r="AY8" s="90">
        <v>132</v>
      </c>
      <c r="AZ8" s="90">
        <v>132</v>
      </c>
      <c r="BA8" s="90">
        <v>132</v>
      </c>
      <c r="BB8" s="90">
        <v>132</v>
      </c>
      <c r="BC8" s="90">
        <v>138</v>
      </c>
      <c r="BD8" s="90">
        <v>138</v>
      </c>
      <c r="BE8" s="90">
        <v>138</v>
      </c>
      <c r="BF8" s="90">
        <v>138</v>
      </c>
      <c r="BG8" s="90">
        <v>138</v>
      </c>
      <c r="BH8" s="90">
        <v>141</v>
      </c>
      <c r="BI8" s="90">
        <v>141</v>
      </c>
      <c r="BJ8" s="90">
        <v>141</v>
      </c>
      <c r="BK8" s="90">
        <v>141</v>
      </c>
      <c r="BL8" s="90">
        <v>144</v>
      </c>
    </row>
    <row r="9" spans="1:64" ht="15" customHeight="1">
      <c r="A9" s="2">
        <v>875</v>
      </c>
      <c r="B9" s="64">
        <v>0.5</v>
      </c>
      <c r="C9" s="64"/>
      <c r="D9" s="64">
        <v>1</v>
      </c>
      <c r="E9" s="90">
        <v>121</v>
      </c>
      <c r="F9" s="90">
        <v>121</v>
      </c>
      <c r="G9" s="90">
        <v>121</v>
      </c>
      <c r="H9" s="90">
        <v>121</v>
      </c>
      <c r="I9" s="90">
        <v>121</v>
      </c>
      <c r="J9" s="90">
        <v>121</v>
      </c>
      <c r="K9" s="90">
        <v>121</v>
      </c>
      <c r="L9" s="90">
        <v>121</v>
      </c>
      <c r="M9" s="90">
        <v>121</v>
      </c>
      <c r="N9" s="90">
        <v>121</v>
      </c>
      <c r="O9" s="90">
        <v>133</v>
      </c>
      <c r="P9" s="90">
        <v>133</v>
      </c>
      <c r="Q9" s="90">
        <v>133</v>
      </c>
      <c r="R9" s="90">
        <v>133</v>
      </c>
      <c r="S9" s="90">
        <v>133</v>
      </c>
      <c r="T9" s="90">
        <v>142</v>
      </c>
      <c r="U9" s="90">
        <v>142</v>
      </c>
      <c r="V9" s="90">
        <v>142</v>
      </c>
      <c r="W9" s="90">
        <v>142</v>
      </c>
      <c r="X9" s="90">
        <v>150</v>
      </c>
      <c r="Y9" s="90">
        <v>156</v>
      </c>
      <c r="Z9" s="90">
        <v>142</v>
      </c>
      <c r="AA9" s="90">
        <v>142</v>
      </c>
      <c r="AB9" s="90">
        <v>142</v>
      </c>
      <c r="AC9" s="90">
        <v>142</v>
      </c>
      <c r="AD9" s="90">
        <v>142</v>
      </c>
      <c r="AE9" s="90">
        <v>142</v>
      </c>
      <c r="AF9" s="90">
        <v>142</v>
      </c>
      <c r="AG9" s="90">
        <v>142</v>
      </c>
      <c r="AH9" s="90">
        <v>142</v>
      </c>
      <c r="AI9" s="90">
        <v>142</v>
      </c>
      <c r="AJ9" s="90">
        <v>142</v>
      </c>
      <c r="AK9" s="90">
        <v>142</v>
      </c>
      <c r="AL9" s="90">
        <v>142</v>
      </c>
      <c r="AM9" s="90">
        <v>142</v>
      </c>
      <c r="AN9" s="90">
        <v>142</v>
      </c>
      <c r="AO9" s="90">
        <v>142</v>
      </c>
      <c r="AP9" s="90">
        <v>142</v>
      </c>
      <c r="AQ9" s="90">
        <v>142</v>
      </c>
      <c r="AR9" s="90">
        <v>142</v>
      </c>
      <c r="AS9" s="90">
        <v>133</v>
      </c>
      <c r="AT9" s="90">
        <v>133</v>
      </c>
      <c r="AU9" s="90">
        <v>133</v>
      </c>
      <c r="AV9" s="90">
        <v>133</v>
      </c>
      <c r="AW9" s="90">
        <v>133</v>
      </c>
      <c r="AX9" s="90">
        <v>151</v>
      </c>
      <c r="AY9" s="90">
        <v>151</v>
      </c>
      <c r="AZ9" s="90">
        <v>151</v>
      </c>
      <c r="BA9" s="90">
        <v>151</v>
      </c>
      <c r="BB9" s="90">
        <v>151</v>
      </c>
      <c r="BC9" s="90">
        <v>159</v>
      </c>
      <c r="BD9" s="90">
        <v>159</v>
      </c>
      <c r="BE9" s="90">
        <v>159</v>
      </c>
      <c r="BF9" s="90">
        <v>159</v>
      </c>
      <c r="BG9" s="90">
        <v>159</v>
      </c>
      <c r="BH9" s="90">
        <v>161</v>
      </c>
      <c r="BI9" s="90">
        <v>161</v>
      </c>
      <c r="BJ9" s="90">
        <v>161</v>
      </c>
      <c r="BK9" s="90">
        <v>166</v>
      </c>
      <c r="BL9" s="90">
        <v>170</v>
      </c>
    </row>
    <row r="10" spans="1:64" ht="15" customHeight="1">
      <c r="A10" s="2">
        <v>1050</v>
      </c>
      <c r="B10" s="64">
        <v>0.6</v>
      </c>
      <c r="C10" s="64"/>
      <c r="D10" s="64"/>
      <c r="E10" s="90">
        <v>159</v>
      </c>
      <c r="F10" s="90">
        <v>159</v>
      </c>
      <c r="G10" s="90">
        <v>159</v>
      </c>
      <c r="H10" s="90">
        <v>159</v>
      </c>
      <c r="I10" s="90">
        <v>159</v>
      </c>
      <c r="J10" s="90">
        <v>159</v>
      </c>
      <c r="K10" s="90">
        <v>159</v>
      </c>
      <c r="L10" s="90">
        <v>159</v>
      </c>
      <c r="M10" s="90">
        <v>159</v>
      </c>
      <c r="N10" s="90">
        <v>159</v>
      </c>
      <c r="O10" s="90">
        <v>182</v>
      </c>
      <c r="P10" s="90">
        <v>182</v>
      </c>
      <c r="Q10" s="90">
        <v>182</v>
      </c>
      <c r="R10" s="90">
        <v>182</v>
      </c>
      <c r="S10" s="90">
        <v>182</v>
      </c>
      <c r="T10" s="90">
        <v>197</v>
      </c>
      <c r="U10" s="90">
        <v>197</v>
      </c>
      <c r="V10" s="90">
        <v>197</v>
      </c>
      <c r="W10" s="90">
        <v>197</v>
      </c>
      <c r="X10" s="90">
        <v>214</v>
      </c>
      <c r="Y10" s="90">
        <v>225</v>
      </c>
      <c r="Z10" s="90">
        <v>197</v>
      </c>
      <c r="AA10" s="90">
        <v>197</v>
      </c>
      <c r="AB10" s="90">
        <v>197</v>
      </c>
      <c r="AC10" s="90">
        <v>197</v>
      </c>
      <c r="AD10" s="90">
        <v>197</v>
      </c>
      <c r="AE10" s="90">
        <v>197</v>
      </c>
      <c r="AF10" s="90">
        <v>197</v>
      </c>
      <c r="AG10" s="90">
        <v>197</v>
      </c>
      <c r="AH10" s="90">
        <v>197</v>
      </c>
      <c r="AI10" s="90">
        <v>197</v>
      </c>
      <c r="AJ10" s="90">
        <v>197</v>
      </c>
      <c r="AK10" s="90">
        <v>197</v>
      </c>
      <c r="AL10" s="90">
        <v>197</v>
      </c>
      <c r="AM10" s="90">
        <v>197</v>
      </c>
      <c r="AN10" s="90">
        <v>197</v>
      </c>
      <c r="AO10" s="90">
        <v>198</v>
      </c>
      <c r="AP10" s="90">
        <v>198</v>
      </c>
      <c r="AQ10" s="90">
        <v>198</v>
      </c>
      <c r="AR10" s="90">
        <v>198</v>
      </c>
      <c r="AS10" s="90">
        <v>182</v>
      </c>
      <c r="AT10" s="90">
        <v>182</v>
      </c>
      <c r="AU10" s="90">
        <v>182</v>
      </c>
      <c r="AV10" s="90">
        <v>182</v>
      </c>
      <c r="AW10" s="90">
        <v>182</v>
      </c>
      <c r="AX10" s="90">
        <v>217</v>
      </c>
      <c r="AY10" s="90">
        <v>217</v>
      </c>
      <c r="AZ10" s="90">
        <v>217</v>
      </c>
      <c r="BA10" s="90">
        <v>217</v>
      </c>
      <c r="BB10" s="90">
        <v>217</v>
      </c>
      <c r="BC10" s="90">
        <v>231</v>
      </c>
      <c r="BD10" s="90">
        <v>231</v>
      </c>
      <c r="BE10" s="90">
        <v>231</v>
      </c>
      <c r="BF10" s="90">
        <v>231</v>
      </c>
      <c r="BG10" s="90">
        <v>231</v>
      </c>
      <c r="BH10" s="90">
        <v>236</v>
      </c>
      <c r="BI10" s="90">
        <v>236</v>
      </c>
      <c r="BJ10" s="90">
        <v>236</v>
      </c>
      <c r="BK10" s="90">
        <v>241</v>
      </c>
      <c r="BL10" s="90">
        <v>255</v>
      </c>
    </row>
    <row r="11" spans="1:64" ht="15" customHeight="1">
      <c r="A11" s="2">
        <v>1400</v>
      </c>
      <c r="B11" s="64">
        <v>0.8</v>
      </c>
      <c r="C11" s="64">
        <v>2</v>
      </c>
      <c r="D11" s="64"/>
      <c r="E11" s="90">
        <v>193</v>
      </c>
      <c r="F11" s="90">
        <v>193</v>
      </c>
      <c r="G11" s="90">
        <v>193</v>
      </c>
      <c r="H11" s="90">
        <v>193</v>
      </c>
      <c r="I11" s="90">
        <v>193</v>
      </c>
      <c r="J11" s="90">
        <v>193</v>
      </c>
      <c r="K11" s="90">
        <v>193</v>
      </c>
      <c r="L11" s="90">
        <v>193</v>
      </c>
      <c r="M11" s="90">
        <v>193</v>
      </c>
      <c r="N11" s="90">
        <v>193</v>
      </c>
      <c r="O11" s="90">
        <v>211</v>
      </c>
      <c r="P11" s="90">
        <v>211</v>
      </c>
      <c r="Q11" s="90">
        <v>211</v>
      </c>
      <c r="R11" s="90">
        <v>211</v>
      </c>
      <c r="S11" s="90">
        <v>211</v>
      </c>
      <c r="T11" s="90">
        <v>223</v>
      </c>
      <c r="U11" s="90">
        <v>223</v>
      </c>
      <c r="V11" s="90">
        <v>223</v>
      </c>
      <c r="W11" s="90">
        <v>223</v>
      </c>
      <c r="X11" s="90">
        <v>237</v>
      </c>
      <c r="Y11" s="90">
        <v>245</v>
      </c>
      <c r="Z11" s="90">
        <v>223</v>
      </c>
      <c r="AA11" s="90">
        <v>223</v>
      </c>
      <c r="AB11" s="90">
        <v>223</v>
      </c>
      <c r="AC11" s="90">
        <v>223</v>
      </c>
      <c r="AD11" s="90">
        <v>223</v>
      </c>
      <c r="AE11" s="90">
        <v>223</v>
      </c>
      <c r="AF11" s="90">
        <v>223</v>
      </c>
      <c r="AG11" s="90">
        <v>223</v>
      </c>
      <c r="AH11" s="90">
        <v>223</v>
      </c>
      <c r="AI11" s="90">
        <v>223</v>
      </c>
      <c r="AJ11" s="90">
        <v>223</v>
      </c>
      <c r="AK11" s="90">
        <v>223</v>
      </c>
      <c r="AL11" s="90">
        <v>223</v>
      </c>
      <c r="AM11" s="90">
        <v>223</v>
      </c>
      <c r="AN11" s="90">
        <v>223</v>
      </c>
      <c r="AO11" s="90">
        <v>224</v>
      </c>
      <c r="AP11" s="90">
        <v>224</v>
      </c>
      <c r="AQ11" s="90">
        <v>224</v>
      </c>
      <c r="AR11" s="90">
        <v>224</v>
      </c>
      <c r="AS11" s="90">
        <v>211</v>
      </c>
      <c r="AT11" s="90">
        <v>211</v>
      </c>
      <c r="AU11" s="90">
        <v>211</v>
      </c>
      <c r="AV11" s="90">
        <v>211</v>
      </c>
      <c r="AW11" s="90">
        <v>211</v>
      </c>
      <c r="AX11" s="90">
        <v>238</v>
      </c>
      <c r="AY11" s="90">
        <v>238</v>
      </c>
      <c r="AZ11" s="90">
        <v>238</v>
      </c>
      <c r="BA11" s="90">
        <v>238</v>
      </c>
      <c r="BB11" s="90">
        <v>238</v>
      </c>
      <c r="BC11" s="90">
        <v>254</v>
      </c>
      <c r="BD11" s="90">
        <v>254</v>
      </c>
      <c r="BE11" s="90">
        <v>254</v>
      </c>
      <c r="BF11" s="90">
        <v>254</v>
      </c>
      <c r="BG11" s="90">
        <v>254</v>
      </c>
      <c r="BH11" s="90">
        <v>253</v>
      </c>
      <c r="BI11" s="90">
        <v>253</v>
      </c>
      <c r="BJ11" s="90">
        <v>253</v>
      </c>
      <c r="BK11" s="90">
        <v>253</v>
      </c>
      <c r="BL11" s="90">
        <v>266</v>
      </c>
    </row>
    <row r="12" spans="1:64" ht="15" customHeight="1">
      <c r="A12" s="2">
        <v>1750</v>
      </c>
      <c r="B12" s="64">
        <v>1</v>
      </c>
      <c r="C12" s="64"/>
      <c r="D12" s="64">
        <v>2</v>
      </c>
      <c r="E12" s="90">
        <v>219</v>
      </c>
      <c r="F12" s="90">
        <v>219</v>
      </c>
      <c r="G12" s="90">
        <v>219</v>
      </c>
      <c r="H12" s="90">
        <v>219</v>
      </c>
      <c r="I12" s="90">
        <v>219</v>
      </c>
      <c r="J12" s="90">
        <v>219</v>
      </c>
      <c r="K12" s="90">
        <v>219</v>
      </c>
      <c r="L12" s="90">
        <v>219</v>
      </c>
      <c r="M12" s="90">
        <v>219</v>
      </c>
      <c r="N12" s="90">
        <v>219</v>
      </c>
      <c r="O12" s="90">
        <v>241</v>
      </c>
      <c r="P12" s="90">
        <v>241</v>
      </c>
      <c r="Q12" s="90">
        <v>241</v>
      </c>
      <c r="R12" s="90">
        <v>241</v>
      </c>
      <c r="S12" s="90">
        <v>241</v>
      </c>
      <c r="T12" s="90">
        <v>255</v>
      </c>
      <c r="U12" s="90">
        <v>255</v>
      </c>
      <c r="V12" s="90">
        <v>255</v>
      </c>
      <c r="W12" s="90">
        <v>255</v>
      </c>
      <c r="X12" s="90">
        <v>273</v>
      </c>
      <c r="Y12" s="90">
        <v>285</v>
      </c>
      <c r="Z12" s="90">
        <v>255</v>
      </c>
      <c r="AA12" s="90">
        <v>255</v>
      </c>
      <c r="AB12" s="90">
        <v>255</v>
      </c>
      <c r="AC12" s="90">
        <v>255</v>
      </c>
      <c r="AD12" s="90">
        <v>255</v>
      </c>
      <c r="AE12" s="90">
        <v>255</v>
      </c>
      <c r="AF12" s="90">
        <v>255</v>
      </c>
      <c r="AG12" s="90">
        <v>255</v>
      </c>
      <c r="AH12" s="90">
        <v>255</v>
      </c>
      <c r="AI12" s="90">
        <v>255</v>
      </c>
      <c r="AJ12" s="90">
        <v>255</v>
      </c>
      <c r="AK12" s="90">
        <v>255</v>
      </c>
      <c r="AL12" s="90">
        <v>255</v>
      </c>
      <c r="AM12" s="90">
        <v>255</v>
      </c>
      <c r="AN12" s="90">
        <v>255</v>
      </c>
      <c r="AO12" s="90">
        <v>257</v>
      </c>
      <c r="AP12" s="90">
        <v>257</v>
      </c>
      <c r="AQ12" s="90">
        <v>257</v>
      </c>
      <c r="AR12" s="90">
        <v>257</v>
      </c>
      <c r="AS12" s="90">
        <v>241</v>
      </c>
      <c r="AT12" s="90">
        <v>241</v>
      </c>
      <c r="AU12" s="90">
        <v>241</v>
      </c>
      <c r="AV12" s="90">
        <v>241</v>
      </c>
      <c r="AW12" s="90">
        <v>241</v>
      </c>
      <c r="AX12" s="90">
        <v>275</v>
      </c>
      <c r="AY12" s="90">
        <v>275</v>
      </c>
      <c r="AZ12" s="90">
        <v>275</v>
      </c>
      <c r="BA12" s="90">
        <v>275</v>
      </c>
      <c r="BB12" s="90">
        <v>275</v>
      </c>
      <c r="BC12" s="90">
        <v>291</v>
      </c>
      <c r="BD12" s="90">
        <v>291</v>
      </c>
      <c r="BE12" s="90">
        <v>291</v>
      </c>
      <c r="BF12" s="90">
        <v>291</v>
      </c>
      <c r="BG12" s="90">
        <v>291</v>
      </c>
      <c r="BH12" s="90">
        <v>294</v>
      </c>
      <c r="BI12" s="90">
        <v>294</v>
      </c>
      <c r="BJ12" s="90">
        <v>294</v>
      </c>
      <c r="BK12" s="90">
        <v>294</v>
      </c>
      <c r="BL12" s="90">
        <v>310</v>
      </c>
    </row>
    <row r="13" spans="1:64" ht="15" customHeight="1">
      <c r="A13" s="2">
        <v>2100</v>
      </c>
      <c r="B13" s="64">
        <v>1.2</v>
      </c>
      <c r="C13" s="64">
        <v>3</v>
      </c>
      <c r="D13" s="64"/>
      <c r="E13" s="90">
        <v>267</v>
      </c>
      <c r="F13" s="90">
        <v>267</v>
      </c>
      <c r="G13" s="90">
        <v>267</v>
      </c>
      <c r="H13" s="90">
        <v>267</v>
      </c>
      <c r="I13" s="90">
        <v>267</v>
      </c>
      <c r="J13" s="90">
        <v>267</v>
      </c>
      <c r="K13" s="90">
        <v>267</v>
      </c>
      <c r="L13" s="90">
        <v>267</v>
      </c>
      <c r="M13" s="90">
        <v>267</v>
      </c>
      <c r="N13" s="90">
        <v>267</v>
      </c>
      <c r="O13" s="90">
        <v>291</v>
      </c>
      <c r="P13" s="90">
        <v>291</v>
      </c>
      <c r="Q13" s="90">
        <v>291</v>
      </c>
      <c r="R13" s="90">
        <v>291</v>
      </c>
      <c r="S13" s="90">
        <v>291</v>
      </c>
      <c r="T13" s="90">
        <v>309</v>
      </c>
      <c r="U13" s="90">
        <v>309</v>
      </c>
      <c r="V13" s="90">
        <v>309</v>
      </c>
      <c r="W13" s="90">
        <v>309</v>
      </c>
      <c r="X13" s="90">
        <v>327</v>
      </c>
      <c r="Y13" s="90">
        <v>339</v>
      </c>
      <c r="Z13" s="90">
        <v>309</v>
      </c>
      <c r="AA13" s="90">
        <v>309</v>
      </c>
      <c r="AB13" s="90">
        <v>309</v>
      </c>
      <c r="AC13" s="90">
        <v>309</v>
      </c>
      <c r="AD13" s="90">
        <v>309</v>
      </c>
      <c r="AE13" s="90">
        <v>309</v>
      </c>
      <c r="AF13" s="90">
        <v>309</v>
      </c>
      <c r="AG13" s="90">
        <v>309</v>
      </c>
      <c r="AH13" s="90">
        <v>309</v>
      </c>
      <c r="AI13" s="90">
        <v>309</v>
      </c>
      <c r="AJ13" s="90">
        <v>309</v>
      </c>
      <c r="AK13" s="90">
        <v>309</v>
      </c>
      <c r="AL13" s="90">
        <v>309</v>
      </c>
      <c r="AM13" s="90">
        <v>309</v>
      </c>
      <c r="AN13" s="90">
        <v>309</v>
      </c>
      <c r="AO13" s="90">
        <v>310</v>
      </c>
      <c r="AP13" s="90">
        <v>310</v>
      </c>
      <c r="AQ13" s="90">
        <v>310</v>
      </c>
      <c r="AR13" s="90">
        <v>310</v>
      </c>
      <c r="AS13" s="90">
        <v>291</v>
      </c>
      <c r="AT13" s="90">
        <v>291</v>
      </c>
      <c r="AU13" s="90">
        <v>291</v>
      </c>
      <c r="AV13" s="90">
        <v>291</v>
      </c>
      <c r="AW13" s="90">
        <v>291</v>
      </c>
      <c r="AX13" s="90">
        <v>330</v>
      </c>
      <c r="AY13" s="90">
        <v>330</v>
      </c>
      <c r="AZ13" s="90">
        <v>330</v>
      </c>
      <c r="BA13" s="90">
        <v>330</v>
      </c>
      <c r="BB13" s="90">
        <v>330</v>
      </c>
      <c r="BC13" s="90">
        <v>340</v>
      </c>
      <c r="BD13" s="90">
        <v>340</v>
      </c>
      <c r="BE13" s="90">
        <v>340</v>
      </c>
      <c r="BF13" s="90">
        <v>340</v>
      </c>
      <c r="BG13" s="90">
        <v>340</v>
      </c>
      <c r="BH13" s="90">
        <v>352</v>
      </c>
      <c r="BI13" s="90">
        <v>352</v>
      </c>
      <c r="BJ13" s="90">
        <v>352</v>
      </c>
      <c r="BK13" s="90">
        <v>352</v>
      </c>
      <c r="BL13" s="90">
        <v>362</v>
      </c>
    </row>
    <row r="14" spans="1:64" ht="15" customHeight="1">
      <c r="A14" s="2">
        <v>2625</v>
      </c>
      <c r="B14" s="64">
        <v>1.5</v>
      </c>
      <c r="C14" s="64"/>
      <c r="D14" s="64">
        <v>3</v>
      </c>
      <c r="E14" s="90">
        <v>305</v>
      </c>
      <c r="F14" s="90">
        <v>305</v>
      </c>
      <c r="G14" s="90">
        <v>305</v>
      </c>
      <c r="H14" s="90">
        <v>305</v>
      </c>
      <c r="I14" s="90">
        <v>305</v>
      </c>
      <c r="J14" s="90">
        <v>305</v>
      </c>
      <c r="K14" s="90">
        <v>305</v>
      </c>
      <c r="L14" s="90">
        <v>305</v>
      </c>
      <c r="M14" s="90">
        <v>305</v>
      </c>
      <c r="N14" s="90">
        <v>305</v>
      </c>
      <c r="O14" s="90">
        <v>336</v>
      </c>
      <c r="P14" s="90">
        <v>336</v>
      </c>
      <c r="Q14" s="90">
        <v>336</v>
      </c>
      <c r="R14" s="90">
        <v>336</v>
      </c>
      <c r="S14" s="90">
        <v>336</v>
      </c>
      <c r="T14" s="90">
        <v>357</v>
      </c>
      <c r="U14" s="90">
        <v>357</v>
      </c>
      <c r="V14" s="90">
        <v>357</v>
      </c>
      <c r="W14" s="90">
        <v>357</v>
      </c>
      <c r="X14" s="90">
        <v>380</v>
      </c>
      <c r="Y14" s="90">
        <v>396</v>
      </c>
      <c r="Z14" s="90">
        <v>357</v>
      </c>
      <c r="AA14" s="90">
        <v>357</v>
      </c>
      <c r="AB14" s="90">
        <v>357</v>
      </c>
      <c r="AC14" s="90">
        <v>357</v>
      </c>
      <c r="AD14" s="90">
        <v>357</v>
      </c>
      <c r="AE14" s="90">
        <v>357</v>
      </c>
      <c r="AF14" s="90">
        <v>357</v>
      </c>
      <c r="AG14" s="90">
        <v>357</v>
      </c>
      <c r="AH14" s="90">
        <v>357</v>
      </c>
      <c r="AI14" s="90">
        <v>357</v>
      </c>
      <c r="AJ14" s="90">
        <v>357</v>
      </c>
      <c r="AK14" s="90">
        <v>357</v>
      </c>
      <c r="AL14" s="90">
        <v>357</v>
      </c>
      <c r="AM14" s="90">
        <v>357</v>
      </c>
      <c r="AN14" s="90">
        <v>357</v>
      </c>
      <c r="AO14" s="90">
        <v>358</v>
      </c>
      <c r="AP14" s="90">
        <v>358</v>
      </c>
      <c r="AQ14" s="90">
        <v>358</v>
      </c>
      <c r="AR14" s="90">
        <v>358</v>
      </c>
      <c r="AS14" s="90">
        <v>335</v>
      </c>
      <c r="AT14" s="90">
        <v>335</v>
      </c>
      <c r="AU14" s="90">
        <v>335</v>
      </c>
      <c r="AV14" s="90">
        <v>335</v>
      </c>
      <c r="AW14" s="90">
        <v>335</v>
      </c>
      <c r="AX14" s="90">
        <v>383</v>
      </c>
      <c r="AY14" s="90">
        <v>383</v>
      </c>
      <c r="AZ14" s="90">
        <v>383</v>
      </c>
      <c r="BA14" s="90">
        <v>383</v>
      </c>
      <c r="BB14" s="90">
        <v>383</v>
      </c>
      <c r="BC14" s="90">
        <v>390</v>
      </c>
      <c r="BD14" s="90">
        <v>390</v>
      </c>
      <c r="BE14" s="90">
        <v>390</v>
      </c>
      <c r="BF14" s="90">
        <v>390</v>
      </c>
      <c r="BG14" s="90">
        <v>390</v>
      </c>
      <c r="BH14" s="90">
        <v>410</v>
      </c>
      <c r="BI14" s="90">
        <v>410</v>
      </c>
      <c r="BJ14" s="90">
        <v>410</v>
      </c>
      <c r="BK14" s="90">
        <v>410</v>
      </c>
      <c r="BL14" s="90">
        <v>423</v>
      </c>
    </row>
    <row r="15" spans="1:64" ht="15" customHeight="1">
      <c r="A15" s="2">
        <v>2800</v>
      </c>
      <c r="B15" s="64">
        <v>1.6</v>
      </c>
      <c r="C15" s="64">
        <v>4</v>
      </c>
      <c r="D15" s="64"/>
      <c r="E15" s="90">
        <v>343</v>
      </c>
      <c r="F15" s="90">
        <v>343</v>
      </c>
      <c r="G15" s="90">
        <v>343</v>
      </c>
      <c r="H15" s="90">
        <v>343</v>
      </c>
      <c r="I15" s="90">
        <v>343</v>
      </c>
      <c r="J15" s="90">
        <v>343</v>
      </c>
      <c r="K15" s="90">
        <v>343</v>
      </c>
      <c r="L15" s="90">
        <v>343</v>
      </c>
      <c r="M15" s="90">
        <v>343</v>
      </c>
      <c r="N15" s="90">
        <v>343</v>
      </c>
      <c r="O15" s="90">
        <v>377</v>
      </c>
      <c r="P15" s="90">
        <v>354</v>
      </c>
      <c r="Q15" s="90">
        <v>354</v>
      </c>
      <c r="R15" s="90">
        <v>377</v>
      </c>
      <c r="S15" s="90">
        <v>377</v>
      </c>
      <c r="T15" s="90">
        <v>399</v>
      </c>
      <c r="U15" s="90">
        <v>399</v>
      </c>
      <c r="V15" s="90">
        <v>399</v>
      </c>
      <c r="W15" s="90">
        <v>399</v>
      </c>
      <c r="X15" s="90">
        <v>424</v>
      </c>
      <c r="Y15" s="90">
        <v>440</v>
      </c>
      <c r="Z15" s="90">
        <v>399</v>
      </c>
      <c r="AA15" s="90">
        <v>399</v>
      </c>
      <c r="AB15" s="90">
        <v>399</v>
      </c>
      <c r="AC15" s="90">
        <v>399</v>
      </c>
      <c r="AD15" s="90">
        <v>399</v>
      </c>
      <c r="AE15" s="90">
        <v>399</v>
      </c>
      <c r="AF15" s="90">
        <v>399</v>
      </c>
      <c r="AG15" s="90">
        <v>399</v>
      </c>
      <c r="AH15" s="90">
        <v>399</v>
      </c>
      <c r="AI15" s="90">
        <v>399</v>
      </c>
      <c r="AJ15" s="90">
        <v>399</v>
      </c>
      <c r="AK15" s="90">
        <v>399</v>
      </c>
      <c r="AL15" s="90">
        <v>399</v>
      </c>
      <c r="AM15" s="90">
        <v>399</v>
      </c>
      <c r="AN15" s="90">
        <v>399</v>
      </c>
      <c r="AO15" s="90">
        <v>400</v>
      </c>
      <c r="AP15" s="90">
        <v>400</v>
      </c>
      <c r="AQ15" s="90">
        <v>400</v>
      </c>
      <c r="AR15" s="90">
        <v>400</v>
      </c>
      <c r="AS15" s="90">
        <v>377</v>
      </c>
      <c r="AT15" s="90">
        <v>377</v>
      </c>
      <c r="AU15" s="90">
        <v>377</v>
      </c>
      <c r="AV15" s="90">
        <v>377</v>
      </c>
      <c r="AW15" s="90">
        <v>377</v>
      </c>
      <c r="AX15" s="90">
        <v>427</v>
      </c>
      <c r="AY15" s="90">
        <v>427</v>
      </c>
      <c r="AZ15" s="90">
        <v>427</v>
      </c>
      <c r="BA15" s="90">
        <v>427</v>
      </c>
      <c r="BB15" s="90">
        <v>427</v>
      </c>
      <c r="BC15" s="90">
        <v>435</v>
      </c>
      <c r="BD15" s="90">
        <v>435</v>
      </c>
      <c r="BE15" s="90">
        <v>435</v>
      </c>
      <c r="BF15" s="90">
        <v>435</v>
      </c>
      <c r="BG15" s="90">
        <v>435</v>
      </c>
      <c r="BH15" s="90">
        <v>456</v>
      </c>
      <c r="BI15" s="90">
        <v>456</v>
      </c>
      <c r="BJ15" s="90">
        <v>456</v>
      </c>
      <c r="BK15" s="90">
        <v>456</v>
      </c>
      <c r="BL15" s="90">
        <v>470</v>
      </c>
    </row>
    <row r="16" spans="1:64" ht="15" customHeight="1">
      <c r="A16" s="2">
        <v>3500</v>
      </c>
      <c r="B16" s="64">
        <v>2</v>
      </c>
      <c r="C16" s="64">
        <v>5</v>
      </c>
      <c r="D16" s="64">
        <v>4</v>
      </c>
      <c r="E16" s="90">
        <v>369</v>
      </c>
      <c r="F16" s="90">
        <v>369</v>
      </c>
      <c r="G16" s="90">
        <v>369</v>
      </c>
      <c r="H16" s="90">
        <v>369</v>
      </c>
      <c r="I16" s="90">
        <v>369</v>
      </c>
      <c r="J16" s="90">
        <v>369</v>
      </c>
      <c r="K16" s="90">
        <v>369</v>
      </c>
      <c r="L16" s="90">
        <v>369</v>
      </c>
      <c r="M16" s="90">
        <v>369</v>
      </c>
      <c r="N16" s="90">
        <v>369</v>
      </c>
      <c r="O16" s="90">
        <v>381</v>
      </c>
      <c r="P16" s="90">
        <v>369</v>
      </c>
      <c r="Q16" s="90">
        <v>369</v>
      </c>
      <c r="R16" s="90">
        <v>402</v>
      </c>
      <c r="S16" s="90">
        <v>415</v>
      </c>
      <c r="T16" s="90">
        <v>407</v>
      </c>
      <c r="U16" s="90">
        <v>407</v>
      </c>
      <c r="V16" s="90">
        <v>409</v>
      </c>
      <c r="W16" s="90">
        <v>408</v>
      </c>
      <c r="X16" s="90">
        <v>432</v>
      </c>
      <c r="Y16" s="90">
        <v>448</v>
      </c>
      <c r="Z16" s="90">
        <v>409</v>
      </c>
      <c r="AA16" s="90">
        <v>486</v>
      </c>
      <c r="AB16" s="90">
        <v>423</v>
      </c>
      <c r="AC16" s="90">
        <v>418</v>
      </c>
      <c r="AD16" s="90">
        <v>406</v>
      </c>
      <c r="AE16" s="90">
        <v>406</v>
      </c>
      <c r="AF16" s="90">
        <v>406</v>
      </c>
      <c r="AG16" s="90">
        <v>406</v>
      </c>
      <c r="AH16" s="90">
        <v>443</v>
      </c>
      <c r="AI16" s="90">
        <v>408</v>
      </c>
      <c r="AJ16" s="90">
        <v>477</v>
      </c>
      <c r="AK16" s="90">
        <v>454</v>
      </c>
      <c r="AL16" s="90">
        <v>494</v>
      </c>
      <c r="AM16" s="90">
        <v>497</v>
      </c>
      <c r="AN16" s="90">
        <v>497</v>
      </c>
      <c r="AO16" s="90">
        <v>499</v>
      </c>
      <c r="AP16" s="90">
        <v>499</v>
      </c>
      <c r="AQ16" s="90">
        <v>450</v>
      </c>
      <c r="AR16" s="90">
        <v>497</v>
      </c>
      <c r="AS16" s="90">
        <v>470</v>
      </c>
      <c r="AT16" s="90">
        <v>470</v>
      </c>
      <c r="AU16" s="90">
        <v>470</v>
      </c>
      <c r="AV16" s="90">
        <v>470</v>
      </c>
      <c r="AW16" s="90">
        <v>470</v>
      </c>
      <c r="AX16" s="90">
        <v>533</v>
      </c>
      <c r="AY16" s="90">
        <v>533</v>
      </c>
      <c r="AZ16" s="90">
        <v>521</v>
      </c>
      <c r="BA16" s="90">
        <v>533</v>
      </c>
      <c r="BB16" s="90">
        <v>533</v>
      </c>
      <c r="BC16" s="90">
        <v>536</v>
      </c>
      <c r="BD16" s="90">
        <v>536</v>
      </c>
      <c r="BE16" s="90">
        <v>536</v>
      </c>
      <c r="BF16" s="90">
        <v>536</v>
      </c>
      <c r="BG16" s="90">
        <v>536</v>
      </c>
      <c r="BH16" s="90">
        <v>569</v>
      </c>
      <c r="BI16" s="90">
        <v>569</v>
      </c>
      <c r="BJ16" s="90">
        <v>569</v>
      </c>
      <c r="BK16" s="90">
        <v>569</v>
      </c>
      <c r="BL16" s="90">
        <v>586</v>
      </c>
    </row>
    <row r="17" spans="1:64" ht="15" customHeight="1">
      <c r="A17" s="2">
        <v>4200</v>
      </c>
      <c r="B17" s="2">
        <v>2.4</v>
      </c>
      <c r="C17" s="2">
        <v>6</v>
      </c>
      <c r="D17" s="2"/>
      <c r="E17" s="90">
        <v>405</v>
      </c>
      <c r="F17" s="90">
        <v>405</v>
      </c>
      <c r="G17" s="90">
        <v>405</v>
      </c>
      <c r="H17" s="90">
        <v>405</v>
      </c>
      <c r="I17" s="90">
        <v>405</v>
      </c>
      <c r="J17" s="90">
        <v>405</v>
      </c>
      <c r="K17" s="90">
        <v>405</v>
      </c>
      <c r="L17" s="90">
        <v>405</v>
      </c>
      <c r="M17" s="90">
        <v>405</v>
      </c>
      <c r="N17" s="90">
        <v>405</v>
      </c>
      <c r="O17" s="90">
        <v>416</v>
      </c>
      <c r="P17" s="90">
        <v>405</v>
      </c>
      <c r="Q17" s="90">
        <v>405</v>
      </c>
      <c r="R17" s="90">
        <v>436</v>
      </c>
      <c r="S17" s="90">
        <v>450</v>
      </c>
      <c r="T17" s="90">
        <v>415</v>
      </c>
      <c r="U17" s="90">
        <v>415</v>
      </c>
      <c r="V17" s="90">
        <v>418</v>
      </c>
      <c r="W17" s="90">
        <v>417</v>
      </c>
      <c r="X17" s="90">
        <v>439</v>
      </c>
      <c r="Y17" s="90">
        <v>455</v>
      </c>
      <c r="Z17" s="90">
        <v>420</v>
      </c>
      <c r="AA17" s="90">
        <v>519</v>
      </c>
      <c r="AB17" s="90">
        <v>447</v>
      </c>
      <c r="AC17" s="90">
        <v>439</v>
      </c>
      <c r="AD17" s="90">
        <v>409</v>
      </c>
      <c r="AE17" s="90">
        <v>409</v>
      </c>
      <c r="AF17" s="90">
        <v>409</v>
      </c>
      <c r="AG17" s="90">
        <v>409</v>
      </c>
      <c r="AH17" s="90">
        <v>486</v>
      </c>
      <c r="AI17" s="90">
        <v>429</v>
      </c>
      <c r="AJ17" s="90">
        <v>509</v>
      </c>
      <c r="AK17" s="90">
        <v>486</v>
      </c>
      <c r="AL17" s="90">
        <v>525</v>
      </c>
      <c r="AM17" s="90">
        <v>529</v>
      </c>
      <c r="AN17" s="90">
        <v>529</v>
      </c>
      <c r="AO17" s="90">
        <v>530</v>
      </c>
      <c r="AP17" s="90">
        <v>530</v>
      </c>
      <c r="AQ17" s="90">
        <v>483</v>
      </c>
      <c r="AR17" s="90">
        <v>529</v>
      </c>
      <c r="AS17" s="90">
        <v>502</v>
      </c>
      <c r="AT17" s="90">
        <v>502</v>
      </c>
      <c r="AU17" s="90">
        <v>502</v>
      </c>
      <c r="AV17" s="90">
        <v>502</v>
      </c>
      <c r="AW17" s="90">
        <v>502</v>
      </c>
      <c r="AX17" s="90">
        <v>565</v>
      </c>
      <c r="AY17" s="90">
        <v>565</v>
      </c>
      <c r="AZ17" s="90">
        <v>551</v>
      </c>
      <c r="BA17" s="90">
        <v>565</v>
      </c>
      <c r="BB17" s="90">
        <v>565</v>
      </c>
      <c r="BC17" s="90">
        <v>567</v>
      </c>
      <c r="BD17" s="90">
        <v>567</v>
      </c>
      <c r="BE17" s="90">
        <v>567</v>
      </c>
      <c r="BF17" s="90">
        <v>567</v>
      </c>
      <c r="BG17" s="90">
        <v>567</v>
      </c>
      <c r="BH17" s="90">
        <v>598</v>
      </c>
      <c r="BI17" s="90">
        <v>598</v>
      </c>
      <c r="BJ17" s="90">
        <v>598</v>
      </c>
      <c r="BK17" s="90">
        <v>598</v>
      </c>
      <c r="BL17" s="90">
        <v>616</v>
      </c>
    </row>
    <row r="18" spans="1:64" ht="15" customHeight="1">
      <c r="A18" s="2">
        <v>4375</v>
      </c>
      <c r="B18" s="2">
        <v>2.5</v>
      </c>
      <c r="C18" s="2"/>
      <c r="D18" s="2">
        <v>5</v>
      </c>
      <c r="E18" s="90">
        <v>412</v>
      </c>
      <c r="F18" s="90">
        <v>412</v>
      </c>
      <c r="G18" s="90">
        <v>412</v>
      </c>
      <c r="H18" s="90">
        <v>412</v>
      </c>
      <c r="I18" s="90">
        <v>412</v>
      </c>
      <c r="J18" s="90">
        <v>412</v>
      </c>
      <c r="K18" s="90">
        <v>412</v>
      </c>
      <c r="L18" s="90">
        <v>412</v>
      </c>
      <c r="M18" s="90">
        <v>412</v>
      </c>
      <c r="N18" s="90">
        <v>412</v>
      </c>
      <c r="O18" s="90">
        <v>424</v>
      </c>
      <c r="P18" s="90">
        <v>412</v>
      </c>
      <c r="Q18" s="90">
        <v>412</v>
      </c>
      <c r="R18" s="90">
        <v>445</v>
      </c>
      <c r="S18" s="90">
        <v>457</v>
      </c>
      <c r="T18" s="90">
        <v>424</v>
      </c>
      <c r="U18" s="90">
        <v>424</v>
      </c>
      <c r="V18" s="90">
        <v>429</v>
      </c>
      <c r="W18" s="90">
        <v>427</v>
      </c>
      <c r="X18" s="90">
        <v>447</v>
      </c>
      <c r="Y18" s="90">
        <v>463</v>
      </c>
      <c r="Z18" s="90">
        <v>431</v>
      </c>
      <c r="AA18" s="90">
        <v>527</v>
      </c>
      <c r="AB18" s="90">
        <v>471</v>
      </c>
      <c r="AC18" s="90">
        <v>460</v>
      </c>
      <c r="AD18" s="90">
        <v>412</v>
      </c>
      <c r="AE18" s="90">
        <v>412</v>
      </c>
      <c r="AF18" s="90">
        <v>412</v>
      </c>
      <c r="AG18" s="90">
        <v>412</v>
      </c>
      <c r="AH18" s="90">
        <v>495</v>
      </c>
      <c r="AI18" s="90">
        <v>438</v>
      </c>
      <c r="AJ18" s="90">
        <v>518</v>
      </c>
      <c r="AK18" s="90">
        <v>495</v>
      </c>
      <c r="AL18" s="90">
        <v>533</v>
      </c>
      <c r="AM18" s="90">
        <v>537</v>
      </c>
      <c r="AN18" s="90">
        <v>537</v>
      </c>
      <c r="AO18" s="90">
        <v>539</v>
      </c>
      <c r="AP18" s="90">
        <v>539</v>
      </c>
      <c r="AQ18" s="90">
        <v>491</v>
      </c>
      <c r="AR18" s="90">
        <v>538</v>
      </c>
      <c r="AS18" s="90">
        <v>510</v>
      </c>
      <c r="AT18" s="90">
        <v>510</v>
      </c>
      <c r="AU18" s="90">
        <v>510</v>
      </c>
      <c r="AV18" s="90">
        <v>510</v>
      </c>
      <c r="AW18" s="90">
        <v>510</v>
      </c>
      <c r="AX18" s="90">
        <v>572</v>
      </c>
      <c r="AY18" s="90">
        <v>572</v>
      </c>
      <c r="AZ18" s="90">
        <v>561</v>
      </c>
      <c r="BA18" s="90">
        <v>572</v>
      </c>
      <c r="BB18" s="90">
        <v>572</v>
      </c>
      <c r="BC18" s="90">
        <v>574</v>
      </c>
      <c r="BD18" s="90">
        <v>574</v>
      </c>
      <c r="BE18" s="90">
        <v>574</v>
      </c>
      <c r="BF18" s="90">
        <v>574</v>
      </c>
      <c r="BG18" s="90">
        <v>574</v>
      </c>
      <c r="BH18" s="90">
        <v>608</v>
      </c>
      <c r="BI18" s="90">
        <v>608</v>
      </c>
      <c r="BJ18" s="90">
        <v>608</v>
      </c>
      <c r="BK18" s="90">
        <v>608</v>
      </c>
      <c r="BL18" s="90">
        <v>624</v>
      </c>
    </row>
    <row r="19" spans="1:64" ht="15" customHeight="1">
      <c r="A19" s="2">
        <v>4900</v>
      </c>
      <c r="B19" s="2">
        <v>2.8</v>
      </c>
      <c r="C19" s="2">
        <v>7</v>
      </c>
      <c r="D19" s="2"/>
      <c r="E19" s="90">
        <v>423</v>
      </c>
      <c r="F19" s="90">
        <v>423</v>
      </c>
      <c r="G19" s="90">
        <v>423</v>
      </c>
      <c r="H19" s="90">
        <v>423</v>
      </c>
      <c r="I19" s="90">
        <v>423</v>
      </c>
      <c r="J19" s="90">
        <v>423</v>
      </c>
      <c r="K19" s="90">
        <v>423</v>
      </c>
      <c r="L19" s="90">
        <v>423</v>
      </c>
      <c r="M19" s="90">
        <v>423</v>
      </c>
      <c r="N19" s="90">
        <v>423</v>
      </c>
      <c r="O19" s="90">
        <v>435</v>
      </c>
      <c r="P19" s="90">
        <v>423</v>
      </c>
      <c r="Q19" s="90">
        <v>423</v>
      </c>
      <c r="R19" s="90">
        <v>455</v>
      </c>
      <c r="S19" s="90">
        <v>468</v>
      </c>
      <c r="T19" s="90">
        <v>434</v>
      </c>
      <c r="U19" s="90">
        <v>433</v>
      </c>
      <c r="V19" s="90">
        <v>439</v>
      </c>
      <c r="W19" s="90">
        <v>437</v>
      </c>
      <c r="X19" s="90">
        <v>454</v>
      </c>
      <c r="Y19" s="90">
        <v>471</v>
      </c>
      <c r="Z19" s="90">
        <v>441</v>
      </c>
      <c r="AA19" s="90">
        <v>538</v>
      </c>
      <c r="AB19" s="90">
        <v>481</v>
      </c>
      <c r="AC19" s="90">
        <v>470</v>
      </c>
      <c r="AD19" s="90">
        <v>437</v>
      </c>
      <c r="AE19" s="90">
        <v>437</v>
      </c>
      <c r="AF19" s="90">
        <v>437</v>
      </c>
      <c r="AG19" s="90">
        <v>437</v>
      </c>
      <c r="AH19" s="90">
        <v>505</v>
      </c>
      <c r="AI19" s="90">
        <v>448</v>
      </c>
      <c r="AJ19" s="90">
        <v>528</v>
      </c>
      <c r="AK19" s="90">
        <v>505</v>
      </c>
      <c r="AL19" s="90">
        <v>544</v>
      </c>
      <c r="AM19" s="90">
        <v>562</v>
      </c>
      <c r="AN19" s="90">
        <v>548</v>
      </c>
      <c r="AO19" s="90">
        <v>561</v>
      </c>
      <c r="AP19" s="90">
        <v>564</v>
      </c>
      <c r="AQ19" s="90">
        <v>501</v>
      </c>
      <c r="AR19" s="90">
        <v>547</v>
      </c>
      <c r="AS19" s="90">
        <v>536</v>
      </c>
      <c r="AT19" s="90">
        <v>536</v>
      </c>
      <c r="AU19" s="90">
        <v>536</v>
      </c>
      <c r="AV19" s="90">
        <v>536</v>
      </c>
      <c r="AW19" s="90">
        <v>536</v>
      </c>
      <c r="AX19" s="90">
        <v>597</v>
      </c>
      <c r="AY19" s="90">
        <v>597</v>
      </c>
      <c r="AZ19" s="90">
        <v>571</v>
      </c>
      <c r="BA19" s="90">
        <v>597</v>
      </c>
      <c r="BB19" s="90">
        <v>597</v>
      </c>
      <c r="BC19" s="90">
        <v>598</v>
      </c>
      <c r="BD19" s="90">
        <v>598</v>
      </c>
      <c r="BE19" s="90">
        <v>598</v>
      </c>
      <c r="BF19" s="90">
        <v>598</v>
      </c>
      <c r="BG19" s="90">
        <v>598</v>
      </c>
      <c r="BH19" s="90">
        <v>631</v>
      </c>
      <c r="BI19" s="90">
        <v>631</v>
      </c>
      <c r="BJ19" s="90">
        <v>631</v>
      </c>
      <c r="BK19" s="90">
        <v>631</v>
      </c>
      <c r="BL19" s="90">
        <v>649</v>
      </c>
    </row>
    <row r="20" spans="1:64" ht="15" customHeight="1">
      <c r="A20" s="2">
        <v>5250</v>
      </c>
      <c r="B20" s="2">
        <v>3</v>
      </c>
      <c r="C20" s="2"/>
      <c r="D20" s="2">
        <v>6</v>
      </c>
      <c r="E20" s="90">
        <v>434</v>
      </c>
      <c r="F20" s="90">
        <v>434</v>
      </c>
      <c r="G20" s="90">
        <v>434</v>
      </c>
      <c r="H20" s="90">
        <v>434</v>
      </c>
      <c r="I20" s="90">
        <v>434</v>
      </c>
      <c r="J20" s="90">
        <v>434</v>
      </c>
      <c r="K20" s="90">
        <v>434</v>
      </c>
      <c r="L20" s="90">
        <v>434</v>
      </c>
      <c r="M20" s="90">
        <v>434</v>
      </c>
      <c r="N20" s="90">
        <v>434</v>
      </c>
      <c r="O20" s="90">
        <v>446</v>
      </c>
      <c r="P20" s="90">
        <v>434</v>
      </c>
      <c r="Q20" s="90">
        <v>434</v>
      </c>
      <c r="R20" s="90">
        <v>464</v>
      </c>
      <c r="S20" s="90">
        <v>479</v>
      </c>
      <c r="T20" s="90">
        <v>443</v>
      </c>
      <c r="U20" s="90">
        <v>441</v>
      </c>
      <c r="V20" s="90">
        <v>450</v>
      </c>
      <c r="W20" s="90">
        <v>447</v>
      </c>
      <c r="X20" s="90">
        <v>461</v>
      </c>
      <c r="Y20" s="90">
        <v>479</v>
      </c>
      <c r="Z20" s="90">
        <v>452</v>
      </c>
      <c r="AA20" s="90">
        <v>547</v>
      </c>
      <c r="AB20" s="90">
        <v>492</v>
      </c>
      <c r="AC20" s="90">
        <v>481</v>
      </c>
      <c r="AD20" s="90">
        <v>444</v>
      </c>
      <c r="AE20" s="90">
        <v>444</v>
      </c>
      <c r="AF20" s="90">
        <v>444</v>
      </c>
      <c r="AG20" s="90">
        <v>444</v>
      </c>
      <c r="AH20" s="90">
        <v>515</v>
      </c>
      <c r="AI20" s="90">
        <v>458</v>
      </c>
      <c r="AJ20" s="90">
        <v>539</v>
      </c>
      <c r="AK20" s="90">
        <v>515</v>
      </c>
      <c r="AL20" s="90">
        <v>553</v>
      </c>
      <c r="AM20" s="90">
        <v>586</v>
      </c>
      <c r="AN20" s="90">
        <v>562</v>
      </c>
      <c r="AO20" s="90">
        <v>580</v>
      </c>
      <c r="AP20" s="90">
        <v>588</v>
      </c>
      <c r="AQ20" s="90">
        <v>512</v>
      </c>
      <c r="AR20" s="90">
        <v>557</v>
      </c>
      <c r="AS20" s="90">
        <v>561</v>
      </c>
      <c r="AT20" s="90">
        <v>561</v>
      </c>
      <c r="AU20" s="90">
        <v>561</v>
      </c>
      <c r="AV20" s="90">
        <v>561</v>
      </c>
      <c r="AW20" s="90">
        <v>561</v>
      </c>
      <c r="AX20" s="90">
        <v>622</v>
      </c>
      <c r="AY20" s="90">
        <v>622</v>
      </c>
      <c r="AZ20" s="90">
        <v>580</v>
      </c>
      <c r="BA20" s="90">
        <v>622</v>
      </c>
      <c r="BB20" s="90">
        <v>622</v>
      </c>
      <c r="BC20" s="90">
        <v>623</v>
      </c>
      <c r="BD20" s="90">
        <v>623</v>
      </c>
      <c r="BE20" s="90">
        <v>623</v>
      </c>
      <c r="BF20" s="90">
        <v>623</v>
      </c>
      <c r="BG20" s="90">
        <v>623</v>
      </c>
      <c r="BH20" s="90">
        <v>656</v>
      </c>
      <c r="BI20" s="90">
        <v>656</v>
      </c>
      <c r="BJ20" s="90">
        <v>656</v>
      </c>
      <c r="BK20" s="90">
        <v>656</v>
      </c>
      <c r="BL20" s="90">
        <v>673</v>
      </c>
    </row>
    <row r="21" spans="1:64" ht="15" customHeight="1">
      <c r="A21" s="2">
        <v>5600</v>
      </c>
      <c r="B21" s="2">
        <v>3.2</v>
      </c>
      <c r="C21" s="2">
        <v>8</v>
      </c>
      <c r="D21" s="2"/>
      <c r="E21" s="90">
        <v>450</v>
      </c>
      <c r="F21" s="90">
        <v>450</v>
      </c>
      <c r="G21" s="90">
        <v>450</v>
      </c>
      <c r="H21" s="90">
        <v>450</v>
      </c>
      <c r="I21" s="90">
        <v>450</v>
      </c>
      <c r="J21" s="90">
        <v>450</v>
      </c>
      <c r="K21" s="90">
        <v>450</v>
      </c>
      <c r="L21" s="90">
        <v>450</v>
      </c>
      <c r="M21" s="90">
        <v>450</v>
      </c>
      <c r="N21" s="90">
        <v>450</v>
      </c>
      <c r="O21" s="90">
        <v>461</v>
      </c>
      <c r="P21" s="90">
        <v>450</v>
      </c>
      <c r="Q21" s="90">
        <v>450</v>
      </c>
      <c r="R21" s="90">
        <v>481</v>
      </c>
      <c r="S21" s="90">
        <v>495</v>
      </c>
      <c r="T21" s="90">
        <v>451</v>
      </c>
      <c r="U21" s="90">
        <v>450</v>
      </c>
      <c r="V21" s="90">
        <v>459</v>
      </c>
      <c r="W21" s="90">
        <v>456</v>
      </c>
      <c r="X21" s="90">
        <v>468</v>
      </c>
      <c r="Y21" s="90">
        <v>486</v>
      </c>
      <c r="Z21" s="90">
        <v>462</v>
      </c>
      <c r="AA21" s="90">
        <v>564</v>
      </c>
      <c r="AB21" s="90">
        <v>507</v>
      </c>
      <c r="AC21" s="90">
        <v>497</v>
      </c>
      <c r="AD21" s="90">
        <v>450</v>
      </c>
      <c r="AE21" s="90">
        <v>450</v>
      </c>
      <c r="AF21" s="90">
        <v>450</v>
      </c>
      <c r="AG21" s="90">
        <v>450</v>
      </c>
      <c r="AH21" s="90">
        <v>531</v>
      </c>
      <c r="AI21" s="90">
        <v>475</v>
      </c>
      <c r="AJ21" s="90">
        <v>554</v>
      </c>
      <c r="AK21" s="90">
        <v>531</v>
      </c>
      <c r="AL21" s="90">
        <v>571</v>
      </c>
      <c r="AM21" s="90">
        <v>612</v>
      </c>
      <c r="AN21" s="90">
        <v>577</v>
      </c>
      <c r="AO21" s="90">
        <v>596</v>
      </c>
      <c r="AP21" s="90">
        <v>608</v>
      </c>
      <c r="AQ21" s="90">
        <v>528</v>
      </c>
      <c r="AR21" s="90">
        <v>574</v>
      </c>
      <c r="AS21" s="90">
        <v>598</v>
      </c>
      <c r="AT21" s="90">
        <v>598</v>
      </c>
      <c r="AU21" s="90">
        <v>598</v>
      </c>
      <c r="AV21" s="90">
        <v>598</v>
      </c>
      <c r="AW21" s="90">
        <v>598</v>
      </c>
      <c r="AX21" s="90">
        <v>645</v>
      </c>
      <c r="AY21" s="90">
        <v>649</v>
      </c>
      <c r="AZ21" s="90">
        <v>596</v>
      </c>
      <c r="BA21" s="90">
        <v>649</v>
      </c>
      <c r="BB21" s="90">
        <v>649</v>
      </c>
      <c r="BC21" s="90">
        <v>646</v>
      </c>
      <c r="BD21" s="90">
        <v>646</v>
      </c>
      <c r="BE21" s="90">
        <v>646</v>
      </c>
      <c r="BF21" s="90">
        <v>646</v>
      </c>
      <c r="BG21" s="90">
        <v>646</v>
      </c>
      <c r="BH21" s="90">
        <v>672</v>
      </c>
      <c r="BI21" s="90">
        <v>672</v>
      </c>
      <c r="BJ21" s="90">
        <v>672</v>
      </c>
      <c r="BK21" s="90">
        <v>672</v>
      </c>
      <c r="BL21" s="90">
        <v>704</v>
      </c>
    </row>
    <row r="22" spans="1:64" ht="15" customHeight="1">
      <c r="A22" s="2">
        <v>6125</v>
      </c>
      <c r="B22" s="2">
        <v>3.5</v>
      </c>
      <c r="C22" s="2"/>
      <c r="D22" s="2">
        <v>7</v>
      </c>
      <c r="E22" s="90">
        <v>474</v>
      </c>
      <c r="F22" s="90">
        <v>474</v>
      </c>
      <c r="G22" s="90">
        <v>474</v>
      </c>
      <c r="H22" s="90">
        <v>474</v>
      </c>
      <c r="I22" s="90">
        <v>474</v>
      </c>
      <c r="J22" s="90">
        <v>474</v>
      </c>
      <c r="K22" s="90">
        <v>474</v>
      </c>
      <c r="L22" s="90">
        <v>474</v>
      </c>
      <c r="M22" s="90">
        <v>474</v>
      </c>
      <c r="N22" s="90">
        <v>474</v>
      </c>
      <c r="O22" s="90">
        <v>485</v>
      </c>
      <c r="P22" s="90">
        <v>474</v>
      </c>
      <c r="Q22" s="90">
        <v>474</v>
      </c>
      <c r="R22" s="90">
        <v>505</v>
      </c>
      <c r="S22" s="90">
        <v>519</v>
      </c>
      <c r="T22" s="90">
        <v>475</v>
      </c>
      <c r="U22" s="90">
        <v>474</v>
      </c>
      <c r="V22" s="90">
        <v>484</v>
      </c>
      <c r="W22" s="90">
        <v>480</v>
      </c>
      <c r="X22" s="90">
        <v>476</v>
      </c>
      <c r="Y22" s="90">
        <v>494</v>
      </c>
      <c r="Z22" s="90">
        <v>474</v>
      </c>
      <c r="AA22" s="90">
        <v>588</v>
      </c>
      <c r="AB22" s="90">
        <v>532</v>
      </c>
      <c r="AC22" s="90">
        <v>522</v>
      </c>
      <c r="AD22" s="90">
        <v>474</v>
      </c>
      <c r="AE22" s="90">
        <v>474</v>
      </c>
      <c r="AF22" s="90">
        <v>474</v>
      </c>
      <c r="AG22" s="90">
        <v>474</v>
      </c>
      <c r="AH22" s="90">
        <v>555</v>
      </c>
      <c r="AI22" s="90">
        <v>499</v>
      </c>
      <c r="AJ22" s="90">
        <v>578</v>
      </c>
      <c r="AK22" s="90">
        <v>555</v>
      </c>
      <c r="AL22" s="90">
        <v>594</v>
      </c>
      <c r="AM22" s="90">
        <v>636</v>
      </c>
      <c r="AN22" s="90">
        <v>600</v>
      </c>
      <c r="AO22" s="90">
        <v>621</v>
      </c>
      <c r="AP22" s="90">
        <v>632</v>
      </c>
      <c r="AQ22" s="90">
        <v>551</v>
      </c>
      <c r="AR22" s="90">
        <v>598</v>
      </c>
      <c r="AS22" s="90">
        <v>623</v>
      </c>
      <c r="AT22" s="90">
        <v>623</v>
      </c>
      <c r="AU22" s="90">
        <v>623</v>
      </c>
      <c r="AV22" s="90">
        <v>623</v>
      </c>
      <c r="AW22" s="90">
        <v>623</v>
      </c>
      <c r="AX22" s="90">
        <v>669</v>
      </c>
      <c r="AY22" s="90">
        <v>673</v>
      </c>
      <c r="AZ22" s="90">
        <v>621</v>
      </c>
      <c r="BA22" s="90">
        <v>673</v>
      </c>
      <c r="BB22" s="90">
        <v>673</v>
      </c>
      <c r="BC22" s="90">
        <v>670</v>
      </c>
      <c r="BD22" s="90">
        <v>670</v>
      </c>
      <c r="BE22" s="90">
        <v>670</v>
      </c>
      <c r="BF22" s="90">
        <v>670</v>
      </c>
      <c r="BG22" s="90">
        <v>670</v>
      </c>
      <c r="BH22" s="90">
        <v>696</v>
      </c>
      <c r="BI22" s="90">
        <v>696</v>
      </c>
      <c r="BJ22" s="90">
        <v>696</v>
      </c>
      <c r="BK22" s="90">
        <v>696</v>
      </c>
      <c r="BL22" s="90">
        <v>727</v>
      </c>
    </row>
    <row r="23" spans="1:64" ht="15" customHeight="1">
      <c r="A23" s="2">
        <v>6300</v>
      </c>
      <c r="B23" s="2">
        <v>3.6</v>
      </c>
      <c r="C23" s="2">
        <v>9</v>
      </c>
      <c r="D23" s="2"/>
      <c r="E23" s="90">
        <v>482</v>
      </c>
      <c r="F23" s="90">
        <v>482</v>
      </c>
      <c r="G23" s="90">
        <v>482</v>
      </c>
      <c r="H23" s="90">
        <v>482</v>
      </c>
      <c r="I23" s="90">
        <v>482</v>
      </c>
      <c r="J23" s="90">
        <v>482</v>
      </c>
      <c r="K23" s="90">
        <v>482</v>
      </c>
      <c r="L23" s="90">
        <v>482</v>
      </c>
      <c r="M23" s="90">
        <v>482</v>
      </c>
      <c r="N23" s="90">
        <v>482</v>
      </c>
      <c r="O23" s="90">
        <v>494</v>
      </c>
      <c r="P23" s="90">
        <v>482</v>
      </c>
      <c r="Q23" s="90">
        <v>482</v>
      </c>
      <c r="R23" s="90">
        <v>513</v>
      </c>
      <c r="S23" s="90">
        <v>527</v>
      </c>
      <c r="T23" s="90">
        <v>483</v>
      </c>
      <c r="U23" s="90">
        <v>482</v>
      </c>
      <c r="V23" s="90">
        <v>492</v>
      </c>
      <c r="W23" s="90">
        <v>489</v>
      </c>
      <c r="X23" s="90">
        <v>484</v>
      </c>
      <c r="Y23" s="90">
        <v>501</v>
      </c>
      <c r="Z23" s="90">
        <v>482</v>
      </c>
      <c r="AA23" s="90">
        <v>595</v>
      </c>
      <c r="AB23" s="90">
        <v>540</v>
      </c>
      <c r="AC23" s="90">
        <v>529</v>
      </c>
      <c r="AD23" s="90">
        <v>482</v>
      </c>
      <c r="AE23" s="90">
        <v>482</v>
      </c>
      <c r="AF23" s="90">
        <v>482</v>
      </c>
      <c r="AG23" s="90">
        <v>482</v>
      </c>
      <c r="AH23" s="90">
        <v>565</v>
      </c>
      <c r="AI23" s="90">
        <v>506</v>
      </c>
      <c r="AJ23" s="90">
        <v>587</v>
      </c>
      <c r="AK23" s="90">
        <v>565</v>
      </c>
      <c r="AL23" s="90">
        <v>603</v>
      </c>
      <c r="AM23" s="90">
        <v>643</v>
      </c>
      <c r="AN23" s="90">
        <v>610</v>
      </c>
      <c r="AO23" s="90">
        <v>629</v>
      </c>
      <c r="AP23" s="90">
        <v>643</v>
      </c>
      <c r="AQ23" s="90">
        <v>561</v>
      </c>
      <c r="AR23" s="90">
        <v>607</v>
      </c>
      <c r="AS23" s="90">
        <v>640</v>
      </c>
      <c r="AT23" s="90">
        <v>640</v>
      </c>
      <c r="AU23" s="90">
        <v>640</v>
      </c>
      <c r="AV23" s="90">
        <v>640</v>
      </c>
      <c r="AW23" s="90">
        <v>640</v>
      </c>
      <c r="AX23" s="90">
        <v>677</v>
      </c>
      <c r="AY23" s="90">
        <v>682</v>
      </c>
      <c r="AZ23" s="90">
        <v>629</v>
      </c>
      <c r="BA23" s="90">
        <v>690</v>
      </c>
      <c r="BB23" s="90">
        <v>690</v>
      </c>
      <c r="BC23" s="90">
        <v>681</v>
      </c>
      <c r="BD23" s="90">
        <v>681</v>
      </c>
      <c r="BE23" s="90">
        <v>681</v>
      </c>
      <c r="BF23" s="90">
        <v>681</v>
      </c>
      <c r="BG23" s="90">
        <v>681</v>
      </c>
      <c r="BH23" s="90">
        <v>710</v>
      </c>
      <c r="BI23" s="90">
        <v>710</v>
      </c>
      <c r="BJ23" s="90">
        <v>710</v>
      </c>
      <c r="BK23" s="90">
        <v>710</v>
      </c>
      <c r="BL23" s="90">
        <v>750</v>
      </c>
    </row>
    <row r="24" spans="1:64" ht="15" customHeight="1">
      <c r="A24" s="2">
        <v>7000</v>
      </c>
      <c r="B24" s="2">
        <v>4</v>
      </c>
      <c r="C24" s="2">
        <v>10</v>
      </c>
      <c r="D24" s="2">
        <v>8</v>
      </c>
      <c r="E24" s="90">
        <v>514</v>
      </c>
      <c r="F24" s="90">
        <v>514</v>
      </c>
      <c r="G24" s="90">
        <v>514</v>
      </c>
      <c r="H24" s="90">
        <v>514</v>
      </c>
      <c r="I24" s="90">
        <v>514</v>
      </c>
      <c r="J24" s="90">
        <v>514</v>
      </c>
      <c r="K24" s="90">
        <v>514</v>
      </c>
      <c r="L24" s="90">
        <v>514</v>
      </c>
      <c r="M24" s="90">
        <v>514</v>
      </c>
      <c r="N24" s="90">
        <v>514</v>
      </c>
      <c r="O24" s="90">
        <v>526</v>
      </c>
      <c r="P24" s="90">
        <v>514</v>
      </c>
      <c r="Q24" s="90">
        <v>514</v>
      </c>
      <c r="R24" s="90">
        <v>545</v>
      </c>
      <c r="S24" s="90">
        <v>560</v>
      </c>
      <c r="T24" s="90">
        <v>515</v>
      </c>
      <c r="U24" s="90">
        <v>514</v>
      </c>
      <c r="V24" s="90">
        <v>524</v>
      </c>
      <c r="W24" s="90">
        <v>521</v>
      </c>
      <c r="X24" s="90">
        <v>517</v>
      </c>
      <c r="Y24" s="90">
        <v>517</v>
      </c>
      <c r="Z24" s="90">
        <v>514</v>
      </c>
      <c r="AA24" s="90">
        <v>627</v>
      </c>
      <c r="AB24" s="90">
        <v>572</v>
      </c>
      <c r="AC24" s="90">
        <v>562</v>
      </c>
      <c r="AD24" s="90">
        <v>514</v>
      </c>
      <c r="AE24" s="90">
        <v>514</v>
      </c>
      <c r="AF24" s="90">
        <v>514</v>
      </c>
      <c r="AG24" s="90">
        <v>514</v>
      </c>
      <c r="AH24" s="90">
        <v>596</v>
      </c>
      <c r="AI24" s="90">
        <v>539</v>
      </c>
      <c r="AJ24" s="90">
        <v>619</v>
      </c>
      <c r="AK24" s="90">
        <v>596</v>
      </c>
      <c r="AL24" s="90">
        <v>635</v>
      </c>
      <c r="AM24" s="90">
        <v>676</v>
      </c>
      <c r="AN24" s="90">
        <v>641</v>
      </c>
      <c r="AO24" s="90">
        <v>661</v>
      </c>
      <c r="AP24" s="90">
        <v>676</v>
      </c>
      <c r="AQ24" s="90">
        <v>592</v>
      </c>
      <c r="AR24" s="90">
        <v>638</v>
      </c>
      <c r="AS24" s="90">
        <v>672</v>
      </c>
      <c r="AT24" s="90">
        <v>672</v>
      </c>
      <c r="AU24" s="90">
        <v>672</v>
      </c>
      <c r="AV24" s="90">
        <v>672</v>
      </c>
      <c r="AW24" s="90">
        <v>672</v>
      </c>
      <c r="AX24" s="90">
        <v>709</v>
      </c>
      <c r="AY24" s="90">
        <v>714</v>
      </c>
      <c r="AZ24" s="90">
        <v>661</v>
      </c>
      <c r="BA24" s="90">
        <v>722</v>
      </c>
      <c r="BB24" s="90">
        <v>722</v>
      </c>
      <c r="BC24" s="90">
        <v>713</v>
      </c>
      <c r="BD24" s="90">
        <v>713</v>
      </c>
      <c r="BE24" s="90">
        <v>713</v>
      </c>
      <c r="BF24" s="90">
        <v>713</v>
      </c>
      <c r="BG24" s="90">
        <v>713</v>
      </c>
      <c r="BH24" s="90">
        <v>742</v>
      </c>
      <c r="BI24" s="90">
        <v>742</v>
      </c>
      <c r="BJ24" s="90">
        <v>742</v>
      </c>
      <c r="BK24" s="90">
        <v>742</v>
      </c>
      <c r="BL24" s="90">
        <v>782</v>
      </c>
    </row>
    <row r="25" spans="1:64" ht="15" customHeight="1">
      <c r="A25" s="3"/>
      <c r="B25" s="3"/>
      <c r="C25" s="3"/>
      <c r="D25" s="3"/>
    </row>
    <row r="26" spans="1:64" ht="15" customHeight="1">
      <c r="A26" s="4" t="s">
        <v>24</v>
      </c>
      <c r="B26" s="3"/>
      <c r="C26" s="3"/>
      <c r="D26" s="3"/>
    </row>
    <row r="27" spans="1:64" ht="15" customHeight="1">
      <c r="A27" s="3"/>
      <c r="B27" s="3"/>
      <c r="C27" s="3"/>
      <c r="D27" s="3"/>
    </row>
    <row r="28" spans="1:64" ht="15" customHeight="1">
      <c r="A28" s="6" t="s">
        <v>25</v>
      </c>
      <c r="B28" s="40"/>
      <c r="C28" s="6" t="s">
        <v>26</v>
      </c>
      <c r="D28" s="76"/>
      <c r="E28" s="69"/>
      <c r="F28" s="70"/>
      <c r="G28" s="2" t="s">
        <v>48</v>
      </c>
      <c r="H28" s="70"/>
      <c r="I28" s="70"/>
      <c r="J28" s="70"/>
      <c r="K28" s="70"/>
      <c r="L28" s="70"/>
      <c r="M28" s="70"/>
      <c r="N28" s="70"/>
      <c r="O28" s="70"/>
      <c r="P28" s="70"/>
      <c r="Q28" s="70"/>
      <c r="R28" s="70"/>
      <c r="S28" s="2" t="s">
        <v>48</v>
      </c>
      <c r="T28" s="70"/>
      <c r="U28" s="70"/>
      <c r="V28" s="70"/>
      <c r="W28" s="70"/>
      <c r="X28" s="70"/>
      <c r="Y28" s="70"/>
      <c r="Z28" s="70"/>
      <c r="AA28" s="70"/>
      <c r="AB28" s="70"/>
      <c r="AC28" s="70"/>
      <c r="AD28" s="70"/>
      <c r="AE28" s="2" t="s">
        <v>48</v>
      </c>
      <c r="AF28" s="70"/>
      <c r="AG28" s="70"/>
      <c r="AH28" s="70"/>
      <c r="AI28" s="70"/>
      <c r="AJ28" s="70"/>
      <c r="AK28" s="70"/>
      <c r="AL28" s="70"/>
      <c r="AM28" s="70"/>
      <c r="AN28" s="70"/>
      <c r="AO28" s="70"/>
      <c r="AP28" s="70"/>
      <c r="AQ28" s="2" t="s">
        <v>48</v>
      </c>
      <c r="AR28" s="70"/>
      <c r="AS28" s="70"/>
      <c r="AT28" s="70"/>
      <c r="AU28" s="70"/>
      <c r="AV28" s="70"/>
      <c r="AW28" s="70"/>
      <c r="AX28" s="70"/>
      <c r="AY28" s="70"/>
      <c r="AZ28" s="70"/>
      <c r="BA28" s="70"/>
      <c r="BB28" s="70"/>
      <c r="BC28" s="2" t="s">
        <v>48</v>
      </c>
      <c r="BD28" s="70"/>
      <c r="BE28" s="70"/>
      <c r="BF28" s="70"/>
      <c r="BG28" s="70"/>
      <c r="BH28" s="70"/>
      <c r="BI28" s="70"/>
      <c r="BJ28" s="70"/>
      <c r="BK28" s="70"/>
      <c r="BL28" s="72"/>
    </row>
    <row r="29" spans="1:64" ht="15" customHeight="1">
      <c r="A29" s="222" t="s">
        <v>28</v>
      </c>
      <c r="B29" s="223"/>
      <c r="C29" s="92" t="s">
        <v>49</v>
      </c>
      <c r="D29" s="76"/>
      <c r="E29" s="39">
        <v>3</v>
      </c>
      <c r="F29" s="39">
        <v>3</v>
      </c>
      <c r="G29" s="39">
        <v>3</v>
      </c>
      <c r="H29" s="39">
        <v>3</v>
      </c>
      <c r="I29" s="39">
        <v>3</v>
      </c>
      <c r="J29" s="39">
        <v>3</v>
      </c>
      <c r="K29" s="39">
        <v>3</v>
      </c>
      <c r="L29" s="39">
        <v>3</v>
      </c>
      <c r="M29" s="39">
        <v>3</v>
      </c>
      <c r="N29" s="39">
        <v>3</v>
      </c>
      <c r="O29" s="39">
        <v>3</v>
      </c>
      <c r="P29" s="39">
        <v>3</v>
      </c>
      <c r="Q29" s="39">
        <v>3</v>
      </c>
      <c r="R29" s="39">
        <v>3</v>
      </c>
      <c r="S29" s="39">
        <v>3</v>
      </c>
      <c r="T29" s="39">
        <v>3</v>
      </c>
      <c r="U29" s="39">
        <v>3</v>
      </c>
      <c r="V29" s="39">
        <v>3</v>
      </c>
      <c r="W29" s="39">
        <v>3</v>
      </c>
      <c r="X29" s="39">
        <v>3</v>
      </c>
      <c r="Y29" s="39">
        <v>3</v>
      </c>
      <c r="Z29" s="39">
        <v>3</v>
      </c>
      <c r="AA29" s="39">
        <v>3</v>
      </c>
      <c r="AB29" s="39">
        <v>3</v>
      </c>
      <c r="AC29" s="39">
        <v>3</v>
      </c>
      <c r="AD29" s="39">
        <v>3</v>
      </c>
      <c r="AE29" s="39">
        <v>3</v>
      </c>
      <c r="AF29" s="39">
        <v>3</v>
      </c>
      <c r="AG29" s="39">
        <v>3</v>
      </c>
      <c r="AH29" s="39">
        <v>3</v>
      </c>
      <c r="AI29" s="39">
        <v>3</v>
      </c>
      <c r="AJ29" s="39">
        <v>3</v>
      </c>
      <c r="AK29" s="39">
        <v>3</v>
      </c>
      <c r="AL29" s="39">
        <v>3</v>
      </c>
      <c r="AM29" s="39">
        <v>3</v>
      </c>
      <c r="AN29" s="39">
        <v>3</v>
      </c>
      <c r="AO29" s="39">
        <v>3</v>
      </c>
      <c r="AP29" s="39">
        <v>3</v>
      </c>
      <c r="AQ29" s="39">
        <v>3</v>
      </c>
      <c r="AR29" s="39">
        <v>3</v>
      </c>
      <c r="AS29" s="39">
        <v>3</v>
      </c>
      <c r="AT29" s="39">
        <v>3</v>
      </c>
      <c r="AU29" s="39">
        <v>3</v>
      </c>
      <c r="AV29" s="39">
        <v>3</v>
      </c>
      <c r="AW29" s="39">
        <v>3</v>
      </c>
      <c r="AX29" s="39">
        <v>3</v>
      </c>
      <c r="AY29" s="39">
        <v>3</v>
      </c>
      <c r="AZ29" s="39">
        <v>3</v>
      </c>
      <c r="BA29" s="39">
        <v>3</v>
      </c>
      <c r="BB29" s="39">
        <v>3</v>
      </c>
      <c r="BC29" s="39">
        <v>3</v>
      </c>
      <c r="BD29" s="39">
        <v>3</v>
      </c>
      <c r="BE29" s="39">
        <v>3</v>
      </c>
      <c r="BF29" s="39">
        <v>3</v>
      </c>
      <c r="BG29" s="39">
        <v>3</v>
      </c>
      <c r="BH29" s="39">
        <v>3</v>
      </c>
      <c r="BI29" s="39">
        <v>3</v>
      </c>
      <c r="BJ29" s="39">
        <v>3</v>
      </c>
      <c r="BK29" s="39">
        <v>3</v>
      </c>
      <c r="BL29" s="39">
        <v>3</v>
      </c>
    </row>
    <row r="30" spans="1:64" ht="15" customHeight="1">
      <c r="A30" s="222" t="s">
        <v>32</v>
      </c>
      <c r="B30" s="223"/>
      <c r="C30" s="92" t="s">
        <v>49</v>
      </c>
      <c r="D30" s="76"/>
      <c r="E30" s="39">
        <v>3</v>
      </c>
      <c r="F30" s="39">
        <v>3</v>
      </c>
      <c r="G30" s="39">
        <v>3</v>
      </c>
      <c r="H30" s="39">
        <v>3</v>
      </c>
      <c r="I30" s="39">
        <v>3</v>
      </c>
      <c r="J30" s="39">
        <v>3</v>
      </c>
      <c r="K30" s="39">
        <v>3</v>
      </c>
      <c r="L30" s="39">
        <v>3</v>
      </c>
      <c r="M30" s="39">
        <v>3</v>
      </c>
      <c r="N30" s="39">
        <v>3</v>
      </c>
      <c r="O30" s="39">
        <v>3</v>
      </c>
      <c r="P30" s="39">
        <v>3</v>
      </c>
      <c r="Q30" s="39">
        <v>3</v>
      </c>
      <c r="R30" s="39">
        <v>3</v>
      </c>
      <c r="S30" s="39">
        <v>3</v>
      </c>
      <c r="T30" s="39">
        <v>3</v>
      </c>
      <c r="U30" s="39">
        <v>3</v>
      </c>
      <c r="V30" s="39">
        <v>3</v>
      </c>
      <c r="W30" s="39">
        <v>3</v>
      </c>
      <c r="X30" s="39">
        <v>3</v>
      </c>
      <c r="Y30" s="39">
        <v>3</v>
      </c>
      <c r="Z30" s="39">
        <v>3</v>
      </c>
      <c r="AA30" s="39">
        <v>3</v>
      </c>
      <c r="AB30" s="39">
        <v>3</v>
      </c>
      <c r="AC30" s="39">
        <v>3</v>
      </c>
      <c r="AD30" s="39">
        <v>3</v>
      </c>
      <c r="AE30" s="39">
        <v>3</v>
      </c>
      <c r="AF30" s="39">
        <v>3</v>
      </c>
      <c r="AG30" s="39">
        <v>3</v>
      </c>
      <c r="AH30" s="39">
        <v>3</v>
      </c>
      <c r="AI30" s="39">
        <v>3</v>
      </c>
      <c r="AJ30" s="39">
        <v>3</v>
      </c>
      <c r="AK30" s="39">
        <v>3</v>
      </c>
      <c r="AL30" s="39">
        <v>3</v>
      </c>
      <c r="AM30" s="39">
        <v>3</v>
      </c>
      <c r="AN30" s="39">
        <v>3</v>
      </c>
      <c r="AO30" s="39">
        <v>3</v>
      </c>
      <c r="AP30" s="39">
        <v>3</v>
      </c>
      <c r="AQ30" s="39">
        <v>3</v>
      </c>
      <c r="AR30" s="39">
        <v>3</v>
      </c>
      <c r="AS30" s="39">
        <v>3</v>
      </c>
      <c r="AT30" s="39">
        <v>3</v>
      </c>
      <c r="AU30" s="39">
        <v>3</v>
      </c>
      <c r="AV30" s="39">
        <v>3</v>
      </c>
      <c r="AW30" s="39">
        <v>3</v>
      </c>
      <c r="AX30" s="39">
        <v>3</v>
      </c>
      <c r="AY30" s="39">
        <v>3</v>
      </c>
      <c r="AZ30" s="39">
        <v>3</v>
      </c>
      <c r="BA30" s="39">
        <v>3</v>
      </c>
      <c r="BB30" s="39">
        <v>3</v>
      </c>
      <c r="BC30" s="39">
        <v>3</v>
      </c>
      <c r="BD30" s="39">
        <v>3</v>
      </c>
      <c r="BE30" s="39">
        <v>3</v>
      </c>
      <c r="BF30" s="39">
        <v>3</v>
      </c>
      <c r="BG30" s="39">
        <v>3</v>
      </c>
      <c r="BH30" s="39">
        <v>3</v>
      </c>
      <c r="BI30" s="39">
        <v>3</v>
      </c>
      <c r="BJ30" s="39">
        <v>3</v>
      </c>
      <c r="BK30" s="39">
        <v>3</v>
      </c>
      <c r="BL30" s="39">
        <v>3</v>
      </c>
    </row>
    <row r="31" spans="1:64" ht="15" customHeight="1">
      <c r="A31" s="222" t="s">
        <v>33</v>
      </c>
      <c r="B31" s="223"/>
      <c r="C31" s="92" t="s">
        <v>42</v>
      </c>
      <c r="D31" s="76"/>
      <c r="E31" s="39">
        <v>2</v>
      </c>
      <c r="F31" s="39">
        <v>2</v>
      </c>
      <c r="G31" s="39">
        <v>2</v>
      </c>
      <c r="H31" s="39">
        <v>2</v>
      </c>
      <c r="I31" s="39">
        <v>2</v>
      </c>
      <c r="J31" s="39">
        <v>2</v>
      </c>
      <c r="K31" s="39">
        <v>2</v>
      </c>
      <c r="L31" s="39">
        <v>2</v>
      </c>
      <c r="M31" s="39">
        <v>2</v>
      </c>
      <c r="N31" s="39">
        <v>2</v>
      </c>
      <c r="O31" s="39">
        <v>2</v>
      </c>
      <c r="P31" s="39">
        <v>2</v>
      </c>
      <c r="Q31" s="39">
        <v>2</v>
      </c>
      <c r="R31" s="39">
        <v>2</v>
      </c>
      <c r="S31" s="39">
        <v>2</v>
      </c>
      <c r="T31" s="39">
        <v>2</v>
      </c>
      <c r="U31" s="39">
        <v>2</v>
      </c>
      <c r="V31" s="39">
        <v>2</v>
      </c>
      <c r="W31" s="39">
        <v>2</v>
      </c>
      <c r="X31" s="39">
        <v>2</v>
      </c>
      <c r="Y31" s="39">
        <v>2</v>
      </c>
      <c r="Z31" s="39">
        <v>2</v>
      </c>
      <c r="AA31" s="39">
        <v>2</v>
      </c>
      <c r="AB31" s="39">
        <v>2</v>
      </c>
      <c r="AC31" s="39">
        <v>2</v>
      </c>
      <c r="AD31" s="39">
        <v>2</v>
      </c>
      <c r="AE31" s="39">
        <v>2</v>
      </c>
      <c r="AF31" s="39">
        <v>2</v>
      </c>
      <c r="AG31" s="39">
        <v>2</v>
      </c>
      <c r="AH31" s="39">
        <v>2</v>
      </c>
      <c r="AI31" s="39">
        <v>2</v>
      </c>
      <c r="AJ31" s="39">
        <v>2</v>
      </c>
      <c r="AK31" s="39">
        <v>2</v>
      </c>
      <c r="AL31" s="39">
        <v>2</v>
      </c>
      <c r="AM31" s="39">
        <v>2</v>
      </c>
      <c r="AN31" s="39">
        <v>2</v>
      </c>
      <c r="AO31" s="39">
        <v>2</v>
      </c>
      <c r="AP31" s="39">
        <v>2</v>
      </c>
      <c r="AQ31" s="39">
        <v>2</v>
      </c>
      <c r="AR31" s="39">
        <v>2</v>
      </c>
      <c r="AS31" s="39">
        <v>2</v>
      </c>
      <c r="AT31" s="39">
        <v>2</v>
      </c>
      <c r="AU31" s="39">
        <v>2</v>
      </c>
      <c r="AV31" s="39">
        <v>2</v>
      </c>
      <c r="AW31" s="39">
        <v>2</v>
      </c>
      <c r="AX31" s="39">
        <v>2</v>
      </c>
      <c r="AY31" s="39">
        <v>2</v>
      </c>
      <c r="AZ31" s="39">
        <v>2</v>
      </c>
      <c r="BA31" s="39">
        <v>2</v>
      </c>
      <c r="BB31" s="39">
        <v>2</v>
      </c>
      <c r="BC31" s="39">
        <v>2</v>
      </c>
      <c r="BD31" s="39">
        <v>2</v>
      </c>
      <c r="BE31" s="39">
        <v>2</v>
      </c>
      <c r="BF31" s="39">
        <v>2</v>
      </c>
      <c r="BG31" s="39">
        <v>2</v>
      </c>
      <c r="BH31" s="39">
        <v>2</v>
      </c>
      <c r="BI31" s="39">
        <v>2</v>
      </c>
      <c r="BJ31" s="39">
        <v>2</v>
      </c>
      <c r="BK31" s="39">
        <v>2</v>
      </c>
      <c r="BL31" s="39">
        <v>2</v>
      </c>
    </row>
    <row r="33" spans="1:1">
      <c r="A33" s="4"/>
    </row>
    <row r="34" spans="1:1">
      <c r="A34" s="3"/>
    </row>
    <row r="35" spans="1:1">
      <c r="A35" s="3"/>
    </row>
  </sheetData>
  <mergeCells count="3">
    <mergeCell ref="A29:B29"/>
    <mergeCell ref="A30:B30"/>
    <mergeCell ref="A31:B3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67C5E-F046-4814-9785-F8C1DDCFC3A7}">
  <dimension ref="A1:CU34"/>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99" ht="15" customHeight="1"/>
    <row r="2" spans="1:99" ht="15" customHeight="1">
      <c r="A2" s="9"/>
      <c r="B2" s="7"/>
      <c r="C2" s="7"/>
      <c r="D2" s="7"/>
      <c r="E2" s="7"/>
    </row>
    <row r="3" spans="1:99" ht="20.45" customHeight="1">
      <c r="A3" s="9" t="str">
        <f>Voorblad!A5</f>
        <v>Team Freight Forwarding Logistics</v>
      </c>
      <c r="B3" s="8"/>
      <c r="C3" s="8"/>
      <c r="D3" s="8"/>
      <c r="E3" s="48"/>
    </row>
    <row r="4" spans="1:99" s="51" customFormat="1" ht="15.75">
      <c r="A4" s="62" t="s">
        <v>50</v>
      </c>
      <c r="B4" s="49"/>
      <c r="C4" s="50"/>
      <c r="D4" s="50"/>
      <c r="E4" s="50"/>
    </row>
    <row r="5" spans="1:99" ht="15" customHeight="1">
      <c r="A5" s="7"/>
      <c r="B5" s="7"/>
      <c r="C5" s="7"/>
      <c r="D5" s="7"/>
      <c r="E5" s="26"/>
    </row>
    <row r="6" spans="1:99" ht="15" customHeight="1">
      <c r="A6" s="63" t="s">
        <v>20</v>
      </c>
      <c r="B6" s="63" t="s">
        <v>21</v>
      </c>
      <c r="C6" s="64" t="s">
        <v>22</v>
      </c>
      <c r="D6" s="64" t="s">
        <v>23</v>
      </c>
      <c r="E6" s="93">
        <v>1</v>
      </c>
      <c r="F6" s="93">
        <v>2</v>
      </c>
      <c r="G6" s="93">
        <v>3</v>
      </c>
      <c r="H6" s="93">
        <v>4</v>
      </c>
      <c r="I6" s="93">
        <v>6</v>
      </c>
      <c r="J6" s="93">
        <v>7</v>
      </c>
      <c r="K6" s="93">
        <v>8</v>
      </c>
      <c r="L6" s="93">
        <v>9</v>
      </c>
      <c r="M6" s="94">
        <v>10</v>
      </c>
      <c r="N6" s="94">
        <v>12</v>
      </c>
      <c r="O6" s="94">
        <v>13</v>
      </c>
      <c r="P6" s="94">
        <v>14</v>
      </c>
      <c r="Q6" s="94">
        <v>15</v>
      </c>
      <c r="R6" s="94">
        <v>16</v>
      </c>
      <c r="S6" s="94">
        <v>17</v>
      </c>
      <c r="T6" s="94">
        <v>18</v>
      </c>
      <c r="U6" s="94">
        <v>19</v>
      </c>
      <c r="V6" s="94">
        <v>20</v>
      </c>
      <c r="W6" s="94">
        <v>21</v>
      </c>
      <c r="X6" s="94">
        <v>22</v>
      </c>
      <c r="Y6" s="94">
        <v>23</v>
      </c>
      <c r="Z6" s="94">
        <v>24</v>
      </c>
      <c r="AA6" s="94">
        <v>25</v>
      </c>
      <c r="AB6" s="94">
        <v>26</v>
      </c>
      <c r="AC6" s="94">
        <v>27</v>
      </c>
      <c r="AD6" s="94">
        <v>28</v>
      </c>
      <c r="AE6" s="94">
        <v>29</v>
      </c>
      <c r="AF6" s="94">
        <v>30</v>
      </c>
      <c r="AG6" s="94">
        <v>31</v>
      </c>
      <c r="AH6" s="94">
        <v>32</v>
      </c>
      <c r="AI6" s="94">
        <v>33</v>
      </c>
      <c r="AJ6" s="94">
        <v>34</v>
      </c>
      <c r="AK6" s="94">
        <v>35</v>
      </c>
      <c r="AL6" s="94">
        <v>36</v>
      </c>
      <c r="AM6" s="94">
        <v>37</v>
      </c>
      <c r="AN6" s="94">
        <v>38</v>
      </c>
      <c r="AO6" s="94">
        <v>39</v>
      </c>
      <c r="AP6" s="94">
        <v>40</v>
      </c>
      <c r="AQ6" s="94">
        <v>41</v>
      </c>
      <c r="AR6" s="94">
        <v>42</v>
      </c>
      <c r="AS6" s="94">
        <v>44</v>
      </c>
      <c r="AT6" s="94">
        <v>45</v>
      </c>
      <c r="AU6" s="94">
        <v>46</v>
      </c>
      <c r="AV6" s="94">
        <v>47</v>
      </c>
      <c r="AW6" s="94">
        <v>48</v>
      </c>
      <c r="AX6" s="94">
        <v>49</v>
      </c>
      <c r="AY6" s="94">
        <v>50</v>
      </c>
      <c r="AZ6" s="94">
        <v>51</v>
      </c>
      <c r="BA6" s="94">
        <v>52</v>
      </c>
      <c r="BB6" s="94">
        <v>53</v>
      </c>
      <c r="BC6" s="94">
        <v>54</v>
      </c>
      <c r="BD6" s="94">
        <v>55</v>
      </c>
      <c r="BE6" s="94">
        <v>56</v>
      </c>
      <c r="BF6" s="94">
        <v>57</v>
      </c>
      <c r="BG6" s="94">
        <v>58</v>
      </c>
      <c r="BH6" s="94">
        <v>59</v>
      </c>
      <c r="BI6" s="94">
        <v>60</v>
      </c>
      <c r="BJ6" s="94">
        <v>61</v>
      </c>
      <c r="BK6" s="94">
        <v>63</v>
      </c>
      <c r="BL6" s="94">
        <v>64</v>
      </c>
      <c r="BM6" s="94">
        <v>65</v>
      </c>
      <c r="BN6" s="94">
        <v>66</v>
      </c>
      <c r="BO6" s="94">
        <v>67</v>
      </c>
      <c r="BP6" s="94">
        <v>68</v>
      </c>
      <c r="BQ6" s="94">
        <v>69</v>
      </c>
      <c r="BR6" s="94">
        <v>70</v>
      </c>
      <c r="BS6" s="94">
        <v>71</v>
      </c>
      <c r="BT6" s="94">
        <v>72</v>
      </c>
      <c r="BU6" s="94">
        <v>73</v>
      </c>
      <c r="BV6" s="94">
        <v>74</v>
      </c>
      <c r="BW6" s="94">
        <v>75</v>
      </c>
      <c r="BX6" s="94">
        <v>76</v>
      </c>
      <c r="BY6" s="94">
        <v>77</v>
      </c>
      <c r="BZ6" s="94">
        <v>78</v>
      </c>
      <c r="CA6" s="94">
        <v>79</v>
      </c>
      <c r="CB6" s="94">
        <v>80</v>
      </c>
      <c r="CC6" s="94">
        <v>81</v>
      </c>
      <c r="CD6" s="94">
        <v>82</v>
      </c>
      <c r="CE6" s="94">
        <v>83</v>
      </c>
      <c r="CF6" s="94">
        <v>84</v>
      </c>
      <c r="CG6" s="94">
        <v>85</v>
      </c>
      <c r="CH6" s="94">
        <v>86</v>
      </c>
      <c r="CI6" s="94">
        <v>87</v>
      </c>
      <c r="CJ6" s="94">
        <v>88</v>
      </c>
      <c r="CK6" s="94">
        <v>89</v>
      </c>
      <c r="CL6" s="94">
        <v>90</v>
      </c>
      <c r="CM6" s="94">
        <v>91</v>
      </c>
      <c r="CN6" s="94">
        <v>92</v>
      </c>
      <c r="CO6" s="94">
        <v>93</v>
      </c>
      <c r="CP6" s="94">
        <v>94</v>
      </c>
      <c r="CQ6" s="94">
        <v>95</v>
      </c>
      <c r="CR6" s="94">
        <v>96</v>
      </c>
      <c r="CS6" s="94">
        <v>97</v>
      </c>
      <c r="CT6" s="94">
        <v>98</v>
      </c>
      <c r="CU6" s="94">
        <v>99</v>
      </c>
    </row>
    <row r="7" spans="1:99" ht="15" customHeight="1">
      <c r="A7" s="67">
        <v>300</v>
      </c>
      <c r="B7" s="64">
        <v>0.2</v>
      </c>
      <c r="C7" s="64">
        <v>0.5</v>
      </c>
      <c r="D7" s="64"/>
      <c r="E7" s="68">
        <v>163</v>
      </c>
      <c r="F7" s="68">
        <v>163</v>
      </c>
      <c r="G7" s="68">
        <v>163</v>
      </c>
      <c r="H7" s="68">
        <v>154</v>
      </c>
      <c r="I7" s="68">
        <v>154</v>
      </c>
      <c r="J7" s="68">
        <v>163</v>
      </c>
      <c r="K7" s="68">
        <v>163</v>
      </c>
      <c r="L7" s="68">
        <v>163</v>
      </c>
      <c r="M7" s="68">
        <v>163</v>
      </c>
      <c r="N7" s="68">
        <v>163</v>
      </c>
      <c r="O7" s="68">
        <v>163</v>
      </c>
      <c r="P7" s="68">
        <v>163</v>
      </c>
      <c r="Q7" s="68">
        <v>163</v>
      </c>
      <c r="R7" s="68">
        <v>163</v>
      </c>
      <c r="S7" s="68">
        <v>163</v>
      </c>
      <c r="T7" s="68">
        <v>163</v>
      </c>
      <c r="U7" s="68">
        <v>163</v>
      </c>
      <c r="V7" s="68">
        <v>149</v>
      </c>
      <c r="W7" s="68">
        <v>149</v>
      </c>
      <c r="X7" s="68">
        <v>149</v>
      </c>
      <c r="Y7" s="68">
        <v>154</v>
      </c>
      <c r="Z7" s="68">
        <v>154</v>
      </c>
      <c r="AA7" s="68">
        <v>154</v>
      </c>
      <c r="AB7" s="68">
        <v>140</v>
      </c>
      <c r="AC7" s="68">
        <v>140</v>
      </c>
      <c r="AD7" s="68">
        <v>146</v>
      </c>
      <c r="AE7" s="68">
        <v>146</v>
      </c>
      <c r="AF7" s="68">
        <v>146</v>
      </c>
      <c r="AG7" s="68">
        <v>146</v>
      </c>
      <c r="AH7" s="68">
        <v>125</v>
      </c>
      <c r="AI7" s="68">
        <v>125</v>
      </c>
      <c r="AJ7" s="68">
        <v>146</v>
      </c>
      <c r="AK7" s="68">
        <v>140</v>
      </c>
      <c r="AL7" s="68">
        <v>146</v>
      </c>
      <c r="AM7" s="68">
        <v>146</v>
      </c>
      <c r="AN7" s="68">
        <v>149</v>
      </c>
      <c r="AO7" s="68">
        <v>154</v>
      </c>
      <c r="AP7" s="68">
        <v>121</v>
      </c>
      <c r="AQ7" s="68">
        <v>121</v>
      </c>
      <c r="AR7" s="68">
        <v>121</v>
      </c>
      <c r="AS7" s="68">
        <v>121</v>
      </c>
      <c r="AT7" s="68">
        <v>121</v>
      </c>
      <c r="AU7" s="68">
        <v>121</v>
      </c>
      <c r="AV7" s="68">
        <v>121</v>
      </c>
      <c r="AW7" s="68">
        <v>121</v>
      </c>
      <c r="AX7" s="68">
        <v>125</v>
      </c>
      <c r="AY7" s="68">
        <v>121</v>
      </c>
      <c r="AZ7" s="68">
        <v>121</v>
      </c>
      <c r="BA7" s="68">
        <v>121</v>
      </c>
      <c r="BB7" s="68">
        <v>121</v>
      </c>
      <c r="BC7" s="68">
        <v>140</v>
      </c>
      <c r="BD7" s="68">
        <v>140</v>
      </c>
      <c r="BE7" s="68">
        <v>140</v>
      </c>
      <c r="BF7" s="68">
        <v>140</v>
      </c>
      <c r="BG7" s="68">
        <v>125</v>
      </c>
      <c r="BH7" s="68">
        <v>125</v>
      </c>
      <c r="BI7" s="68">
        <v>146</v>
      </c>
      <c r="BJ7" s="68">
        <v>146</v>
      </c>
      <c r="BK7" s="68">
        <v>146</v>
      </c>
      <c r="BL7" s="68">
        <v>146</v>
      </c>
      <c r="BM7" s="68">
        <v>146</v>
      </c>
      <c r="BN7" s="68">
        <v>149</v>
      </c>
      <c r="BO7" s="68">
        <v>149</v>
      </c>
      <c r="BP7" s="68">
        <v>149</v>
      </c>
      <c r="BQ7" s="68">
        <v>149</v>
      </c>
      <c r="BR7" s="68">
        <v>154</v>
      </c>
      <c r="BS7" s="68">
        <v>154</v>
      </c>
      <c r="BT7" s="68">
        <v>154</v>
      </c>
      <c r="BU7" s="68">
        <v>154</v>
      </c>
      <c r="BV7" s="68">
        <v>154</v>
      </c>
      <c r="BW7" s="68">
        <v>154</v>
      </c>
      <c r="BX7" s="68">
        <v>154</v>
      </c>
      <c r="BY7" s="68">
        <v>154</v>
      </c>
      <c r="BZ7" s="68">
        <v>163</v>
      </c>
      <c r="CA7" s="68">
        <v>163</v>
      </c>
      <c r="CB7" s="68">
        <v>163</v>
      </c>
      <c r="CC7" s="68">
        <v>163</v>
      </c>
      <c r="CD7" s="68">
        <v>163</v>
      </c>
      <c r="CE7" s="68">
        <v>163</v>
      </c>
      <c r="CF7" s="68">
        <v>163</v>
      </c>
      <c r="CG7" s="68">
        <v>163</v>
      </c>
      <c r="CH7" s="68">
        <v>163</v>
      </c>
      <c r="CI7" s="68">
        <v>163</v>
      </c>
      <c r="CJ7" s="68">
        <v>163</v>
      </c>
      <c r="CK7" s="68">
        <v>163</v>
      </c>
      <c r="CL7" s="68">
        <v>154</v>
      </c>
      <c r="CM7" s="68">
        <v>154</v>
      </c>
      <c r="CN7" s="68">
        <v>163</v>
      </c>
      <c r="CO7" s="68">
        <v>163</v>
      </c>
      <c r="CP7" s="68">
        <v>163</v>
      </c>
      <c r="CQ7" s="68">
        <v>163</v>
      </c>
      <c r="CR7" s="68">
        <v>163</v>
      </c>
      <c r="CS7" s="68">
        <v>149</v>
      </c>
      <c r="CT7" s="68">
        <v>149</v>
      </c>
      <c r="CU7" s="68">
        <v>149</v>
      </c>
    </row>
    <row r="8" spans="1:99" ht="15" customHeight="1">
      <c r="A8" s="2">
        <v>700</v>
      </c>
      <c r="B8" s="64">
        <v>0.4</v>
      </c>
      <c r="C8" s="64">
        <v>1</v>
      </c>
      <c r="D8" s="64"/>
      <c r="E8" s="68">
        <v>176</v>
      </c>
      <c r="F8" s="68">
        <v>176</v>
      </c>
      <c r="G8" s="68">
        <v>176</v>
      </c>
      <c r="H8" s="68">
        <v>167</v>
      </c>
      <c r="I8" s="68">
        <v>167</v>
      </c>
      <c r="J8" s="68">
        <v>173</v>
      </c>
      <c r="K8" s="68">
        <v>173</v>
      </c>
      <c r="L8" s="68">
        <v>173</v>
      </c>
      <c r="M8" s="68">
        <v>173</v>
      </c>
      <c r="N8" s="68">
        <v>173</v>
      </c>
      <c r="O8" s="68">
        <v>173</v>
      </c>
      <c r="P8" s="68">
        <v>173</v>
      </c>
      <c r="Q8" s="68">
        <v>173</v>
      </c>
      <c r="R8" s="68">
        <v>173</v>
      </c>
      <c r="S8" s="68">
        <v>176</v>
      </c>
      <c r="T8" s="68">
        <v>176</v>
      </c>
      <c r="U8" s="68">
        <v>173</v>
      </c>
      <c r="V8" s="68">
        <v>161</v>
      </c>
      <c r="W8" s="68">
        <v>161</v>
      </c>
      <c r="X8" s="68">
        <v>161</v>
      </c>
      <c r="Y8" s="68">
        <v>167</v>
      </c>
      <c r="Z8" s="68">
        <v>167</v>
      </c>
      <c r="AA8" s="68">
        <v>167</v>
      </c>
      <c r="AB8" s="68">
        <v>150</v>
      </c>
      <c r="AC8" s="68">
        <v>150</v>
      </c>
      <c r="AD8" s="68">
        <v>157</v>
      </c>
      <c r="AE8" s="68">
        <v>157</v>
      </c>
      <c r="AF8" s="68">
        <v>157</v>
      </c>
      <c r="AG8" s="68">
        <v>157</v>
      </c>
      <c r="AH8" s="68">
        <v>135</v>
      </c>
      <c r="AI8" s="68">
        <v>135</v>
      </c>
      <c r="AJ8" s="68">
        <v>157</v>
      </c>
      <c r="AK8" s="68">
        <v>150</v>
      </c>
      <c r="AL8" s="68">
        <v>157</v>
      </c>
      <c r="AM8" s="68">
        <v>157</v>
      </c>
      <c r="AN8" s="68">
        <v>161</v>
      </c>
      <c r="AO8" s="68">
        <v>167</v>
      </c>
      <c r="AP8" s="68">
        <v>130</v>
      </c>
      <c r="AQ8" s="68">
        <v>130</v>
      </c>
      <c r="AR8" s="68">
        <v>130</v>
      </c>
      <c r="AS8" s="68">
        <v>130</v>
      </c>
      <c r="AT8" s="68">
        <v>130</v>
      </c>
      <c r="AU8" s="68">
        <v>130</v>
      </c>
      <c r="AV8" s="68">
        <v>130</v>
      </c>
      <c r="AW8" s="68">
        <v>130</v>
      </c>
      <c r="AX8" s="68">
        <v>135</v>
      </c>
      <c r="AY8" s="68">
        <v>130</v>
      </c>
      <c r="AZ8" s="68">
        <v>130</v>
      </c>
      <c r="BA8" s="68">
        <v>130</v>
      </c>
      <c r="BB8" s="68">
        <v>130</v>
      </c>
      <c r="BC8" s="68">
        <v>150</v>
      </c>
      <c r="BD8" s="68">
        <v>150</v>
      </c>
      <c r="BE8" s="68">
        <v>150</v>
      </c>
      <c r="BF8" s="68">
        <v>150</v>
      </c>
      <c r="BG8" s="68">
        <v>135</v>
      </c>
      <c r="BH8" s="68">
        <v>135</v>
      </c>
      <c r="BI8" s="68">
        <v>157</v>
      </c>
      <c r="BJ8" s="68">
        <v>157</v>
      </c>
      <c r="BK8" s="68">
        <v>157</v>
      </c>
      <c r="BL8" s="68">
        <v>157</v>
      </c>
      <c r="BM8" s="68">
        <v>157</v>
      </c>
      <c r="BN8" s="68">
        <v>161</v>
      </c>
      <c r="BO8" s="68">
        <v>161</v>
      </c>
      <c r="BP8" s="68">
        <v>161</v>
      </c>
      <c r="BQ8" s="68">
        <v>161</v>
      </c>
      <c r="BR8" s="68">
        <v>167</v>
      </c>
      <c r="BS8" s="68">
        <v>167</v>
      </c>
      <c r="BT8" s="68">
        <v>167</v>
      </c>
      <c r="BU8" s="68">
        <v>167</v>
      </c>
      <c r="BV8" s="68">
        <v>167</v>
      </c>
      <c r="BW8" s="68">
        <v>167</v>
      </c>
      <c r="BX8" s="68">
        <v>167</v>
      </c>
      <c r="BY8" s="68">
        <v>167</v>
      </c>
      <c r="BZ8" s="68">
        <v>173</v>
      </c>
      <c r="CA8" s="68">
        <v>173</v>
      </c>
      <c r="CB8" s="68">
        <v>176</v>
      </c>
      <c r="CC8" s="68">
        <v>176</v>
      </c>
      <c r="CD8" s="68">
        <v>176</v>
      </c>
      <c r="CE8" s="68">
        <v>176</v>
      </c>
      <c r="CF8" s="68">
        <v>176</v>
      </c>
      <c r="CG8" s="68">
        <v>176</v>
      </c>
      <c r="CH8" s="68">
        <v>173</v>
      </c>
      <c r="CI8" s="68">
        <v>173</v>
      </c>
      <c r="CJ8" s="68">
        <v>173</v>
      </c>
      <c r="CK8" s="68">
        <v>173</v>
      </c>
      <c r="CL8" s="68">
        <v>167</v>
      </c>
      <c r="CM8" s="68">
        <v>167</v>
      </c>
      <c r="CN8" s="68">
        <v>173</v>
      </c>
      <c r="CO8" s="68">
        <v>173</v>
      </c>
      <c r="CP8" s="68">
        <v>176</v>
      </c>
      <c r="CQ8" s="68">
        <v>173</v>
      </c>
      <c r="CR8" s="68">
        <v>173</v>
      </c>
      <c r="CS8" s="68">
        <v>161</v>
      </c>
      <c r="CT8" s="68">
        <v>161</v>
      </c>
      <c r="CU8" s="68">
        <v>161</v>
      </c>
    </row>
    <row r="9" spans="1:99" ht="15" customHeight="1">
      <c r="A9" s="2">
        <v>875</v>
      </c>
      <c r="B9" s="64">
        <v>0.5</v>
      </c>
      <c r="C9" s="64"/>
      <c r="D9" s="64">
        <v>1</v>
      </c>
      <c r="E9" s="68">
        <v>213</v>
      </c>
      <c r="F9" s="68">
        <v>213</v>
      </c>
      <c r="G9" s="68">
        <v>213</v>
      </c>
      <c r="H9" s="68">
        <v>199</v>
      </c>
      <c r="I9" s="68">
        <v>199</v>
      </c>
      <c r="J9" s="68">
        <v>206</v>
      </c>
      <c r="K9" s="68">
        <v>206</v>
      </c>
      <c r="L9" s="68">
        <v>206</v>
      </c>
      <c r="M9" s="68">
        <v>206</v>
      </c>
      <c r="N9" s="68">
        <v>206</v>
      </c>
      <c r="O9" s="68">
        <v>206</v>
      </c>
      <c r="P9" s="68">
        <v>206</v>
      </c>
      <c r="Q9" s="68">
        <v>206</v>
      </c>
      <c r="R9" s="68">
        <v>206</v>
      </c>
      <c r="S9" s="68">
        <v>213</v>
      </c>
      <c r="T9" s="68">
        <v>213</v>
      </c>
      <c r="U9" s="68">
        <v>206</v>
      </c>
      <c r="V9" s="68">
        <v>193</v>
      </c>
      <c r="W9" s="68">
        <v>193</v>
      </c>
      <c r="X9" s="68">
        <v>193</v>
      </c>
      <c r="Y9" s="68">
        <v>199</v>
      </c>
      <c r="Z9" s="68">
        <v>199</v>
      </c>
      <c r="AA9" s="68">
        <v>199</v>
      </c>
      <c r="AB9" s="68">
        <v>172</v>
      </c>
      <c r="AC9" s="68">
        <v>172</v>
      </c>
      <c r="AD9" s="68">
        <v>181</v>
      </c>
      <c r="AE9" s="68">
        <v>181</v>
      </c>
      <c r="AF9" s="68">
        <v>181</v>
      </c>
      <c r="AG9" s="68">
        <v>181</v>
      </c>
      <c r="AH9" s="68">
        <v>162</v>
      </c>
      <c r="AI9" s="68">
        <v>162</v>
      </c>
      <c r="AJ9" s="68">
        <v>181</v>
      </c>
      <c r="AK9" s="68">
        <v>172</v>
      </c>
      <c r="AL9" s="68">
        <v>181</v>
      </c>
      <c r="AM9" s="68">
        <v>181</v>
      </c>
      <c r="AN9" s="68">
        <v>193</v>
      </c>
      <c r="AO9" s="68">
        <v>199</v>
      </c>
      <c r="AP9" s="68">
        <v>155</v>
      </c>
      <c r="AQ9" s="68">
        <v>155</v>
      </c>
      <c r="AR9" s="68">
        <v>155</v>
      </c>
      <c r="AS9" s="68">
        <v>155</v>
      </c>
      <c r="AT9" s="68">
        <v>155</v>
      </c>
      <c r="AU9" s="68">
        <v>155</v>
      </c>
      <c r="AV9" s="68">
        <v>155</v>
      </c>
      <c r="AW9" s="68">
        <v>155</v>
      </c>
      <c r="AX9" s="68">
        <v>162</v>
      </c>
      <c r="AY9" s="68">
        <v>155</v>
      </c>
      <c r="AZ9" s="68">
        <v>155</v>
      </c>
      <c r="BA9" s="68">
        <v>155</v>
      </c>
      <c r="BB9" s="68">
        <v>155</v>
      </c>
      <c r="BC9" s="68">
        <v>172</v>
      </c>
      <c r="BD9" s="68">
        <v>172</v>
      </c>
      <c r="BE9" s="68">
        <v>172</v>
      </c>
      <c r="BF9" s="68">
        <v>172</v>
      </c>
      <c r="BG9" s="68">
        <v>162</v>
      </c>
      <c r="BH9" s="68">
        <v>162</v>
      </c>
      <c r="BI9" s="68">
        <v>181</v>
      </c>
      <c r="BJ9" s="68">
        <v>181</v>
      </c>
      <c r="BK9" s="68">
        <v>181</v>
      </c>
      <c r="BL9" s="68">
        <v>181</v>
      </c>
      <c r="BM9" s="68">
        <v>181</v>
      </c>
      <c r="BN9" s="68">
        <v>193</v>
      </c>
      <c r="BO9" s="68">
        <v>193</v>
      </c>
      <c r="BP9" s="68">
        <v>193</v>
      </c>
      <c r="BQ9" s="68">
        <v>193</v>
      </c>
      <c r="BR9" s="68">
        <v>199</v>
      </c>
      <c r="BS9" s="68">
        <v>199</v>
      </c>
      <c r="BT9" s="68">
        <v>199</v>
      </c>
      <c r="BU9" s="68">
        <v>199</v>
      </c>
      <c r="BV9" s="68">
        <v>199</v>
      </c>
      <c r="BW9" s="68">
        <v>199</v>
      </c>
      <c r="BX9" s="68">
        <v>199</v>
      </c>
      <c r="BY9" s="68">
        <v>199</v>
      </c>
      <c r="BZ9" s="68">
        <v>206</v>
      </c>
      <c r="CA9" s="68">
        <v>206</v>
      </c>
      <c r="CB9" s="68">
        <v>213</v>
      </c>
      <c r="CC9" s="68">
        <v>213</v>
      </c>
      <c r="CD9" s="68">
        <v>213</v>
      </c>
      <c r="CE9" s="68">
        <v>213</v>
      </c>
      <c r="CF9" s="68">
        <v>213</v>
      </c>
      <c r="CG9" s="68">
        <v>213</v>
      </c>
      <c r="CH9" s="68">
        <v>206</v>
      </c>
      <c r="CI9" s="68">
        <v>206</v>
      </c>
      <c r="CJ9" s="68">
        <v>206</v>
      </c>
      <c r="CK9" s="68">
        <v>206</v>
      </c>
      <c r="CL9" s="68">
        <v>199</v>
      </c>
      <c r="CM9" s="68">
        <v>199</v>
      </c>
      <c r="CN9" s="68">
        <v>206</v>
      </c>
      <c r="CO9" s="68">
        <v>206</v>
      </c>
      <c r="CP9" s="68">
        <v>213</v>
      </c>
      <c r="CQ9" s="68">
        <v>206</v>
      </c>
      <c r="CR9" s="68">
        <v>206</v>
      </c>
      <c r="CS9" s="68">
        <v>193</v>
      </c>
      <c r="CT9" s="68">
        <v>193</v>
      </c>
      <c r="CU9" s="68">
        <v>193</v>
      </c>
    </row>
    <row r="10" spans="1:99" ht="15" customHeight="1">
      <c r="A10" s="2">
        <v>1050</v>
      </c>
      <c r="B10" s="64">
        <v>0.6</v>
      </c>
      <c r="C10" s="64"/>
      <c r="D10" s="64"/>
      <c r="E10" s="68">
        <v>282</v>
      </c>
      <c r="F10" s="68">
        <v>282</v>
      </c>
      <c r="G10" s="68">
        <v>282</v>
      </c>
      <c r="H10" s="68">
        <v>257</v>
      </c>
      <c r="I10" s="68">
        <v>257</v>
      </c>
      <c r="J10" s="68">
        <v>266</v>
      </c>
      <c r="K10" s="68">
        <v>266</v>
      </c>
      <c r="L10" s="68">
        <v>266</v>
      </c>
      <c r="M10" s="68">
        <v>266</v>
      </c>
      <c r="N10" s="68">
        <v>266</v>
      </c>
      <c r="O10" s="68">
        <v>266</v>
      </c>
      <c r="P10" s="68">
        <v>266</v>
      </c>
      <c r="Q10" s="68">
        <v>266</v>
      </c>
      <c r="R10" s="68">
        <v>266</v>
      </c>
      <c r="S10" s="68">
        <v>282</v>
      </c>
      <c r="T10" s="68">
        <v>282</v>
      </c>
      <c r="U10" s="68">
        <v>266</v>
      </c>
      <c r="V10" s="68">
        <v>248</v>
      </c>
      <c r="W10" s="68">
        <v>248</v>
      </c>
      <c r="X10" s="68">
        <v>248</v>
      </c>
      <c r="Y10" s="68">
        <v>257</v>
      </c>
      <c r="Z10" s="68">
        <v>257</v>
      </c>
      <c r="AA10" s="68">
        <v>257</v>
      </c>
      <c r="AB10" s="68">
        <v>215</v>
      </c>
      <c r="AC10" s="68">
        <v>215</v>
      </c>
      <c r="AD10" s="68">
        <v>228</v>
      </c>
      <c r="AE10" s="68">
        <v>228</v>
      </c>
      <c r="AF10" s="68">
        <v>228</v>
      </c>
      <c r="AG10" s="68">
        <v>228</v>
      </c>
      <c r="AH10" s="68">
        <v>204</v>
      </c>
      <c r="AI10" s="68">
        <v>204</v>
      </c>
      <c r="AJ10" s="68">
        <v>228</v>
      </c>
      <c r="AK10" s="68">
        <v>215</v>
      </c>
      <c r="AL10" s="68">
        <v>228</v>
      </c>
      <c r="AM10" s="68">
        <v>228</v>
      </c>
      <c r="AN10" s="68">
        <v>248</v>
      </c>
      <c r="AO10" s="68">
        <v>257</v>
      </c>
      <c r="AP10" s="68">
        <v>193</v>
      </c>
      <c r="AQ10" s="68">
        <v>193</v>
      </c>
      <c r="AR10" s="68">
        <v>193</v>
      </c>
      <c r="AS10" s="68">
        <v>193</v>
      </c>
      <c r="AT10" s="68">
        <v>193</v>
      </c>
      <c r="AU10" s="68">
        <v>193</v>
      </c>
      <c r="AV10" s="68">
        <v>193</v>
      </c>
      <c r="AW10" s="68">
        <v>193</v>
      </c>
      <c r="AX10" s="68">
        <v>204</v>
      </c>
      <c r="AY10" s="68">
        <v>193</v>
      </c>
      <c r="AZ10" s="68">
        <v>193</v>
      </c>
      <c r="BA10" s="68">
        <v>193</v>
      </c>
      <c r="BB10" s="68">
        <v>193</v>
      </c>
      <c r="BC10" s="68">
        <v>215</v>
      </c>
      <c r="BD10" s="68">
        <v>215</v>
      </c>
      <c r="BE10" s="68">
        <v>215</v>
      </c>
      <c r="BF10" s="68">
        <v>215</v>
      </c>
      <c r="BG10" s="68">
        <v>204</v>
      </c>
      <c r="BH10" s="68">
        <v>204</v>
      </c>
      <c r="BI10" s="68">
        <v>228</v>
      </c>
      <c r="BJ10" s="68">
        <v>228</v>
      </c>
      <c r="BK10" s="68">
        <v>228</v>
      </c>
      <c r="BL10" s="68">
        <v>228</v>
      </c>
      <c r="BM10" s="68">
        <v>228</v>
      </c>
      <c r="BN10" s="68">
        <v>248</v>
      </c>
      <c r="BO10" s="68">
        <v>248</v>
      </c>
      <c r="BP10" s="68">
        <v>248</v>
      </c>
      <c r="BQ10" s="68">
        <v>248</v>
      </c>
      <c r="BR10" s="68">
        <v>257</v>
      </c>
      <c r="BS10" s="68">
        <v>257</v>
      </c>
      <c r="BT10" s="68">
        <v>257</v>
      </c>
      <c r="BU10" s="68">
        <v>257</v>
      </c>
      <c r="BV10" s="68">
        <v>257</v>
      </c>
      <c r="BW10" s="68">
        <v>257</v>
      </c>
      <c r="BX10" s="68">
        <v>257</v>
      </c>
      <c r="BY10" s="68">
        <v>257</v>
      </c>
      <c r="BZ10" s="68">
        <v>266</v>
      </c>
      <c r="CA10" s="68">
        <v>266</v>
      </c>
      <c r="CB10" s="68">
        <v>282</v>
      </c>
      <c r="CC10" s="68">
        <v>282</v>
      </c>
      <c r="CD10" s="68">
        <v>282</v>
      </c>
      <c r="CE10" s="68">
        <v>282</v>
      </c>
      <c r="CF10" s="68">
        <v>282</v>
      </c>
      <c r="CG10" s="68">
        <v>282</v>
      </c>
      <c r="CH10" s="68">
        <v>266</v>
      </c>
      <c r="CI10" s="68">
        <v>266</v>
      </c>
      <c r="CJ10" s="68">
        <v>266</v>
      </c>
      <c r="CK10" s="68">
        <v>266</v>
      </c>
      <c r="CL10" s="68">
        <v>257</v>
      </c>
      <c r="CM10" s="68">
        <v>257</v>
      </c>
      <c r="CN10" s="68">
        <v>266</v>
      </c>
      <c r="CO10" s="68">
        <v>266</v>
      </c>
      <c r="CP10" s="68">
        <v>282</v>
      </c>
      <c r="CQ10" s="68">
        <v>266</v>
      </c>
      <c r="CR10" s="68">
        <v>266</v>
      </c>
      <c r="CS10" s="68">
        <v>248</v>
      </c>
      <c r="CT10" s="68">
        <v>248</v>
      </c>
      <c r="CU10" s="68">
        <v>248</v>
      </c>
    </row>
    <row r="11" spans="1:99" ht="15" customHeight="1">
      <c r="A11" s="2">
        <v>1400</v>
      </c>
      <c r="B11" s="64">
        <v>0.8</v>
      </c>
      <c r="C11" s="64">
        <v>2</v>
      </c>
      <c r="D11" s="64"/>
      <c r="E11" s="68">
        <v>317</v>
      </c>
      <c r="F11" s="68">
        <v>317</v>
      </c>
      <c r="G11" s="68">
        <v>317</v>
      </c>
      <c r="H11" s="68">
        <v>287</v>
      </c>
      <c r="I11" s="68">
        <v>287</v>
      </c>
      <c r="J11" s="68">
        <v>295</v>
      </c>
      <c r="K11" s="68">
        <v>295</v>
      </c>
      <c r="L11" s="68">
        <v>295</v>
      </c>
      <c r="M11" s="68">
        <v>295</v>
      </c>
      <c r="N11" s="68">
        <v>295</v>
      </c>
      <c r="O11" s="68">
        <v>295</v>
      </c>
      <c r="P11" s="68">
        <v>295</v>
      </c>
      <c r="Q11" s="68">
        <v>295</v>
      </c>
      <c r="R11" s="68">
        <v>295</v>
      </c>
      <c r="S11" s="68">
        <v>317</v>
      </c>
      <c r="T11" s="68">
        <v>317</v>
      </c>
      <c r="U11" s="68">
        <v>295</v>
      </c>
      <c r="V11" s="68">
        <v>276</v>
      </c>
      <c r="W11" s="68">
        <v>276</v>
      </c>
      <c r="X11" s="68">
        <v>276</v>
      </c>
      <c r="Y11" s="68">
        <v>287</v>
      </c>
      <c r="Z11" s="68">
        <v>287</v>
      </c>
      <c r="AA11" s="68">
        <v>287</v>
      </c>
      <c r="AB11" s="68">
        <v>235</v>
      </c>
      <c r="AC11" s="68">
        <v>235</v>
      </c>
      <c r="AD11" s="68">
        <v>250</v>
      </c>
      <c r="AE11" s="68">
        <v>250</v>
      </c>
      <c r="AF11" s="68">
        <v>250</v>
      </c>
      <c r="AG11" s="68">
        <v>250</v>
      </c>
      <c r="AH11" s="68">
        <v>224</v>
      </c>
      <c r="AI11" s="68">
        <v>224</v>
      </c>
      <c r="AJ11" s="68">
        <v>250</v>
      </c>
      <c r="AK11" s="68">
        <v>235</v>
      </c>
      <c r="AL11" s="68">
        <v>250</v>
      </c>
      <c r="AM11" s="68">
        <v>250</v>
      </c>
      <c r="AN11" s="68">
        <v>276</v>
      </c>
      <c r="AO11" s="68">
        <v>287</v>
      </c>
      <c r="AP11" s="68">
        <v>213</v>
      </c>
      <c r="AQ11" s="68">
        <v>213</v>
      </c>
      <c r="AR11" s="68">
        <v>213</v>
      </c>
      <c r="AS11" s="68">
        <v>213</v>
      </c>
      <c r="AT11" s="68">
        <v>213</v>
      </c>
      <c r="AU11" s="68">
        <v>213</v>
      </c>
      <c r="AV11" s="68">
        <v>213</v>
      </c>
      <c r="AW11" s="68">
        <v>213</v>
      </c>
      <c r="AX11" s="68">
        <v>224</v>
      </c>
      <c r="AY11" s="68">
        <v>213</v>
      </c>
      <c r="AZ11" s="68">
        <v>213</v>
      </c>
      <c r="BA11" s="68">
        <v>213</v>
      </c>
      <c r="BB11" s="68">
        <v>213</v>
      </c>
      <c r="BC11" s="68">
        <v>235</v>
      </c>
      <c r="BD11" s="68">
        <v>235</v>
      </c>
      <c r="BE11" s="68">
        <v>235</v>
      </c>
      <c r="BF11" s="68">
        <v>235</v>
      </c>
      <c r="BG11" s="68">
        <v>224</v>
      </c>
      <c r="BH11" s="68">
        <v>224</v>
      </c>
      <c r="BI11" s="68">
        <v>250</v>
      </c>
      <c r="BJ11" s="68">
        <v>250</v>
      </c>
      <c r="BK11" s="68">
        <v>250</v>
      </c>
      <c r="BL11" s="68">
        <v>250</v>
      </c>
      <c r="BM11" s="68">
        <v>250</v>
      </c>
      <c r="BN11" s="68">
        <v>276</v>
      </c>
      <c r="BO11" s="68">
        <v>276</v>
      </c>
      <c r="BP11" s="68">
        <v>276</v>
      </c>
      <c r="BQ11" s="68">
        <v>276</v>
      </c>
      <c r="BR11" s="68">
        <v>287</v>
      </c>
      <c r="BS11" s="68">
        <v>287</v>
      </c>
      <c r="BT11" s="68">
        <v>287</v>
      </c>
      <c r="BU11" s="68">
        <v>287</v>
      </c>
      <c r="BV11" s="68">
        <v>287</v>
      </c>
      <c r="BW11" s="68">
        <v>287</v>
      </c>
      <c r="BX11" s="68">
        <v>287</v>
      </c>
      <c r="BY11" s="68">
        <v>287</v>
      </c>
      <c r="BZ11" s="68">
        <v>295</v>
      </c>
      <c r="CA11" s="68">
        <v>295</v>
      </c>
      <c r="CB11" s="68">
        <v>317</v>
      </c>
      <c r="CC11" s="68">
        <v>317</v>
      </c>
      <c r="CD11" s="68">
        <v>317</v>
      </c>
      <c r="CE11" s="68">
        <v>317</v>
      </c>
      <c r="CF11" s="68">
        <v>317</v>
      </c>
      <c r="CG11" s="68">
        <v>317</v>
      </c>
      <c r="CH11" s="68">
        <v>295</v>
      </c>
      <c r="CI11" s="68">
        <v>295</v>
      </c>
      <c r="CJ11" s="68">
        <v>295</v>
      </c>
      <c r="CK11" s="68">
        <v>295</v>
      </c>
      <c r="CL11" s="68">
        <v>287</v>
      </c>
      <c r="CM11" s="68">
        <v>287</v>
      </c>
      <c r="CN11" s="68">
        <v>295</v>
      </c>
      <c r="CO11" s="68">
        <v>295</v>
      </c>
      <c r="CP11" s="68">
        <v>317</v>
      </c>
      <c r="CQ11" s="68">
        <v>295</v>
      </c>
      <c r="CR11" s="68">
        <v>295</v>
      </c>
      <c r="CS11" s="68">
        <v>276</v>
      </c>
      <c r="CT11" s="68">
        <v>276</v>
      </c>
      <c r="CU11" s="68">
        <v>276</v>
      </c>
    </row>
    <row r="12" spans="1:99" ht="15" customHeight="1">
      <c r="A12" s="2">
        <v>1750</v>
      </c>
      <c r="B12" s="64">
        <v>1</v>
      </c>
      <c r="C12" s="64"/>
      <c r="D12" s="64">
        <v>2</v>
      </c>
      <c r="E12" s="68">
        <v>341</v>
      </c>
      <c r="F12" s="68">
        <v>356</v>
      </c>
      <c r="G12" s="68">
        <v>356</v>
      </c>
      <c r="H12" s="68">
        <v>326</v>
      </c>
      <c r="I12" s="68">
        <v>311</v>
      </c>
      <c r="J12" s="68">
        <v>315</v>
      </c>
      <c r="K12" s="68">
        <v>315</v>
      </c>
      <c r="L12" s="68">
        <v>330</v>
      </c>
      <c r="M12" s="68">
        <v>330</v>
      </c>
      <c r="N12" s="68">
        <v>330</v>
      </c>
      <c r="O12" s="68">
        <v>330</v>
      </c>
      <c r="P12" s="68">
        <v>330</v>
      </c>
      <c r="Q12" s="68">
        <v>345</v>
      </c>
      <c r="R12" s="68">
        <v>330</v>
      </c>
      <c r="S12" s="68">
        <v>356</v>
      </c>
      <c r="T12" s="68">
        <v>341</v>
      </c>
      <c r="U12" s="68">
        <v>315</v>
      </c>
      <c r="V12" s="68">
        <v>306</v>
      </c>
      <c r="W12" s="68">
        <v>293</v>
      </c>
      <c r="X12" s="68">
        <v>306</v>
      </c>
      <c r="Y12" s="68">
        <v>296</v>
      </c>
      <c r="Z12" s="68">
        <v>311</v>
      </c>
      <c r="AA12" s="68">
        <v>311</v>
      </c>
      <c r="AB12" s="68">
        <v>262</v>
      </c>
      <c r="AC12" s="68">
        <v>262</v>
      </c>
      <c r="AD12" s="68">
        <v>272</v>
      </c>
      <c r="AE12" s="68">
        <v>276</v>
      </c>
      <c r="AF12" s="68">
        <v>276</v>
      </c>
      <c r="AG12" s="68">
        <v>262</v>
      </c>
      <c r="AH12" s="68">
        <v>244</v>
      </c>
      <c r="AI12" s="68">
        <v>244</v>
      </c>
      <c r="AJ12" s="68">
        <v>276</v>
      </c>
      <c r="AK12" s="68">
        <v>266</v>
      </c>
      <c r="AL12" s="68">
        <v>276</v>
      </c>
      <c r="AM12" s="68">
        <v>276</v>
      </c>
      <c r="AN12" s="68">
        <v>293</v>
      </c>
      <c r="AO12" s="68">
        <v>311</v>
      </c>
      <c r="AP12" s="68">
        <v>223</v>
      </c>
      <c r="AQ12" s="68">
        <v>220</v>
      </c>
      <c r="AR12" s="68">
        <v>223</v>
      </c>
      <c r="AS12" s="68">
        <v>223</v>
      </c>
      <c r="AT12" s="68">
        <v>220</v>
      </c>
      <c r="AU12" s="68">
        <v>220</v>
      </c>
      <c r="AV12" s="68">
        <v>220</v>
      </c>
      <c r="AW12" s="68">
        <v>222</v>
      </c>
      <c r="AX12" s="68">
        <v>233</v>
      </c>
      <c r="AY12" s="68">
        <v>223</v>
      </c>
      <c r="AZ12" s="68">
        <v>223</v>
      </c>
      <c r="BA12" s="68">
        <v>223</v>
      </c>
      <c r="BB12" s="68">
        <v>237</v>
      </c>
      <c r="BC12" s="68">
        <v>252</v>
      </c>
      <c r="BD12" s="68">
        <v>266</v>
      </c>
      <c r="BE12" s="68">
        <v>252</v>
      </c>
      <c r="BF12" s="68">
        <v>252</v>
      </c>
      <c r="BG12" s="68">
        <v>230</v>
      </c>
      <c r="BH12" s="68">
        <v>230</v>
      </c>
      <c r="BI12" s="68">
        <v>276</v>
      </c>
      <c r="BJ12" s="68">
        <v>276</v>
      </c>
      <c r="BK12" s="68">
        <v>276</v>
      </c>
      <c r="BL12" s="68">
        <v>276</v>
      </c>
      <c r="BM12" s="68">
        <v>276</v>
      </c>
      <c r="BN12" s="68">
        <v>294</v>
      </c>
      <c r="BO12" s="68">
        <v>294</v>
      </c>
      <c r="BP12" s="68">
        <v>294</v>
      </c>
      <c r="BQ12" s="68">
        <v>294</v>
      </c>
      <c r="BR12" s="68">
        <v>311</v>
      </c>
      <c r="BS12" s="68">
        <v>311</v>
      </c>
      <c r="BT12" s="68">
        <v>311</v>
      </c>
      <c r="BU12" s="68">
        <v>311</v>
      </c>
      <c r="BV12" s="68">
        <v>308</v>
      </c>
      <c r="BW12" s="68">
        <v>308</v>
      </c>
      <c r="BX12" s="68">
        <v>308</v>
      </c>
      <c r="BY12" s="68">
        <v>311</v>
      </c>
      <c r="BZ12" s="68">
        <v>330</v>
      </c>
      <c r="CA12" s="68">
        <v>330</v>
      </c>
      <c r="CB12" s="68">
        <v>341</v>
      </c>
      <c r="CC12" s="68">
        <v>341</v>
      </c>
      <c r="CD12" s="68">
        <v>356</v>
      </c>
      <c r="CE12" s="68">
        <v>356</v>
      </c>
      <c r="CF12" s="68">
        <v>356</v>
      </c>
      <c r="CG12" s="68">
        <v>341</v>
      </c>
      <c r="CH12" s="68">
        <v>330</v>
      </c>
      <c r="CI12" s="68">
        <v>345</v>
      </c>
      <c r="CJ12" s="68">
        <v>330</v>
      </c>
      <c r="CK12" s="68">
        <v>330</v>
      </c>
      <c r="CL12" s="68">
        <v>311</v>
      </c>
      <c r="CM12" s="68">
        <v>311</v>
      </c>
      <c r="CN12" s="68">
        <v>330</v>
      </c>
      <c r="CO12" s="68">
        <v>330</v>
      </c>
      <c r="CP12" s="68">
        <v>356</v>
      </c>
      <c r="CQ12" s="68">
        <v>315</v>
      </c>
      <c r="CR12" s="68">
        <v>315</v>
      </c>
      <c r="CS12" s="68">
        <v>291</v>
      </c>
      <c r="CT12" s="68">
        <v>291</v>
      </c>
      <c r="CU12" s="68">
        <v>291</v>
      </c>
    </row>
    <row r="13" spans="1:99" ht="15" customHeight="1">
      <c r="A13" s="2">
        <v>2100</v>
      </c>
      <c r="B13" s="64">
        <v>1.2</v>
      </c>
      <c r="C13" s="64">
        <v>3</v>
      </c>
      <c r="D13" s="64"/>
      <c r="E13" s="68">
        <v>364</v>
      </c>
      <c r="F13" s="68">
        <v>394</v>
      </c>
      <c r="G13" s="68">
        <v>394</v>
      </c>
      <c r="H13" s="68">
        <v>364</v>
      </c>
      <c r="I13" s="68">
        <v>335</v>
      </c>
      <c r="J13" s="68">
        <v>335</v>
      </c>
      <c r="K13" s="68">
        <v>335</v>
      </c>
      <c r="L13" s="68">
        <v>364</v>
      </c>
      <c r="M13" s="68">
        <v>364</v>
      </c>
      <c r="N13" s="68">
        <v>364</v>
      </c>
      <c r="O13" s="68">
        <v>364</v>
      </c>
      <c r="P13" s="68">
        <v>364</v>
      </c>
      <c r="Q13" s="68">
        <v>394</v>
      </c>
      <c r="R13" s="68">
        <v>364</v>
      </c>
      <c r="S13" s="68">
        <v>394</v>
      </c>
      <c r="T13" s="68">
        <v>364</v>
      </c>
      <c r="U13" s="68">
        <v>335</v>
      </c>
      <c r="V13" s="68">
        <f>ROUNDUP(V12+(V$14-V$11)/3,0)</f>
        <v>336</v>
      </c>
      <c r="W13" s="68">
        <f>ROUNDUP(W12+(W$14-W$11)/3,0)</f>
        <v>310</v>
      </c>
      <c r="X13" s="68">
        <f>ROUNDUP(X12+(X$14-X$11)/3,0)</f>
        <v>336</v>
      </c>
      <c r="Y13" s="68">
        <v>305</v>
      </c>
      <c r="Z13" s="68">
        <v>335</v>
      </c>
      <c r="AA13" s="68">
        <v>335</v>
      </c>
      <c r="AB13" s="68">
        <f>ROUNDUP(AB12+(AB$14-AB$11)/3,0)</f>
        <v>289</v>
      </c>
      <c r="AC13" s="68">
        <f>ROUNDUP(AC12+(AC$14-AC$11)/3,0)</f>
        <v>289</v>
      </c>
      <c r="AD13" s="68">
        <f>ROUNDUP(AD12+(AD$14-AD$11)/3,0)</f>
        <v>294</v>
      </c>
      <c r="AE13" s="68">
        <f>ROUNDUP(AE12+(AE$14-AE$11)/3,0)</f>
        <v>302</v>
      </c>
      <c r="AF13" s="68">
        <f>ROUNDUP(AF12+(AF$14-AF$11)/3,0)</f>
        <v>302</v>
      </c>
      <c r="AG13" s="68">
        <f t="shared" ref="AG13:AL13" si="0">ROUNDUP(AG12+(AG$14-AG$11)/3,0)</f>
        <v>274</v>
      </c>
      <c r="AH13" s="68">
        <f t="shared" si="0"/>
        <v>264</v>
      </c>
      <c r="AI13" s="68">
        <f t="shared" si="0"/>
        <v>264</v>
      </c>
      <c r="AJ13" s="68">
        <f t="shared" si="0"/>
        <v>302</v>
      </c>
      <c r="AK13" s="68">
        <f t="shared" si="0"/>
        <v>297</v>
      </c>
      <c r="AL13" s="68">
        <f t="shared" si="0"/>
        <v>302</v>
      </c>
      <c r="AM13" s="68">
        <f t="shared" ref="AM13" si="1">ROUNDUP(AM12+(AM$14-AM$11)/3,0)</f>
        <v>302</v>
      </c>
      <c r="AN13" s="68">
        <f t="shared" ref="AN13" si="2">ROUNDUP(AN12+(AN$14-AN$11)/3,0)</f>
        <v>310</v>
      </c>
      <c r="AO13" s="68">
        <v>335</v>
      </c>
      <c r="AP13" s="68">
        <f t="shared" ref="AP13" si="3">ROUNDUP(AP12+(AP$14-AP$11)/3,0)</f>
        <v>233</v>
      </c>
      <c r="AQ13" s="68">
        <f t="shared" ref="AQ13" si="4">ROUNDUP(AQ12+(AQ$14-AQ$11)/3,0)</f>
        <v>227</v>
      </c>
      <c r="AR13" s="68">
        <f t="shared" ref="AR13" si="5">ROUNDUP(AR12+(AR$14-AR$11)/3,0)</f>
        <v>233</v>
      </c>
      <c r="AS13" s="68">
        <f t="shared" ref="AS13" si="6">ROUNDUP(AS12+(AS$14-AS$11)/3,0)</f>
        <v>233</v>
      </c>
      <c r="AT13" s="68">
        <f t="shared" ref="AT13" si="7">ROUNDUP(AT12+(AT$14-AT$11)/3,0)</f>
        <v>227</v>
      </c>
      <c r="AU13" s="68">
        <f t="shared" ref="AU13" si="8">ROUNDUP(AU12+(AU$14-AU$11)/3,0)</f>
        <v>227</v>
      </c>
      <c r="AV13" s="68">
        <f t="shared" ref="AV13" si="9">ROUNDUP(AV12+(AV$14-AV$11)/3,0)</f>
        <v>227</v>
      </c>
      <c r="AW13" s="68">
        <f t="shared" ref="AW13:AY13" si="10">ROUNDUP(AW12+(AW$14-AW$11)/3,0)</f>
        <v>231</v>
      </c>
      <c r="AX13" s="68">
        <v>241</v>
      </c>
      <c r="AY13" s="68">
        <f t="shared" si="10"/>
        <v>233</v>
      </c>
      <c r="AZ13" s="68">
        <f t="shared" ref="AZ13" si="11">ROUNDUP(AZ12+(AZ$14-AZ$11)/3,0)</f>
        <v>233</v>
      </c>
      <c r="BA13" s="68">
        <f t="shared" ref="BA13" si="12">ROUNDUP(BA12+(BA$14-BA$11)/3,0)</f>
        <v>233</v>
      </c>
      <c r="BB13" s="68">
        <f t="shared" ref="BB13" si="13">ROUNDUP(BB12+(BB$14-BB$11)/3,0)</f>
        <v>261</v>
      </c>
      <c r="BC13" s="68">
        <f t="shared" ref="BC13" si="14">ROUNDUP(BC12+(BC$14-BC$11)/3,0)</f>
        <v>269</v>
      </c>
      <c r="BD13" s="68">
        <f t="shared" ref="BD13" si="15">ROUNDUP(BD12+(BD$14-BD$11)/3,0)</f>
        <v>297</v>
      </c>
      <c r="BE13" s="68">
        <f t="shared" ref="BE13" si="16">ROUNDUP(BE12+(BE$14-BE$11)/3,0)</f>
        <v>269</v>
      </c>
      <c r="BF13" s="68">
        <f t="shared" ref="BF13" si="17">ROUNDUP(BF12+(BF$14-BF$11)/3,0)</f>
        <v>269</v>
      </c>
      <c r="BG13" s="68">
        <f t="shared" ref="BG13" si="18">ROUNDUP(BG12+(BG$14-BG$11)/3,0)</f>
        <v>236</v>
      </c>
      <c r="BH13" s="68">
        <f t="shared" ref="BH13" si="19">ROUNDUP(BH12+(BH$14-BH$11)/3,0)</f>
        <v>236</v>
      </c>
      <c r="BI13" s="68">
        <f t="shared" ref="BI13" si="20">ROUNDUP(BI12+(BI$14-BI$11)/3,0)</f>
        <v>302</v>
      </c>
      <c r="BJ13" s="68">
        <f t="shared" ref="BJ13" si="21">ROUNDUP(BJ12+(BJ$14-BJ$11)/3,0)</f>
        <v>302</v>
      </c>
      <c r="BK13" s="68">
        <f t="shared" ref="BK13" si="22">ROUNDUP(BK12+(BK$14-BK$11)/3,0)</f>
        <v>302</v>
      </c>
      <c r="BL13" s="68">
        <f t="shared" ref="BL13" si="23">ROUNDUP(BL12+(BL$14-BL$11)/3,0)</f>
        <v>302</v>
      </c>
      <c r="BM13" s="68">
        <f t="shared" ref="BM13" si="24">ROUNDUP(BM12+(BM$14-BM$11)/3,0)</f>
        <v>302</v>
      </c>
      <c r="BN13" s="68">
        <f t="shared" ref="BN13" si="25">ROUNDUP(BN12+(BN$14-BN$11)/3,0)</f>
        <v>312</v>
      </c>
      <c r="BO13" s="68">
        <f t="shared" ref="BO13" si="26">ROUNDUP(BO12+(BO$14-BO$11)/3,0)</f>
        <v>312</v>
      </c>
      <c r="BP13" s="68">
        <f t="shared" ref="BP13" si="27">ROUNDUP(BP12+(BP$14-BP$11)/3,0)</f>
        <v>312</v>
      </c>
      <c r="BQ13" s="68">
        <f t="shared" ref="BQ13" si="28">ROUNDUP(BQ12+(BQ$14-BQ$11)/3,0)</f>
        <v>312</v>
      </c>
      <c r="BR13" s="68">
        <v>335</v>
      </c>
      <c r="BS13" s="68">
        <v>335</v>
      </c>
      <c r="BT13" s="68">
        <v>335</v>
      </c>
      <c r="BU13" s="68">
        <v>335</v>
      </c>
      <c r="BV13" s="68">
        <f t="shared" ref="BV13:BX13" si="29">ROUNDUP(BV12+(BV$14-BV$11)/3,0)</f>
        <v>329</v>
      </c>
      <c r="BW13" s="68">
        <f t="shared" si="29"/>
        <v>329</v>
      </c>
      <c r="BX13" s="68">
        <f t="shared" si="29"/>
        <v>329</v>
      </c>
      <c r="BY13" s="68">
        <v>335</v>
      </c>
      <c r="BZ13" s="68">
        <v>364</v>
      </c>
      <c r="CA13" s="68">
        <v>364</v>
      </c>
      <c r="CB13" s="68">
        <v>364</v>
      </c>
      <c r="CC13" s="68">
        <v>364</v>
      </c>
      <c r="CD13" s="68">
        <v>394</v>
      </c>
      <c r="CE13" s="68">
        <v>394</v>
      </c>
      <c r="CF13" s="68">
        <v>394</v>
      </c>
      <c r="CG13" s="68">
        <v>364</v>
      </c>
      <c r="CH13" s="68">
        <v>364</v>
      </c>
      <c r="CI13" s="68">
        <v>394</v>
      </c>
      <c r="CJ13" s="68">
        <v>364</v>
      </c>
      <c r="CK13" s="68">
        <v>364</v>
      </c>
      <c r="CL13" s="68">
        <v>335</v>
      </c>
      <c r="CM13" s="68">
        <v>335</v>
      </c>
      <c r="CN13" s="68">
        <v>364</v>
      </c>
      <c r="CO13" s="68">
        <v>364</v>
      </c>
      <c r="CP13" s="68">
        <v>394</v>
      </c>
      <c r="CQ13" s="68">
        <v>335</v>
      </c>
      <c r="CR13" s="68">
        <v>335</v>
      </c>
      <c r="CS13" s="68">
        <v>305</v>
      </c>
      <c r="CT13" s="68">
        <v>305</v>
      </c>
      <c r="CU13" s="68">
        <v>305</v>
      </c>
    </row>
    <row r="14" spans="1:99" ht="15" customHeight="1">
      <c r="A14" s="2">
        <v>2625</v>
      </c>
      <c r="B14" s="64">
        <v>1.5</v>
      </c>
      <c r="C14" s="64"/>
      <c r="D14" s="64">
        <v>3</v>
      </c>
      <c r="E14" s="68">
        <v>409</v>
      </c>
      <c r="F14" s="68">
        <v>409</v>
      </c>
      <c r="G14" s="68">
        <v>409</v>
      </c>
      <c r="H14" s="68">
        <v>387</v>
      </c>
      <c r="I14" s="68">
        <v>378</v>
      </c>
      <c r="J14" s="68">
        <v>387</v>
      </c>
      <c r="K14" s="68">
        <v>390</v>
      </c>
      <c r="L14" s="68">
        <v>390</v>
      </c>
      <c r="M14" s="68">
        <v>389</v>
      </c>
      <c r="N14" s="68">
        <v>389</v>
      </c>
      <c r="O14" s="68">
        <v>389</v>
      </c>
      <c r="P14" s="68">
        <v>387</v>
      </c>
      <c r="Q14" s="68">
        <v>409</v>
      </c>
      <c r="R14" s="68">
        <v>389</v>
      </c>
      <c r="S14" s="68">
        <v>399</v>
      </c>
      <c r="T14" s="68">
        <v>399</v>
      </c>
      <c r="U14" s="68">
        <v>378</v>
      </c>
      <c r="V14" s="68">
        <v>364</v>
      </c>
      <c r="W14" s="68">
        <v>326</v>
      </c>
      <c r="X14" s="68">
        <v>364</v>
      </c>
      <c r="Y14" s="68">
        <v>378</v>
      </c>
      <c r="Z14" s="68">
        <v>378</v>
      </c>
      <c r="AA14" s="68">
        <v>378</v>
      </c>
      <c r="AB14" s="68">
        <v>316</v>
      </c>
      <c r="AC14" s="68">
        <v>316</v>
      </c>
      <c r="AD14" s="68">
        <v>316</v>
      </c>
      <c r="AE14" s="68">
        <v>326</v>
      </c>
      <c r="AF14" s="68">
        <v>326</v>
      </c>
      <c r="AG14" s="68">
        <v>284</v>
      </c>
      <c r="AH14" s="68">
        <v>284</v>
      </c>
      <c r="AI14" s="68">
        <v>284</v>
      </c>
      <c r="AJ14" s="68">
        <v>326</v>
      </c>
      <c r="AK14" s="68">
        <v>326</v>
      </c>
      <c r="AL14" s="68">
        <v>326</v>
      </c>
      <c r="AM14" s="68">
        <v>326</v>
      </c>
      <c r="AN14" s="68">
        <v>326</v>
      </c>
      <c r="AO14" s="68">
        <v>349</v>
      </c>
      <c r="AP14" s="68">
        <v>242</v>
      </c>
      <c r="AQ14" s="68">
        <v>232</v>
      </c>
      <c r="AR14" s="68">
        <v>242</v>
      </c>
      <c r="AS14" s="68">
        <v>242</v>
      </c>
      <c r="AT14" s="68">
        <v>232</v>
      </c>
      <c r="AU14" s="68">
        <v>232</v>
      </c>
      <c r="AV14" s="68">
        <v>232</v>
      </c>
      <c r="AW14" s="68">
        <v>238</v>
      </c>
      <c r="AX14" s="68">
        <v>242</v>
      </c>
      <c r="AY14" s="68">
        <v>242</v>
      </c>
      <c r="AZ14" s="68">
        <v>242</v>
      </c>
      <c r="BA14" s="68">
        <v>242</v>
      </c>
      <c r="BB14" s="68">
        <v>284</v>
      </c>
      <c r="BC14" s="68">
        <v>286</v>
      </c>
      <c r="BD14" s="68">
        <v>326</v>
      </c>
      <c r="BE14" s="68">
        <v>284</v>
      </c>
      <c r="BF14" s="68">
        <v>284</v>
      </c>
      <c r="BG14" s="68">
        <v>242</v>
      </c>
      <c r="BH14" s="68">
        <v>242</v>
      </c>
      <c r="BI14" s="68">
        <v>326</v>
      </c>
      <c r="BJ14" s="68">
        <v>326</v>
      </c>
      <c r="BK14" s="68">
        <v>326</v>
      </c>
      <c r="BL14" s="68">
        <v>326</v>
      </c>
      <c r="BM14" s="68">
        <v>326</v>
      </c>
      <c r="BN14" s="68">
        <v>330</v>
      </c>
      <c r="BO14" s="68">
        <v>330</v>
      </c>
      <c r="BP14" s="68">
        <v>330</v>
      </c>
      <c r="BQ14" s="68">
        <v>330</v>
      </c>
      <c r="BR14" s="68">
        <v>349</v>
      </c>
      <c r="BS14" s="68">
        <v>349</v>
      </c>
      <c r="BT14" s="68">
        <v>378</v>
      </c>
      <c r="BU14" s="68">
        <v>378</v>
      </c>
      <c r="BV14" s="68">
        <v>349</v>
      </c>
      <c r="BW14" s="68">
        <v>349</v>
      </c>
      <c r="BX14" s="68">
        <v>349</v>
      </c>
      <c r="BY14" s="68">
        <v>358</v>
      </c>
      <c r="BZ14" s="68">
        <v>390</v>
      </c>
      <c r="CA14" s="68">
        <v>390</v>
      </c>
      <c r="CB14" s="68">
        <v>412</v>
      </c>
      <c r="CC14" s="68">
        <v>412</v>
      </c>
      <c r="CD14" s="68">
        <v>412</v>
      </c>
      <c r="CE14" s="68">
        <v>412</v>
      </c>
      <c r="CF14" s="68">
        <v>412</v>
      </c>
      <c r="CG14" s="68">
        <v>409</v>
      </c>
      <c r="CH14" s="68">
        <v>409</v>
      </c>
      <c r="CI14" s="68">
        <v>409</v>
      </c>
      <c r="CJ14" s="68">
        <v>402</v>
      </c>
      <c r="CK14" s="68">
        <v>387</v>
      </c>
      <c r="CL14" s="68">
        <v>387</v>
      </c>
      <c r="CM14" s="68">
        <v>387</v>
      </c>
      <c r="CN14" s="68">
        <v>399</v>
      </c>
      <c r="CO14" s="68">
        <v>399</v>
      </c>
      <c r="CP14" s="68">
        <v>412</v>
      </c>
      <c r="CQ14" s="68">
        <v>390</v>
      </c>
      <c r="CR14" s="68">
        <v>387</v>
      </c>
      <c r="CS14" s="68">
        <v>356</v>
      </c>
      <c r="CT14" s="68">
        <v>356</v>
      </c>
      <c r="CU14" s="68">
        <v>356</v>
      </c>
    </row>
    <row r="15" spans="1:99" ht="15" customHeight="1">
      <c r="A15" s="2">
        <v>2800</v>
      </c>
      <c r="B15" s="64">
        <v>1.6</v>
      </c>
      <c r="C15" s="64">
        <v>4</v>
      </c>
      <c r="D15" s="64"/>
      <c r="E15" s="68">
        <v>428</v>
      </c>
      <c r="F15" s="68">
        <v>428</v>
      </c>
      <c r="G15" s="68">
        <v>428</v>
      </c>
      <c r="H15" s="68">
        <v>405</v>
      </c>
      <c r="I15" s="68">
        <v>402</v>
      </c>
      <c r="J15" s="68">
        <v>405</v>
      </c>
      <c r="K15" s="68">
        <v>413</v>
      </c>
      <c r="L15" s="68">
        <v>413</v>
      </c>
      <c r="M15" s="68">
        <v>406</v>
      </c>
      <c r="N15" s="68">
        <v>406</v>
      </c>
      <c r="O15" s="68">
        <v>406</v>
      </c>
      <c r="P15" s="68">
        <v>405</v>
      </c>
      <c r="Q15" s="68">
        <v>428</v>
      </c>
      <c r="R15" s="68">
        <v>406</v>
      </c>
      <c r="S15" s="68">
        <v>417</v>
      </c>
      <c r="T15" s="68">
        <v>417</v>
      </c>
      <c r="U15" s="68">
        <v>402</v>
      </c>
      <c r="V15" s="68">
        <v>395</v>
      </c>
      <c r="W15" s="68">
        <v>338</v>
      </c>
      <c r="X15" s="68">
        <v>395</v>
      </c>
      <c r="Y15" s="68">
        <v>402</v>
      </c>
      <c r="Z15" s="68">
        <v>402</v>
      </c>
      <c r="AA15" s="68">
        <v>402</v>
      </c>
      <c r="AB15" s="68">
        <v>333</v>
      </c>
      <c r="AC15" s="68">
        <v>333</v>
      </c>
      <c r="AD15" s="68">
        <v>333</v>
      </c>
      <c r="AE15" s="68">
        <v>338</v>
      </c>
      <c r="AF15" s="68">
        <v>338</v>
      </c>
      <c r="AG15" s="68">
        <v>286</v>
      </c>
      <c r="AH15" s="68">
        <v>286</v>
      </c>
      <c r="AI15" s="68">
        <v>286</v>
      </c>
      <c r="AJ15" s="68">
        <v>338</v>
      </c>
      <c r="AK15" s="68">
        <v>338</v>
      </c>
      <c r="AL15" s="68">
        <v>338</v>
      </c>
      <c r="AM15" s="68">
        <v>338</v>
      </c>
      <c r="AN15" s="68">
        <v>338</v>
      </c>
      <c r="AO15" s="68">
        <v>367</v>
      </c>
      <c r="AP15" s="68">
        <v>249</v>
      </c>
      <c r="AQ15" s="68">
        <v>241</v>
      </c>
      <c r="AR15" s="68">
        <v>249</v>
      </c>
      <c r="AS15" s="68">
        <v>249</v>
      </c>
      <c r="AT15" s="68">
        <v>241</v>
      </c>
      <c r="AU15" s="68">
        <v>241</v>
      </c>
      <c r="AV15" s="68">
        <v>241</v>
      </c>
      <c r="AW15" s="68">
        <v>246</v>
      </c>
      <c r="AX15" s="68">
        <v>249</v>
      </c>
      <c r="AY15" s="68">
        <v>249</v>
      </c>
      <c r="AZ15" s="68">
        <v>249</v>
      </c>
      <c r="BA15" s="68">
        <v>249</v>
      </c>
      <c r="BB15" s="68">
        <v>286</v>
      </c>
      <c r="BC15" s="68">
        <v>288</v>
      </c>
      <c r="BD15" s="68">
        <v>338</v>
      </c>
      <c r="BE15" s="68">
        <v>286</v>
      </c>
      <c r="BF15" s="68">
        <v>286</v>
      </c>
      <c r="BG15" s="68">
        <v>249</v>
      </c>
      <c r="BH15" s="68">
        <v>249</v>
      </c>
      <c r="BI15" s="68">
        <v>338</v>
      </c>
      <c r="BJ15" s="68">
        <v>338</v>
      </c>
      <c r="BK15" s="68">
        <v>338</v>
      </c>
      <c r="BL15" s="68">
        <v>338</v>
      </c>
      <c r="BM15" s="68">
        <v>338</v>
      </c>
      <c r="BN15" s="68">
        <v>340</v>
      </c>
      <c r="BO15" s="68">
        <v>340</v>
      </c>
      <c r="BP15" s="68">
        <v>340</v>
      </c>
      <c r="BQ15" s="68">
        <v>340</v>
      </c>
      <c r="BR15" s="68">
        <v>367</v>
      </c>
      <c r="BS15" s="68">
        <v>367</v>
      </c>
      <c r="BT15" s="68">
        <v>402</v>
      </c>
      <c r="BU15" s="68">
        <v>402</v>
      </c>
      <c r="BV15" s="68">
        <v>367</v>
      </c>
      <c r="BW15" s="68">
        <v>367</v>
      </c>
      <c r="BX15" s="68">
        <v>367</v>
      </c>
      <c r="BY15" s="68">
        <v>369</v>
      </c>
      <c r="BZ15" s="68">
        <v>413</v>
      </c>
      <c r="CA15" s="68">
        <v>413</v>
      </c>
      <c r="CB15" s="68">
        <v>429</v>
      </c>
      <c r="CC15" s="68">
        <v>429</v>
      </c>
      <c r="CD15" s="68">
        <v>429</v>
      </c>
      <c r="CE15" s="68">
        <v>429</v>
      </c>
      <c r="CF15" s="68">
        <v>429</v>
      </c>
      <c r="CG15" s="68">
        <v>428</v>
      </c>
      <c r="CH15" s="68">
        <v>428</v>
      </c>
      <c r="CI15" s="68">
        <v>428</v>
      </c>
      <c r="CJ15" s="68">
        <v>425</v>
      </c>
      <c r="CK15" s="68">
        <v>405</v>
      </c>
      <c r="CL15" s="68">
        <v>405</v>
      </c>
      <c r="CM15" s="68">
        <v>405</v>
      </c>
      <c r="CN15" s="68">
        <v>417</v>
      </c>
      <c r="CO15" s="68">
        <v>417</v>
      </c>
      <c r="CP15" s="68">
        <v>429</v>
      </c>
      <c r="CQ15" s="68">
        <v>413</v>
      </c>
      <c r="CR15" s="68">
        <v>405</v>
      </c>
      <c r="CS15" s="68">
        <v>368</v>
      </c>
      <c r="CT15" s="68">
        <v>368</v>
      </c>
      <c r="CU15" s="68">
        <v>368</v>
      </c>
    </row>
    <row r="16" spans="1:99" ht="15" customHeight="1">
      <c r="A16" s="2">
        <v>3500</v>
      </c>
      <c r="B16" s="64">
        <v>2</v>
      </c>
      <c r="C16" s="64">
        <v>5</v>
      </c>
      <c r="D16" s="64">
        <v>4</v>
      </c>
      <c r="E16" s="41">
        <v>444</v>
      </c>
      <c r="F16" s="41">
        <v>444</v>
      </c>
      <c r="G16" s="41">
        <v>444</v>
      </c>
      <c r="H16" s="41">
        <v>420</v>
      </c>
      <c r="I16" s="41">
        <v>420</v>
      </c>
      <c r="J16" s="41">
        <v>420</v>
      </c>
      <c r="K16" s="41">
        <v>429</v>
      </c>
      <c r="L16" s="41">
        <v>429</v>
      </c>
      <c r="M16" s="41">
        <v>420</v>
      </c>
      <c r="N16" s="41">
        <v>420</v>
      </c>
      <c r="O16" s="41">
        <v>420</v>
      </c>
      <c r="P16" s="41">
        <v>420</v>
      </c>
      <c r="Q16" s="41">
        <v>444</v>
      </c>
      <c r="R16" s="41">
        <v>420</v>
      </c>
      <c r="S16" s="41">
        <v>429</v>
      </c>
      <c r="T16" s="41">
        <v>429</v>
      </c>
      <c r="U16" s="41">
        <v>420</v>
      </c>
      <c r="V16" s="41">
        <v>420</v>
      </c>
      <c r="W16" s="41">
        <v>346</v>
      </c>
      <c r="X16" s="41">
        <v>420</v>
      </c>
      <c r="Y16" s="41">
        <v>420</v>
      </c>
      <c r="Z16" s="41">
        <v>420</v>
      </c>
      <c r="AA16" s="41">
        <v>420</v>
      </c>
      <c r="AB16" s="41">
        <v>346</v>
      </c>
      <c r="AC16" s="41">
        <v>346</v>
      </c>
      <c r="AD16" s="41">
        <v>346</v>
      </c>
      <c r="AE16" s="41">
        <v>346</v>
      </c>
      <c r="AF16" s="41">
        <v>346</v>
      </c>
      <c r="AG16" s="41">
        <v>286</v>
      </c>
      <c r="AH16" s="41">
        <v>286</v>
      </c>
      <c r="AI16" s="41">
        <v>286</v>
      </c>
      <c r="AJ16" s="41">
        <v>346</v>
      </c>
      <c r="AK16" s="41">
        <v>346</v>
      </c>
      <c r="AL16" s="41">
        <v>346</v>
      </c>
      <c r="AM16" s="41">
        <v>346</v>
      </c>
      <c r="AN16" s="41">
        <v>346</v>
      </c>
      <c r="AO16" s="41">
        <v>378</v>
      </c>
      <c r="AP16" s="41">
        <v>254</v>
      </c>
      <c r="AQ16" s="41">
        <v>246</v>
      </c>
      <c r="AR16" s="41">
        <v>254</v>
      </c>
      <c r="AS16" s="41">
        <v>254</v>
      </c>
      <c r="AT16" s="41">
        <v>246</v>
      </c>
      <c r="AU16" s="41">
        <v>246</v>
      </c>
      <c r="AV16" s="41">
        <v>246</v>
      </c>
      <c r="AW16" s="41">
        <v>251</v>
      </c>
      <c r="AX16" s="41">
        <v>254</v>
      </c>
      <c r="AY16" s="41">
        <v>254</v>
      </c>
      <c r="AZ16" s="41">
        <v>254</v>
      </c>
      <c r="BA16" s="41">
        <v>254</v>
      </c>
      <c r="BB16" s="41">
        <v>287</v>
      </c>
      <c r="BC16" s="41">
        <v>288</v>
      </c>
      <c r="BD16" s="41">
        <v>346</v>
      </c>
      <c r="BE16" s="41">
        <v>287</v>
      </c>
      <c r="BF16" s="41">
        <v>287</v>
      </c>
      <c r="BG16" s="41">
        <v>254</v>
      </c>
      <c r="BH16" s="41">
        <v>254</v>
      </c>
      <c r="BI16" s="41">
        <v>346</v>
      </c>
      <c r="BJ16" s="41">
        <v>346</v>
      </c>
      <c r="BK16" s="41">
        <v>346</v>
      </c>
      <c r="BL16" s="41">
        <v>346</v>
      </c>
      <c r="BM16" s="41">
        <v>346</v>
      </c>
      <c r="BN16" s="41">
        <v>346</v>
      </c>
      <c r="BO16" s="41">
        <v>346</v>
      </c>
      <c r="BP16" s="41">
        <v>346</v>
      </c>
      <c r="BQ16" s="41">
        <v>346</v>
      </c>
      <c r="BR16" s="41">
        <v>378</v>
      </c>
      <c r="BS16" s="41">
        <v>378</v>
      </c>
      <c r="BT16" s="41">
        <v>420</v>
      </c>
      <c r="BU16" s="41">
        <v>420</v>
      </c>
      <c r="BV16" s="41">
        <v>378</v>
      </c>
      <c r="BW16" s="41">
        <v>378</v>
      </c>
      <c r="BX16" s="41">
        <v>378</v>
      </c>
      <c r="BY16" s="41">
        <v>378</v>
      </c>
      <c r="BZ16" s="41">
        <v>429</v>
      </c>
      <c r="CA16" s="41">
        <v>429</v>
      </c>
      <c r="CB16" s="41">
        <v>444</v>
      </c>
      <c r="CC16" s="41">
        <v>444</v>
      </c>
      <c r="CD16" s="41">
        <v>444</v>
      </c>
      <c r="CE16" s="41">
        <v>444</v>
      </c>
      <c r="CF16" s="41">
        <v>444</v>
      </c>
      <c r="CG16" s="41">
        <v>444</v>
      </c>
      <c r="CH16" s="41">
        <v>444</v>
      </c>
      <c r="CI16" s="41">
        <v>444</v>
      </c>
      <c r="CJ16" s="41">
        <v>444</v>
      </c>
      <c r="CK16" s="41">
        <v>420</v>
      </c>
      <c r="CL16" s="41">
        <v>420</v>
      </c>
      <c r="CM16" s="41">
        <v>420</v>
      </c>
      <c r="CN16" s="41">
        <v>429</v>
      </c>
      <c r="CO16" s="41">
        <v>429</v>
      </c>
      <c r="CP16" s="41">
        <v>444</v>
      </c>
      <c r="CQ16" s="41">
        <v>429</v>
      </c>
      <c r="CR16" s="41">
        <v>420</v>
      </c>
      <c r="CS16" s="41">
        <v>378</v>
      </c>
      <c r="CT16" s="41">
        <v>378</v>
      </c>
      <c r="CU16" s="41">
        <v>378</v>
      </c>
    </row>
    <row r="17" spans="1:99" ht="15" customHeight="1">
      <c r="A17" s="2">
        <v>4200</v>
      </c>
      <c r="B17" s="2">
        <v>2.4</v>
      </c>
      <c r="C17" s="2">
        <v>6</v>
      </c>
      <c r="D17" s="2"/>
      <c r="E17" s="41">
        <v>448</v>
      </c>
      <c r="F17" s="41">
        <v>448</v>
      </c>
      <c r="G17" s="41">
        <v>448</v>
      </c>
      <c r="H17" s="41">
        <v>433</v>
      </c>
      <c r="I17" s="41">
        <v>433</v>
      </c>
      <c r="J17" s="41">
        <v>433</v>
      </c>
      <c r="K17" s="41">
        <v>442</v>
      </c>
      <c r="L17" s="41">
        <v>442</v>
      </c>
      <c r="M17" s="41">
        <v>433</v>
      </c>
      <c r="N17" s="41">
        <v>433</v>
      </c>
      <c r="O17" s="41">
        <v>433</v>
      </c>
      <c r="P17" s="41">
        <v>433</v>
      </c>
      <c r="Q17" s="41">
        <v>448</v>
      </c>
      <c r="R17" s="41">
        <v>433</v>
      </c>
      <c r="S17" s="41">
        <v>442</v>
      </c>
      <c r="T17" s="41">
        <v>442</v>
      </c>
      <c r="U17" s="41">
        <v>433</v>
      </c>
      <c r="V17" s="41">
        <v>433</v>
      </c>
      <c r="W17" s="41">
        <v>365</v>
      </c>
      <c r="X17" s="41">
        <v>433</v>
      </c>
      <c r="Y17" s="41">
        <v>433</v>
      </c>
      <c r="Z17" s="41">
        <v>433</v>
      </c>
      <c r="AA17" s="41">
        <v>433</v>
      </c>
      <c r="AB17" s="41">
        <v>365</v>
      </c>
      <c r="AC17" s="41">
        <v>365</v>
      </c>
      <c r="AD17" s="41">
        <v>365</v>
      </c>
      <c r="AE17" s="41">
        <v>365</v>
      </c>
      <c r="AF17" s="41">
        <v>365</v>
      </c>
      <c r="AG17" s="41">
        <v>288</v>
      </c>
      <c r="AH17" s="41">
        <v>288</v>
      </c>
      <c r="AI17" s="41">
        <v>288</v>
      </c>
      <c r="AJ17" s="41">
        <v>365</v>
      </c>
      <c r="AK17" s="41">
        <v>365</v>
      </c>
      <c r="AL17" s="41">
        <v>365</v>
      </c>
      <c r="AM17" s="41">
        <v>365</v>
      </c>
      <c r="AN17" s="41">
        <v>365</v>
      </c>
      <c r="AO17" s="41">
        <v>386</v>
      </c>
      <c r="AP17" s="41">
        <v>264</v>
      </c>
      <c r="AQ17" s="41">
        <v>253</v>
      </c>
      <c r="AR17" s="41">
        <v>264</v>
      </c>
      <c r="AS17" s="41">
        <v>264</v>
      </c>
      <c r="AT17" s="41">
        <v>253</v>
      </c>
      <c r="AU17" s="41">
        <v>253</v>
      </c>
      <c r="AV17" s="41">
        <v>253</v>
      </c>
      <c r="AW17" s="41">
        <v>262</v>
      </c>
      <c r="AX17" s="41">
        <v>264</v>
      </c>
      <c r="AY17" s="41">
        <v>264</v>
      </c>
      <c r="AZ17" s="41">
        <v>264</v>
      </c>
      <c r="BA17" s="41">
        <v>264</v>
      </c>
      <c r="BB17" s="41">
        <v>290</v>
      </c>
      <c r="BC17" s="41">
        <v>291</v>
      </c>
      <c r="BD17" s="41">
        <v>365</v>
      </c>
      <c r="BE17" s="41">
        <v>290</v>
      </c>
      <c r="BF17" s="41">
        <v>290</v>
      </c>
      <c r="BG17" s="41">
        <v>264</v>
      </c>
      <c r="BH17" s="41">
        <v>264</v>
      </c>
      <c r="BI17" s="41">
        <v>365</v>
      </c>
      <c r="BJ17" s="41">
        <v>365</v>
      </c>
      <c r="BK17" s="41">
        <v>365</v>
      </c>
      <c r="BL17" s="41">
        <v>365</v>
      </c>
      <c r="BM17" s="41">
        <v>365</v>
      </c>
      <c r="BN17" s="41">
        <v>365</v>
      </c>
      <c r="BO17" s="41">
        <v>365</v>
      </c>
      <c r="BP17" s="41">
        <v>365</v>
      </c>
      <c r="BQ17" s="41">
        <v>365</v>
      </c>
      <c r="BR17" s="41">
        <v>386</v>
      </c>
      <c r="BS17" s="41">
        <v>386</v>
      </c>
      <c r="BT17" s="41">
        <v>433</v>
      </c>
      <c r="BU17" s="41">
        <v>433</v>
      </c>
      <c r="BV17" s="41">
        <v>386</v>
      </c>
      <c r="BW17" s="41">
        <v>386</v>
      </c>
      <c r="BX17" s="41">
        <v>386</v>
      </c>
      <c r="BY17" s="41">
        <v>386</v>
      </c>
      <c r="BZ17" s="41">
        <v>442</v>
      </c>
      <c r="CA17" s="41">
        <v>442</v>
      </c>
      <c r="CB17" s="41">
        <v>448</v>
      </c>
      <c r="CC17" s="41">
        <v>448</v>
      </c>
      <c r="CD17" s="41">
        <v>448</v>
      </c>
      <c r="CE17" s="41">
        <v>448</v>
      </c>
      <c r="CF17" s="41">
        <v>448</v>
      </c>
      <c r="CG17" s="41">
        <v>448</v>
      </c>
      <c r="CH17" s="41">
        <v>448</v>
      </c>
      <c r="CI17" s="41">
        <v>448</v>
      </c>
      <c r="CJ17" s="41">
        <v>448</v>
      </c>
      <c r="CK17" s="41">
        <v>433</v>
      </c>
      <c r="CL17" s="41">
        <v>433</v>
      </c>
      <c r="CM17" s="41">
        <v>433</v>
      </c>
      <c r="CN17" s="41">
        <v>442</v>
      </c>
      <c r="CO17" s="41">
        <v>442</v>
      </c>
      <c r="CP17" s="41">
        <v>448</v>
      </c>
      <c r="CQ17" s="41">
        <v>442</v>
      </c>
      <c r="CR17" s="41">
        <v>433</v>
      </c>
      <c r="CS17" s="41">
        <v>386</v>
      </c>
      <c r="CT17" s="41">
        <v>386</v>
      </c>
      <c r="CU17" s="41">
        <v>386</v>
      </c>
    </row>
    <row r="18" spans="1:99" ht="15" customHeight="1">
      <c r="A18" s="2">
        <v>4375</v>
      </c>
      <c r="B18" s="2">
        <v>2.5</v>
      </c>
      <c r="C18" s="2"/>
      <c r="D18" s="2">
        <v>5</v>
      </c>
      <c r="E18" s="41">
        <v>499</v>
      </c>
      <c r="F18" s="41">
        <v>499</v>
      </c>
      <c r="G18" s="41">
        <v>499</v>
      </c>
      <c r="H18" s="41">
        <v>437</v>
      </c>
      <c r="I18" s="41">
        <v>437</v>
      </c>
      <c r="J18" s="41">
        <v>437</v>
      </c>
      <c r="K18" s="41">
        <v>464</v>
      </c>
      <c r="L18" s="41">
        <v>464</v>
      </c>
      <c r="M18" s="41">
        <v>437</v>
      </c>
      <c r="N18" s="41">
        <v>437</v>
      </c>
      <c r="O18" s="41">
        <v>437</v>
      </c>
      <c r="P18" s="41">
        <v>437</v>
      </c>
      <c r="Q18" s="41">
        <v>499</v>
      </c>
      <c r="R18" s="41">
        <v>437</v>
      </c>
      <c r="S18" s="41">
        <v>464</v>
      </c>
      <c r="T18" s="41">
        <v>464</v>
      </c>
      <c r="U18" s="41">
        <v>437</v>
      </c>
      <c r="V18" s="41">
        <v>437</v>
      </c>
      <c r="W18" s="41">
        <v>368</v>
      </c>
      <c r="X18" s="41">
        <v>437</v>
      </c>
      <c r="Y18" s="41">
        <v>437</v>
      </c>
      <c r="Z18" s="41">
        <v>437</v>
      </c>
      <c r="AA18" s="41">
        <v>437</v>
      </c>
      <c r="AB18" s="41">
        <v>368</v>
      </c>
      <c r="AC18" s="41">
        <v>368</v>
      </c>
      <c r="AD18" s="41">
        <v>368</v>
      </c>
      <c r="AE18" s="41">
        <v>368</v>
      </c>
      <c r="AF18" s="41">
        <v>368</v>
      </c>
      <c r="AG18" s="41">
        <v>291</v>
      </c>
      <c r="AH18" s="41">
        <v>291</v>
      </c>
      <c r="AI18" s="41">
        <v>291</v>
      </c>
      <c r="AJ18" s="41">
        <v>368</v>
      </c>
      <c r="AK18" s="41">
        <v>368</v>
      </c>
      <c r="AL18" s="41">
        <v>368</v>
      </c>
      <c r="AM18" s="41">
        <v>368</v>
      </c>
      <c r="AN18" s="41">
        <v>368</v>
      </c>
      <c r="AO18" s="41">
        <v>390</v>
      </c>
      <c r="AP18" s="41">
        <v>266</v>
      </c>
      <c r="AQ18" s="41">
        <v>258</v>
      </c>
      <c r="AR18" s="41">
        <v>266</v>
      </c>
      <c r="AS18" s="41">
        <v>266</v>
      </c>
      <c r="AT18" s="41">
        <v>258</v>
      </c>
      <c r="AU18" s="41">
        <v>258</v>
      </c>
      <c r="AV18" s="41">
        <v>258</v>
      </c>
      <c r="AW18" s="41">
        <v>266</v>
      </c>
      <c r="AX18" s="41">
        <v>266</v>
      </c>
      <c r="AY18" s="41">
        <v>266</v>
      </c>
      <c r="AZ18" s="41">
        <v>266</v>
      </c>
      <c r="BA18" s="41">
        <v>266</v>
      </c>
      <c r="BB18" s="41">
        <v>291</v>
      </c>
      <c r="BC18" s="41">
        <v>291</v>
      </c>
      <c r="BD18" s="41">
        <v>368</v>
      </c>
      <c r="BE18" s="41">
        <v>291</v>
      </c>
      <c r="BF18" s="41">
        <v>291</v>
      </c>
      <c r="BG18" s="41">
        <v>266</v>
      </c>
      <c r="BH18" s="41">
        <v>266</v>
      </c>
      <c r="BI18" s="41">
        <v>368</v>
      </c>
      <c r="BJ18" s="41">
        <v>368</v>
      </c>
      <c r="BK18" s="41">
        <v>368</v>
      </c>
      <c r="BL18" s="41">
        <v>368</v>
      </c>
      <c r="BM18" s="41">
        <v>368</v>
      </c>
      <c r="BN18" s="41">
        <v>368</v>
      </c>
      <c r="BO18" s="41">
        <v>368</v>
      </c>
      <c r="BP18" s="41">
        <v>368</v>
      </c>
      <c r="BQ18" s="41">
        <v>368</v>
      </c>
      <c r="BR18" s="41">
        <v>390</v>
      </c>
      <c r="BS18" s="41">
        <v>390</v>
      </c>
      <c r="BT18" s="41">
        <v>437</v>
      </c>
      <c r="BU18" s="41">
        <v>437</v>
      </c>
      <c r="BV18" s="41">
        <v>390</v>
      </c>
      <c r="BW18" s="41">
        <v>390</v>
      </c>
      <c r="BX18" s="41">
        <v>390</v>
      </c>
      <c r="BY18" s="41">
        <v>390</v>
      </c>
      <c r="BZ18" s="41">
        <v>464</v>
      </c>
      <c r="CA18" s="41">
        <v>464</v>
      </c>
      <c r="CB18" s="41">
        <v>499</v>
      </c>
      <c r="CC18" s="41">
        <v>499</v>
      </c>
      <c r="CD18" s="41">
        <v>499</v>
      </c>
      <c r="CE18" s="41">
        <v>499</v>
      </c>
      <c r="CF18" s="41">
        <v>499</v>
      </c>
      <c r="CG18" s="41">
        <v>499</v>
      </c>
      <c r="CH18" s="41">
        <v>499</v>
      </c>
      <c r="CI18" s="41">
        <v>499</v>
      </c>
      <c r="CJ18" s="41">
        <v>499</v>
      </c>
      <c r="CK18" s="41">
        <v>437</v>
      </c>
      <c r="CL18" s="41">
        <v>437</v>
      </c>
      <c r="CM18" s="41">
        <v>437</v>
      </c>
      <c r="CN18" s="41">
        <v>464</v>
      </c>
      <c r="CO18" s="41">
        <v>464</v>
      </c>
      <c r="CP18" s="41">
        <v>499</v>
      </c>
      <c r="CQ18" s="41">
        <v>464</v>
      </c>
      <c r="CR18" s="41">
        <v>437</v>
      </c>
      <c r="CS18" s="41">
        <v>390</v>
      </c>
      <c r="CT18" s="41">
        <v>390</v>
      </c>
      <c r="CU18" s="41">
        <v>390</v>
      </c>
    </row>
    <row r="19" spans="1:99" ht="15" customHeight="1">
      <c r="A19" s="2">
        <v>4900</v>
      </c>
      <c r="B19" s="2">
        <v>2.8</v>
      </c>
      <c r="C19" s="2">
        <v>7</v>
      </c>
      <c r="D19" s="2"/>
      <c r="E19" s="41">
        <v>550</v>
      </c>
      <c r="F19" s="41">
        <v>550</v>
      </c>
      <c r="G19" s="41">
        <v>550</v>
      </c>
      <c r="H19" s="41">
        <v>446</v>
      </c>
      <c r="I19" s="41">
        <v>446</v>
      </c>
      <c r="J19" s="41">
        <v>446</v>
      </c>
      <c r="K19" s="41">
        <v>497</v>
      </c>
      <c r="L19" s="41">
        <v>497</v>
      </c>
      <c r="M19" s="41">
        <v>446</v>
      </c>
      <c r="N19" s="41">
        <v>446</v>
      </c>
      <c r="O19" s="41">
        <v>446</v>
      </c>
      <c r="P19" s="41">
        <v>446</v>
      </c>
      <c r="Q19" s="41">
        <v>550</v>
      </c>
      <c r="R19" s="41">
        <v>446</v>
      </c>
      <c r="S19" s="41">
        <v>497</v>
      </c>
      <c r="T19" s="41">
        <v>497</v>
      </c>
      <c r="U19" s="41">
        <v>446</v>
      </c>
      <c r="V19" s="41">
        <v>446</v>
      </c>
      <c r="W19" s="41">
        <v>376</v>
      </c>
      <c r="X19" s="41">
        <v>446</v>
      </c>
      <c r="Y19" s="41">
        <v>446</v>
      </c>
      <c r="Z19" s="41">
        <v>446</v>
      </c>
      <c r="AA19" s="41">
        <v>446</v>
      </c>
      <c r="AB19" s="41">
        <v>376</v>
      </c>
      <c r="AC19" s="41">
        <v>376</v>
      </c>
      <c r="AD19" s="41">
        <v>376</v>
      </c>
      <c r="AE19" s="41">
        <v>376</v>
      </c>
      <c r="AF19" s="41">
        <v>376</v>
      </c>
      <c r="AG19" s="41">
        <v>296</v>
      </c>
      <c r="AH19" s="41">
        <v>296</v>
      </c>
      <c r="AI19" s="41">
        <v>296</v>
      </c>
      <c r="AJ19" s="41">
        <v>376</v>
      </c>
      <c r="AK19" s="41">
        <v>376</v>
      </c>
      <c r="AL19" s="41">
        <v>376</v>
      </c>
      <c r="AM19" s="41">
        <v>376</v>
      </c>
      <c r="AN19" s="41">
        <v>376</v>
      </c>
      <c r="AO19" s="41">
        <v>400</v>
      </c>
      <c r="AP19" s="41">
        <v>285</v>
      </c>
      <c r="AQ19" s="41">
        <v>272</v>
      </c>
      <c r="AR19" s="41">
        <v>285</v>
      </c>
      <c r="AS19" s="41">
        <v>285</v>
      </c>
      <c r="AT19" s="41">
        <v>272</v>
      </c>
      <c r="AU19" s="41">
        <v>272</v>
      </c>
      <c r="AV19" s="41">
        <v>272</v>
      </c>
      <c r="AW19" s="41">
        <v>285</v>
      </c>
      <c r="AX19" s="41">
        <v>285</v>
      </c>
      <c r="AY19" s="41">
        <v>285</v>
      </c>
      <c r="AZ19" s="41">
        <v>285</v>
      </c>
      <c r="BA19" s="41">
        <v>285</v>
      </c>
      <c r="BB19" s="41">
        <v>296</v>
      </c>
      <c r="BC19" s="41">
        <v>296</v>
      </c>
      <c r="BD19" s="41">
        <v>376</v>
      </c>
      <c r="BE19" s="41">
        <v>296</v>
      </c>
      <c r="BF19" s="41">
        <v>296</v>
      </c>
      <c r="BG19" s="41">
        <v>285</v>
      </c>
      <c r="BH19" s="41">
        <v>285</v>
      </c>
      <c r="BI19" s="41">
        <v>376</v>
      </c>
      <c r="BJ19" s="41">
        <v>376</v>
      </c>
      <c r="BK19" s="41">
        <v>376</v>
      </c>
      <c r="BL19" s="41">
        <v>376</v>
      </c>
      <c r="BM19" s="41">
        <v>376</v>
      </c>
      <c r="BN19" s="41">
        <v>376</v>
      </c>
      <c r="BO19" s="41">
        <v>376</v>
      </c>
      <c r="BP19" s="41">
        <v>376</v>
      </c>
      <c r="BQ19" s="41">
        <v>376</v>
      </c>
      <c r="BR19" s="41">
        <v>400</v>
      </c>
      <c r="BS19" s="41">
        <v>400</v>
      </c>
      <c r="BT19" s="41">
        <v>446</v>
      </c>
      <c r="BU19" s="41">
        <v>446</v>
      </c>
      <c r="BV19" s="41">
        <v>400</v>
      </c>
      <c r="BW19" s="41">
        <v>400</v>
      </c>
      <c r="BX19" s="41">
        <v>400</v>
      </c>
      <c r="BY19" s="41">
        <v>400</v>
      </c>
      <c r="BZ19" s="41">
        <v>497</v>
      </c>
      <c r="CA19" s="41">
        <v>497</v>
      </c>
      <c r="CB19" s="41">
        <v>550</v>
      </c>
      <c r="CC19" s="41">
        <v>550</v>
      </c>
      <c r="CD19" s="41">
        <v>550</v>
      </c>
      <c r="CE19" s="41">
        <v>550</v>
      </c>
      <c r="CF19" s="41">
        <v>550</v>
      </c>
      <c r="CG19" s="41">
        <v>550</v>
      </c>
      <c r="CH19" s="41">
        <v>550</v>
      </c>
      <c r="CI19" s="41">
        <v>550</v>
      </c>
      <c r="CJ19" s="41">
        <v>550</v>
      </c>
      <c r="CK19" s="41">
        <v>446</v>
      </c>
      <c r="CL19" s="41">
        <v>446</v>
      </c>
      <c r="CM19" s="41">
        <v>446</v>
      </c>
      <c r="CN19" s="41">
        <v>497</v>
      </c>
      <c r="CO19" s="41">
        <v>497</v>
      </c>
      <c r="CP19" s="41">
        <v>550</v>
      </c>
      <c r="CQ19" s="41">
        <v>497</v>
      </c>
      <c r="CR19" s="41">
        <v>446</v>
      </c>
      <c r="CS19" s="41">
        <v>400</v>
      </c>
      <c r="CT19" s="41">
        <v>400</v>
      </c>
      <c r="CU19" s="41">
        <v>400</v>
      </c>
    </row>
    <row r="20" spans="1:99" ht="15" customHeight="1">
      <c r="A20" s="2">
        <v>5250</v>
      </c>
      <c r="B20" s="2">
        <v>3</v>
      </c>
      <c r="C20" s="2"/>
      <c r="D20" s="2">
        <v>6</v>
      </c>
      <c r="E20" s="41">
        <v>615</v>
      </c>
      <c r="F20" s="41">
        <v>615</v>
      </c>
      <c r="G20" s="41">
        <v>615</v>
      </c>
      <c r="H20" s="41">
        <v>494</v>
      </c>
      <c r="I20" s="41">
        <v>494</v>
      </c>
      <c r="J20" s="41">
        <v>494</v>
      </c>
      <c r="K20" s="41">
        <v>549</v>
      </c>
      <c r="L20" s="41">
        <v>549</v>
      </c>
      <c r="M20" s="41">
        <v>494</v>
      </c>
      <c r="N20" s="41">
        <v>494</v>
      </c>
      <c r="O20" s="41">
        <v>494</v>
      </c>
      <c r="P20" s="41">
        <v>494</v>
      </c>
      <c r="Q20" s="41">
        <v>615</v>
      </c>
      <c r="R20" s="41">
        <v>494</v>
      </c>
      <c r="S20" s="41">
        <v>549</v>
      </c>
      <c r="T20" s="41">
        <v>549</v>
      </c>
      <c r="U20" s="41">
        <v>494</v>
      </c>
      <c r="V20" s="41">
        <v>494</v>
      </c>
      <c r="W20" s="41">
        <v>382</v>
      </c>
      <c r="X20" s="41">
        <v>494</v>
      </c>
      <c r="Y20" s="41">
        <v>494</v>
      </c>
      <c r="Z20" s="41">
        <v>494</v>
      </c>
      <c r="AA20" s="41">
        <v>494</v>
      </c>
      <c r="AB20" s="41">
        <v>382</v>
      </c>
      <c r="AC20" s="41">
        <v>382</v>
      </c>
      <c r="AD20" s="41">
        <v>382</v>
      </c>
      <c r="AE20" s="41">
        <v>382</v>
      </c>
      <c r="AF20" s="41">
        <v>382</v>
      </c>
      <c r="AG20" s="41">
        <v>303</v>
      </c>
      <c r="AH20" s="41">
        <v>303</v>
      </c>
      <c r="AI20" s="41">
        <v>303</v>
      </c>
      <c r="AJ20" s="41">
        <v>382</v>
      </c>
      <c r="AK20" s="41">
        <v>382</v>
      </c>
      <c r="AL20" s="41">
        <v>382</v>
      </c>
      <c r="AM20" s="41">
        <v>382</v>
      </c>
      <c r="AN20" s="41">
        <v>382</v>
      </c>
      <c r="AO20" s="41">
        <v>427</v>
      </c>
      <c r="AP20" s="41">
        <v>291</v>
      </c>
      <c r="AQ20" s="41">
        <v>274</v>
      </c>
      <c r="AR20" s="41">
        <v>291</v>
      </c>
      <c r="AS20" s="41">
        <v>291</v>
      </c>
      <c r="AT20" s="41">
        <v>274</v>
      </c>
      <c r="AU20" s="41">
        <v>274</v>
      </c>
      <c r="AV20" s="41">
        <v>274</v>
      </c>
      <c r="AW20" s="41">
        <v>291</v>
      </c>
      <c r="AX20" s="41">
        <v>291</v>
      </c>
      <c r="AY20" s="41">
        <v>291</v>
      </c>
      <c r="AZ20" s="41">
        <v>291</v>
      </c>
      <c r="BA20" s="41">
        <v>291</v>
      </c>
      <c r="BB20" s="41">
        <v>303</v>
      </c>
      <c r="BC20" s="41">
        <v>303</v>
      </c>
      <c r="BD20" s="41">
        <v>382</v>
      </c>
      <c r="BE20" s="41">
        <v>303</v>
      </c>
      <c r="BF20" s="41">
        <v>303</v>
      </c>
      <c r="BG20" s="41">
        <v>291</v>
      </c>
      <c r="BH20" s="41">
        <v>291</v>
      </c>
      <c r="BI20" s="41">
        <v>382</v>
      </c>
      <c r="BJ20" s="41">
        <v>382</v>
      </c>
      <c r="BK20" s="41">
        <v>382</v>
      </c>
      <c r="BL20" s="41">
        <v>382</v>
      </c>
      <c r="BM20" s="41">
        <v>382</v>
      </c>
      <c r="BN20" s="41">
        <v>382</v>
      </c>
      <c r="BO20" s="41">
        <v>382</v>
      </c>
      <c r="BP20" s="41">
        <v>382</v>
      </c>
      <c r="BQ20" s="41">
        <v>382</v>
      </c>
      <c r="BR20" s="41">
        <v>427</v>
      </c>
      <c r="BS20" s="41">
        <v>427</v>
      </c>
      <c r="BT20" s="41">
        <v>494</v>
      </c>
      <c r="BU20" s="41">
        <v>494</v>
      </c>
      <c r="BV20" s="41">
        <v>427</v>
      </c>
      <c r="BW20" s="41">
        <v>427</v>
      </c>
      <c r="BX20" s="41">
        <v>427</v>
      </c>
      <c r="BY20" s="41">
        <v>427</v>
      </c>
      <c r="BZ20" s="41">
        <v>549</v>
      </c>
      <c r="CA20" s="41">
        <v>549</v>
      </c>
      <c r="CB20" s="41">
        <v>615</v>
      </c>
      <c r="CC20" s="41">
        <v>615</v>
      </c>
      <c r="CD20" s="41">
        <v>615</v>
      </c>
      <c r="CE20" s="41">
        <v>615</v>
      </c>
      <c r="CF20" s="41">
        <v>615</v>
      </c>
      <c r="CG20" s="41">
        <v>615</v>
      </c>
      <c r="CH20" s="41">
        <v>615</v>
      </c>
      <c r="CI20" s="41">
        <v>615</v>
      </c>
      <c r="CJ20" s="41">
        <v>615</v>
      </c>
      <c r="CK20" s="41">
        <v>494</v>
      </c>
      <c r="CL20" s="41">
        <v>494</v>
      </c>
      <c r="CM20" s="41">
        <v>494</v>
      </c>
      <c r="CN20" s="41">
        <v>549</v>
      </c>
      <c r="CO20" s="41">
        <v>549</v>
      </c>
      <c r="CP20" s="41">
        <v>615</v>
      </c>
      <c r="CQ20" s="41">
        <v>549</v>
      </c>
      <c r="CR20" s="41">
        <v>494</v>
      </c>
      <c r="CS20" s="41">
        <v>427</v>
      </c>
      <c r="CT20" s="41">
        <v>427</v>
      </c>
      <c r="CU20" s="41">
        <v>427</v>
      </c>
    </row>
    <row r="21" spans="1:99" ht="15" customHeight="1">
      <c r="A21" s="2">
        <v>5600</v>
      </c>
      <c r="B21" s="2">
        <v>3.2</v>
      </c>
      <c r="C21" s="2">
        <v>8</v>
      </c>
      <c r="D21" s="2"/>
      <c r="E21" s="41">
        <v>676</v>
      </c>
      <c r="F21" s="41">
        <v>676</v>
      </c>
      <c r="G21" s="41">
        <v>676</v>
      </c>
      <c r="H21" s="41">
        <v>542</v>
      </c>
      <c r="I21" s="41">
        <v>542</v>
      </c>
      <c r="J21" s="41">
        <v>542</v>
      </c>
      <c r="K21" s="41">
        <v>605</v>
      </c>
      <c r="L21" s="41">
        <v>605</v>
      </c>
      <c r="M21" s="41">
        <v>542</v>
      </c>
      <c r="N21" s="41">
        <v>542</v>
      </c>
      <c r="O21" s="41">
        <v>542</v>
      </c>
      <c r="P21" s="41">
        <v>542</v>
      </c>
      <c r="Q21" s="41">
        <v>676</v>
      </c>
      <c r="R21" s="41">
        <v>542</v>
      </c>
      <c r="S21" s="41">
        <v>605</v>
      </c>
      <c r="T21" s="41">
        <v>605</v>
      </c>
      <c r="U21" s="41">
        <v>542</v>
      </c>
      <c r="V21" s="41">
        <v>542</v>
      </c>
      <c r="W21" s="41">
        <v>392</v>
      </c>
      <c r="X21" s="41">
        <v>542</v>
      </c>
      <c r="Y21" s="41">
        <v>542</v>
      </c>
      <c r="Z21" s="41">
        <v>542</v>
      </c>
      <c r="AA21" s="41">
        <v>542</v>
      </c>
      <c r="AB21" s="41">
        <v>392</v>
      </c>
      <c r="AC21" s="41">
        <v>392</v>
      </c>
      <c r="AD21" s="41">
        <v>392</v>
      </c>
      <c r="AE21" s="41">
        <v>392</v>
      </c>
      <c r="AF21" s="41">
        <v>392</v>
      </c>
      <c r="AG21" s="41">
        <v>309</v>
      </c>
      <c r="AH21" s="41">
        <v>309</v>
      </c>
      <c r="AI21" s="41">
        <v>309</v>
      </c>
      <c r="AJ21" s="41">
        <v>392</v>
      </c>
      <c r="AK21" s="41">
        <v>392</v>
      </c>
      <c r="AL21" s="41">
        <v>392</v>
      </c>
      <c r="AM21" s="41">
        <v>392</v>
      </c>
      <c r="AN21" s="41">
        <v>392</v>
      </c>
      <c r="AO21" s="41">
        <v>460</v>
      </c>
      <c r="AP21" s="41">
        <v>298</v>
      </c>
      <c r="AQ21" s="41">
        <v>280</v>
      </c>
      <c r="AR21" s="41">
        <v>298</v>
      </c>
      <c r="AS21" s="41">
        <v>298</v>
      </c>
      <c r="AT21" s="41">
        <v>280</v>
      </c>
      <c r="AU21" s="41">
        <v>280</v>
      </c>
      <c r="AV21" s="41">
        <v>280</v>
      </c>
      <c r="AW21" s="41">
        <v>298</v>
      </c>
      <c r="AX21" s="41">
        <v>298</v>
      </c>
      <c r="AY21" s="41">
        <v>298</v>
      </c>
      <c r="AZ21" s="41">
        <v>298</v>
      </c>
      <c r="BA21" s="41">
        <v>298</v>
      </c>
      <c r="BB21" s="41">
        <v>309</v>
      </c>
      <c r="BC21" s="41">
        <v>309</v>
      </c>
      <c r="BD21" s="41">
        <v>392</v>
      </c>
      <c r="BE21" s="41">
        <v>309</v>
      </c>
      <c r="BF21" s="41">
        <v>309</v>
      </c>
      <c r="BG21" s="41">
        <v>298</v>
      </c>
      <c r="BH21" s="41">
        <v>298</v>
      </c>
      <c r="BI21" s="41">
        <v>392</v>
      </c>
      <c r="BJ21" s="41">
        <v>392</v>
      </c>
      <c r="BK21" s="41">
        <v>392</v>
      </c>
      <c r="BL21" s="41">
        <v>392</v>
      </c>
      <c r="BM21" s="41">
        <v>392</v>
      </c>
      <c r="BN21" s="41">
        <v>392</v>
      </c>
      <c r="BO21" s="41">
        <v>392</v>
      </c>
      <c r="BP21" s="41">
        <v>392</v>
      </c>
      <c r="BQ21" s="41">
        <v>392</v>
      </c>
      <c r="BR21" s="41">
        <v>460</v>
      </c>
      <c r="BS21" s="41">
        <v>460</v>
      </c>
      <c r="BT21" s="41">
        <v>542</v>
      </c>
      <c r="BU21" s="41">
        <v>542</v>
      </c>
      <c r="BV21" s="41">
        <v>460</v>
      </c>
      <c r="BW21" s="41">
        <v>460</v>
      </c>
      <c r="BX21" s="41">
        <v>460</v>
      </c>
      <c r="BY21" s="41">
        <v>460</v>
      </c>
      <c r="BZ21" s="41">
        <v>605</v>
      </c>
      <c r="CA21" s="41">
        <v>605</v>
      </c>
      <c r="CB21" s="41">
        <v>676</v>
      </c>
      <c r="CC21" s="41">
        <v>676</v>
      </c>
      <c r="CD21" s="41">
        <v>676</v>
      </c>
      <c r="CE21" s="41">
        <v>676</v>
      </c>
      <c r="CF21" s="41">
        <v>676</v>
      </c>
      <c r="CG21" s="41">
        <v>676</v>
      </c>
      <c r="CH21" s="41">
        <v>676</v>
      </c>
      <c r="CI21" s="41">
        <v>676</v>
      </c>
      <c r="CJ21" s="41">
        <v>676</v>
      </c>
      <c r="CK21" s="41">
        <v>542</v>
      </c>
      <c r="CL21" s="41">
        <v>542</v>
      </c>
      <c r="CM21" s="41">
        <v>542</v>
      </c>
      <c r="CN21" s="41">
        <v>605</v>
      </c>
      <c r="CO21" s="41">
        <v>605</v>
      </c>
      <c r="CP21" s="41">
        <v>676</v>
      </c>
      <c r="CQ21" s="41">
        <v>605</v>
      </c>
      <c r="CR21" s="41">
        <v>542</v>
      </c>
      <c r="CS21" s="41">
        <v>460</v>
      </c>
      <c r="CT21" s="41">
        <v>460</v>
      </c>
      <c r="CU21" s="41">
        <v>460</v>
      </c>
    </row>
    <row r="22" spans="1:99" ht="15" customHeight="1">
      <c r="A22" s="2">
        <v>6125</v>
      </c>
      <c r="B22" s="2">
        <v>3.5</v>
      </c>
      <c r="C22" s="2"/>
      <c r="D22" s="2">
        <v>7</v>
      </c>
      <c r="E22" s="41">
        <v>735</v>
      </c>
      <c r="F22" s="41">
        <v>735</v>
      </c>
      <c r="G22" s="41">
        <v>735</v>
      </c>
      <c r="H22" s="41">
        <v>589</v>
      </c>
      <c r="I22" s="41">
        <v>589</v>
      </c>
      <c r="J22" s="41">
        <v>589</v>
      </c>
      <c r="K22" s="41">
        <v>662</v>
      </c>
      <c r="L22" s="41">
        <v>662</v>
      </c>
      <c r="M22" s="41">
        <v>589</v>
      </c>
      <c r="N22" s="41">
        <v>589</v>
      </c>
      <c r="O22" s="41">
        <v>589</v>
      </c>
      <c r="P22" s="41">
        <v>589</v>
      </c>
      <c r="Q22" s="41">
        <v>735</v>
      </c>
      <c r="R22" s="41">
        <v>589</v>
      </c>
      <c r="S22" s="41">
        <v>662</v>
      </c>
      <c r="T22" s="41">
        <v>662</v>
      </c>
      <c r="U22" s="41">
        <v>589</v>
      </c>
      <c r="V22" s="41">
        <v>589</v>
      </c>
      <c r="W22" s="41">
        <v>402</v>
      </c>
      <c r="X22" s="41">
        <v>589</v>
      </c>
      <c r="Y22" s="41">
        <v>589</v>
      </c>
      <c r="Z22" s="41">
        <v>589</v>
      </c>
      <c r="AA22" s="41">
        <v>589</v>
      </c>
      <c r="AB22" s="41">
        <v>402</v>
      </c>
      <c r="AC22" s="41">
        <v>402</v>
      </c>
      <c r="AD22" s="41">
        <v>402</v>
      </c>
      <c r="AE22" s="41">
        <v>402</v>
      </c>
      <c r="AF22" s="41">
        <v>402</v>
      </c>
      <c r="AG22" s="41">
        <v>317</v>
      </c>
      <c r="AH22" s="41">
        <v>317</v>
      </c>
      <c r="AI22" s="41">
        <v>317</v>
      </c>
      <c r="AJ22" s="41">
        <v>402</v>
      </c>
      <c r="AK22" s="41">
        <v>402</v>
      </c>
      <c r="AL22" s="41">
        <v>402</v>
      </c>
      <c r="AM22" s="41">
        <v>402</v>
      </c>
      <c r="AN22" s="41">
        <v>402</v>
      </c>
      <c r="AO22" s="41">
        <v>506</v>
      </c>
      <c r="AP22" s="41">
        <v>311</v>
      </c>
      <c r="AQ22" s="41">
        <v>299</v>
      </c>
      <c r="AR22" s="41">
        <v>311</v>
      </c>
      <c r="AS22" s="41">
        <v>311</v>
      </c>
      <c r="AT22" s="41">
        <v>299</v>
      </c>
      <c r="AU22" s="41">
        <v>299</v>
      </c>
      <c r="AV22" s="41">
        <v>299</v>
      </c>
      <c r="AW22" s="41">
        <v>311</v>
      </c>
      <c r="AX22" s="41">
        <v>311</v>
      </c>
      <c r="AY22" s="41">
        <v>311</v>
      </c>
      <c r="AZ22" s="41">
        <v>311</v>
      </c>
      <c r="BA22" s="41">
        <v>311</v>
      </c>
      <c r="BB22" s="41">
        <v>317</v>
      </c>
      <c r="BC22" s="41">
        <v>317</v>
      </c>
      <c r="BD22" s="41">
        <v>402</v>
      </c>
      <c r="BE22" s="41">
        <v>317</v>
      </c>
      <c r="BF22" s="41">
        <v>317</v>
      </c>
      <c r="BG22" s="41">
        <v>311</v>
      </c>
      <c r="BH22" s="41">
        <v>311</v>
      </c>
      <c r="BI22" s="41">
        <v>402</v>
      </c>
      <c r="BJ22" s="41">
        <v>402</v>
      </c>
      <c r="BK22" s="41">
        <v>402</v>
      </c>
      <c r="BL22" s="41">
        <v>402</v>
      </c>
      <c r="BM22" s="41">
        <v>402</v>
      </c>
      <c r="BN22" s="41">
        <v>402</v>
      </c>
      <c r="BO22" s="41">
        <v>402</v>
      </c>
      <c r="BP22" s="41">
        <v>402</v>
      </c>
      <c r="BQ22" s="41">
        <v>402</v>
      </c>
      <c r="BR22" s="41">
        <v>506</v>
      </c>
      <c r="BS22" s="41">
        <v>506</v>
      </c>
      <c r="BT22" s="41">
        <v>589</v>
      </c>
      <c r="BU22" s="41">
        <v>589</v>
      </c>
      <c r="BV22" s="41">
        <v>506</v>
      </c>
      <c r="BW22" s="41">
        <v>506</v>
      </c>
      <c r="BX22" s="41">
        <v>506</v>
      </c>
      <c r="BY22" s="41">
        <v>506</v>
      </c>
      <c r="BZ22" s="41">
        <v>662</v>
      </c>
      <c r="CA22" s="41">
        <v>662</v>
      </c>
      <c r="CB22" s="41">
        <v>735</v>
      </c>
      <c r="CC22" s="41">
        <v>735</v>
      </c>
      <c r="CD22" s="41">
        <v>735</v>
      </c>
      <c r="CE22" s="41">
        <v>735</v>
      </c>
      <c r="CF22" s="41">
        <v>735</v>
      </c>
      <c r="CG22" s="41">
        <v>735</v>
      </c>
      <c r="CH22" s="41">
        <v>735</v>
      </c>
      <c r="CI22" s="41">
        <v>735</v>
      </c>
      <c r="CJ22" s="41">
        <v>735</v>
      </c>
      <c r="CK22" s="41">
        <v>589</v>
      </c>
      <c r="CL22" s="41">
        <v>589</v>
      </c>
      <c r="CM22" s="41">
        <v>589</v>
      </c>
      <c r="CN22" s="41">
        <v>662</v>
      </c>
      <c r="CO22" s="41">
        <v>662</v>
      </c>
      <c r="CP22" s="41">
        <v>735</v>
      </c>
      <c r="CQ22" s="41">
        <v>662</v>
      </c>
      <c r="CR22" s="41">
        <v>589</v>
      </c>
      <c r="CS22" s="41">
        <v>506</v>
      </c>
      <c r="CT22" s="41">
        <v>506</v>
      </c>
      <c r="CU22" s="41">
        <v>506</v>
      </c>
    </row>
    <row r="23" spans="1:99" ht="15" customHeight="1">
      <c r="A23" s="2">
        <v>6300</v>
      </c>
      <c r="B23" s="2">
        <v>3.6</v>
      </c>
      <c r="C23" s="2">
        <v>9</v>
      </c>
      <c r="D23" s="2"/>
      <c r="E23" s="41">
        <v>749</v>
      </c>
      <c r="F23" s="41">
        <v>749</v>
      </c>
      <c r="G23" s="41">
        <v>749</v>
      </c>
      <c r="H23" s="41">
        <v>599</v>
      </c>
      <c r="I23" s="41">
        <v>599</v>
      </c>
      <c r="J23" s="41">
        <v>599</v>
      </c>
      <c r="K23" s="41">
        <v>673</v>
      </c>
      <c r="L23" s="41">
        <v>673</v>
      </c>
      <c r="M23" s="41">
        <v>599</v>
      </c>
      <c r="N23" s="41">
        <v>599</v>
      </c>
      <c r="O23" s="41">
        <v>599</v>
      </c>
      <c r="P23" s="41">
        <v>599</v>
      </c>
      <c r="Q23" s="41">
        <v>749</v>
      </c>
      <c r="R23" s="41">
        <v>599</v>
      </c>
      <c r="S23" s="41">
        <v>673</v>
      </c>
      <c r="T23" s="41">
        <v>673</v>
      </c>
      <c r="U23" s="41">
        <v>599</v>
      </c>
      <c r="V23" s="41">
        <v>599</v>
      </c>
      <c r="W23" s="41">
        <v>414</v>
      </c>
      <c r="X23" s="41">
        <v>599</v>
      </c>
      <c r="Y23" s="41">
        <v>599</v>
      </c>
      <c r="Z23" s="41">
        <v>599</v>
      </c>
      <c r="AA23" s="41">
        <v>599</v>
      </c>
      <c r="AB23" s="41">
        <v>414</v>
      </c>
      <c r="AC23" s="41">
        <v>414</v>
      </c>
      <c r="AD23" s="41">
        <v>414</v>
      </c>
      <c r="AE23" s="41">
        <v>414</v>
      </c>
      <c r="AF23" s="41">
        <v>414</v>
      </c>
      <c r="AG23" s="41">
        <v>327</v>
      </c>
      <c r="AH23" s="41">
        <v>327</v>
      </c>
      <c r="AI23" s="41">
        <v>327</v>
      </c>
      <c r="AJ23" s="41">
        <v>414</v>
      </c>
      <c r="AK23" s="41">
        <v>414</v>
      </c>
      <c r="AL23" s="41">
        <v>414</v>
      </c>
      <c r="AM23" s="41">
        <v>414</v>
      </c>
      <c r="AN23" s="41">
        <v>414</v>
      </c>
      <c r="AO23" s="41">
        <v>514</v>
      </c>
      <c r="AP23" s="41">
        <v>322</v>
      </c>
      <c r="AQ23" s="41">
        <v>308</v>
      </c>
      <c r="AR23" s="41">
        <v>322</v>
      </c>
      <c r="AS23" s="41">
        <v>322</v>
      </c>
      <c r="AT23" s="41">
        <v>308</v>
      </c>
      <c r="AU23" s="41">
        <v>308</v>
      </c>
      <c r="AV23" s="41">
        <v>308</v>
      </c>
      <c r="AW23" s="41">
        <v>322</v>
      </c>
      <c r="AX23" s="41">
        <v>322</v>
      </c>
      <c r="AY23" s="41">
        <v>322</v>
      </c>
      <c r="AZ23" s="41">
        <v>322</v>
      </c>
      <c r="BA23" s="41">
        <v>322</v>
      </c>
      <c r="BB23" s="41">
        <v>327</v>
      </c>
      <c r="BC23" s="41">
        <v>327</v>
      </c>
      <c r="BD23" s="41">
        <v>414</v>
      </c>
      <c r="BE23" s="41">
        <v>327</v>
      </c>
      <c r="BF23" s="41">
        <v>327</v>
      </c>
      <c r="BG23" s="41">
        <v>322</v>
      </c>
      <c r="BH23" s="41">
        <v>322</v>
      </c>
      <c r="BI23" s="41">
        <v>414</v>
      </c>
      <c r="BJ23" s="41">
        <v>414</v>
      </c>
      <c r="BK23" s="41">
        <v>414</v>
      </c>
      <c r="BL23" s="41">
        <v>414</v>
      </c>
      <c r="BM23" s="41">
        <v>414</v>
      </c>
      <c r="BN23" s="41">
        <v>414</v>
      </c>
      <c r="BO23" s="41">
        <v>414</v>
      </c>
      <c r="BP23" s="41">
        <v>414</v>
      </c>
      <c r="BQ23" s="41">
        <v>414</v>
      </c>
      <c r="BR23" s="41">
        <v>514</v>
      </c>
      <c r="BS23" s="41">
        <v>514</v>
      </c>
      <c r="BT23" s="41">
        <v>599</v>
      </c>
      <c r="BU23" s="41">
        <v>599</v>
      </c>
      <c r="BV23" s="41">
        <v>514</v>
      </c>
      <c r="BW23" s="41">
        <v>514</v>
      </c>
      <c r="BX23" s="41">
        <v>514</v>
      </c>
      <c r="BY23" s="41">
        <v>514</v>
      </c>
      <c r="BZ23" s="41">
        <v>673</v>
      </c>
      <c r="CA23" s="41">
        <v>673</v>
      </c>
      <c r="CB23" s="41">
        <v>749</v>
      </c>
      <c r="CC23" s="41">
        <v>749</v>
      </c>
      <c r="CD23" s="41">
        <v>749</v>
      </c>
      <c r="CE23" s="41">
        <v>749</v>
      </c>
      <c r="CF23" s="41">
        <v>749</v>
      </c>
      <c r="CG23" s="41">
        <v>749</v>
      </c>
      <c r="CH23" s="41">
        <v>749</v>
      </c>
      <c r="CI23" s="41">
        <v>749</v>
      </c>
      <c r="CJ23" s="41">
        <v>749</v>
      </c>
      <c r="CK23" s="41">
        <v>599</v>
      </c>
      <c r="CL23" s="41">
        <v>599</v>
      </c>
      <c r="CM23" s="41">
        <v>599</v>
      </c>
      <c r="CN23" s="41">
        <v>673</v>
      </c>
      <c r="CO23" s="41">
        <v>673</v>
      </c>
      <c r="CP23" s="41">
        <v>749</v>
      </c>
      <c r="CQ23" s="41">
        <v>673</v>
      </c>
      <c r="CR23" s="41">
        <v>599</v>
      </c>
      <c r="CS23" s="41">
        <v>514</v>
      </c>
      <c r="CT23" s="41">
        <v>514</v>
      </c>
      <c r="CU23" s="41">
        <v>514</v>
      </c>
    </row>
    <row r="24" spans="1:99" ht="15" customHeight="1">
      <c r="A24" s="2">
        <v>7000</v>
      </c>
      <c r="B24" s="2">
        <v>4</v>
      </c>
      <c r="C24" s="2">
        <v>10</v>
      </c>
      <c r="D24" s="2">
        <v>8</v>
      </c>
      <c r="E24" s="41">
        <v>825</v>
      </c>
      <c r="F24" s="41">
        <v>825</v>
      </c>
      <c r="G24" s="41">
        <v>825</v>
      </c>
      <c r="H24" s="41">
        <v>660</v>
      </c>
      <c r="I24" s="41">
        <v>660</v>
      </c>
      <c r="J24" s="41">
        <v>660</v>
      </c>
      <c r="K24" s="41">
        <v>739</v>
      </c>
      <c r="L24" s="41">
        <v>739</v>
      </c>
      <c r="M24" s="41">
        <v>660</v>
      </c>
      <c r="N24" s="41">
        <v>660</v>
      </c>
      <c r="O24" s="41">
        <v>660</v>
      </c>
      <c r="P24" s="41">
        <v>660</v>
      </c>
      <c r="Q24" s="41">
        <v>825</v>
      </c>
      <c r="R24" s="41">
        <v>660</v>
      </c>
      <c r="S24" s="41">
        <v>739</v>
      </c>
      <c r="T24" s="41">
        <v>739</v>
      </c>
      <c r="U24" s="41">
        <v>660</v>
      </c>
      <c r="V24" s="41">
        <v>660</v>
      </c>
      <c r="W24" s="41">
        <v>453</v>
      </c>
      <c r="X24" s="41">
        <v>660</v>
      </c>
      <c r="Y24" s="41">
        <v>660</v>
      </c>
      <c r="Z24" s="41">
        <v>660</v>
      </c>
      <c r="AA24" s="41">
        <v>660</v>
      </c>
      <c r="AB24" s="41">
        <v>453</v>
      </c>
      <c r="AC24" s="41">
        <v>453</v>
      </c>
      <c r="AD24" s="41">
        <v>453</v>
      </c>
      <c r="AE24" s="41">
        <v>453</v>
      </c>
      <c r="AF24" s="41">
        <v>453</v>
      </c>
      <c r="AG24" s="41">
        <v>360</v>
      </c>
      <c r="AH24" s="41">
        <v>360</v>
      </c>
      <c r="AI24" s="41">
        <v>360</v>
      </c>
      <c r="AJ24" s="41">
        <v>453</v>
      </c>
      <c r="AK24" s="41">
        <v>453</v>
      </c>
      <c r="AL24" s="41">
        <v>453</v>
      </c>
      <c r="AM24" s="41">
        <v>453</v>
      </c>
      <c r="AN24" s="41">
        <v>453</v>
      </c>
      <c r="AO24" s="41">
        <v>564</v>
      </c>
      <c r="AP24" s="41">
        <v>337</v>
      </c>
      <c r="AQ24" s="41">
        <v>319</v>
      </c>
      <c r="AR24" s="41">
        <v>337</v>
      </c>
      <c r="AS24" s="41">
        <v>337</v>
      </c>
      <c r="AT24" s="41">
        <v>319</v>
      </c>
      <c r="AU24" s="41">
        <v>319</v>
      </c>
      <c r="AV24" s="41">
        <v>319</v>
      </c>
      <c r="AW24" s="41">
        <v>337</v>
      </c>
      <c r="AX24" s="41">
        <v>337</v>
      </c>
      <c r="AY24" s="41">
        <v>337</v>
      </c>
      <c r="AZ24" s="41">
        <v>337</v>
      </c>
      <c r="BA24" s="41">
        <v>337</v>
      </c>
      <c r="BB24" s="41">
        <v>360</v>
      </c>
      <c r="BC24" s="41">
        <v>360</v>
      </c>
      <c r="BD24" s="41">
        <v>453</v>
      </c>
      <c r="BE24" s="41">
        <v>360</v>
      </c>
      <c r="BF24" s="41">
        <v>360</v>
      </c>
      <c r="BG24" s="41">
        <v>337</v>
      </c>
      <c r="BH24" s="41">
        <v>337</v>
      </c>
      <c r="BI24" s="41">
        <v>453</v>
      </c>
      <c r="BJ24" s="41">
        <v>453</v>
      </c>
      <c r="BK24" s="41">
        <v>453</v>
      </c>
      <c r="BL24" s="41">
        <v>453</v>
      </c>
      <c r="BM24" s="41">
        <v>453</v>
      </c>
      <c r="BN24" s="41">
        <v>453</v>
      </c>
      <c r="BO24" s="41">
        <v>453</v>
      </c>
      <c r="BP24" s="41">
        <v>453</v>
      </c>
      <c r="BQ24" s="41">
        <v>453</v>
      </c>
      <c r="BR24" s="41">
        <v>564</v>
      </c>
      <c r="BS24" s="41">
        <v>564</v>
      </c>
      <c r="BT24" s="41">
        <v>660</v>
      </c>
      <c r="BU24" s="41">
        <v>660</v>
      </c>
      <c r="BV24" s="41">
        <v>564</v>
      </c>
      <c r="BW24" s="41">
        <v>564</v>
      </c>
      <c r="BX24" s="41">
        <v>564</v>
      </c>
      <c r="BY24" s="41">
        <v>564</v>
      </c>
      <c r="BZ24" s="41">
        <v>739</v>
      </c>
      <c r="CA24" s="41">
        <v>739</v>
      </c>
      <c r="CB24" s="41">
        <v>825</v>
      </c>
      <c r="CC24" s="41">
        <v>825</v>
      </c>
      <c r="CD24" s="41">
        <v>825</v>
      </c>
      <c r="CE24" s="41">
        <v>825</v>
      </c>
      <c r="CF24" s="41">
        <v>825</v>
      </c>
      <c r="CG24" s="41">
        <v>825</v>
      </c>
      <c r="CH24" s="41">
        <v>825</v>
      </c>
      <c r="CI24" s="41">
        <v>825</v>
      </c>
      <c r="CJ24" s="41">
        <v>825</v>
      </c>
      <c r="CK24" s="41">
        <v>660</v>
      </c>
      <c r="CL24" s="41">
        <v>660</v>
      </c>
      <c r="CM24" s="41">
        <v>660</v>
      </c>
      <c r="CN24" s="41">
        <v>739</v>
      </c>
      <c r="CO24" s="41">
        <v>739</v>
      </c>
      <c r="CP24" s="41">
        <v>825</v>
      </c>
      <c r="CQ24" s="41">
        <v>739</v>
      </c>
      <c r="CR24" s="41">
        <v>660</v>
      </c>
      <c r="CS24" s="41">
        <v>564</v>
      </c>
      <c r="CT24" s="41">
        <v>564</v>
      </c>
      <c r="CU24" s="41">
        <v>564</v>
      </c>
    </row>
    <row r="25" spans="1:99" ht="15" customHeight="1">
      <c r="A25" s="3"/>
      <c r="B25" s="3"/>
      <c r="C25" s="3"/>
      <c r="D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row>
    <row r="26" spans="1:99" ht="15" customHeight="1">
      <c r="A26" s="4" t="s">
        <v>24</v>
      </c>
      <c r="B26" s="3"/>
      <c r="C26" s="3"/>
      <c r="D26" s="3"/>
    </row>
    <row r="27" spans="1:99" ht="15" customHeight="1">
      <c r="A27" s="3"/>
      <c r="B27" s="3"/>
      <c r="C27" s="3"/>
      <c r="D27" s="3"/>
    </row>
    <row r="28" spans="1:99" ht="15" customHeight="1">
      <c r="A28" s="6" t="s">
        <v>25</v>
      </c>
      <c r="B28" s="40"/>
      <c r="C28" s="6" t="s">
        <v>26</v>
      </c>
      <c r="D28" s="40"/>
      <c r="E28" s="95"/>
      <c r="F28" s="96"/>
      <c r="G28" s="71" t="s">
        <v>27</v>
      </c>
      <c r="H28" s="96"/>
      <c r="I28" s="96"/>
      <c r="J28" s="96"/>
      <c r="K28" s="96"/>
      <c r="L28" s="96"/>
      <c r="M28" s="96"/>
      <c r="N28" s="96"/>
      <c r="O28" s="96"/>
      <c r="P28" s="96"/>
      <c r="Q28" s="96"/>
      <c r="R28" s="96"/>
      <c r="S28" s="71" t="s">
        <v>27</v>
      </c>
      <c r="T28" s="96"/>
      <c r="U28" s="96"/>
      <c r="V28" s="96"/>
      <c r="W28" s="96"/>
      <c r="X28" s="96"/>
      <c r="Y28" s="96"/>
      <c r="Z28" s="96"/>
      <c r="AA28" s="96"/>
      <c r="AB28" s="96"/>
      <c r="AC28" s="96"/>
      <c r="AD28" s="96"/>
      <c r="AE28" s="96"/>
      <c r="AF28" s="71" t="s">
        <v>27</v>
      </c>
      <c r="AG28" s="96"/>
      <c r="AH28" s="96"/>
      <c r="AI28" s="96"/>
      <c r="AJ28" s="96"/>
      <c r="AK28" s="96"/>
      <c r="AL28" s="96"/>
      <c r="AM28" s="96"/>
      <c r="AN28" s="96"/>
      <c r="AO28" s="71"/>
      <c r="AP28" s="96"/>
      <c r="AQ28" s="96"/>
      <c r="AR28" s="96"/>
      <c r="AS28" s="71" t="s">
        <v>27</v>
      </c>
      <c r="AT28" s="96"/>
      <c r="AU28" s="96"/>
      <c r="AV28" s="96"/>
      <c r="AW28" s="96"/>
      <c r="AX28" s="96"/>
      <c r="AY28" s="96"/>
      <c r="AZ28" s="96"/>
      <c r="BA28" s="96"/>
      <c r="BB28" s="96"/>
      <c r="BC28" s="96"/>
      <c r="BD28" s="96"/>
      <c r="BE28" s="71" t="s">
        <v>27</v>
      </c>
      <c r="BF28" s="71" t="s">
        <v>27</v>
      </c>
      <c r="BG28" s="96"/>
      <c r="BH28" s="96"/>
      <c r="BI28" s="96"/>
      <c r="BJ28" s="96"/>
      <c r="BK28" s="96"/>
      <c r="BL28" s="96"/>
      <c r="BM28" s="96"/>
      <c r="BN28" s="96"/>
      <c r="BO28" s="96"/>
      <c r="BP28" s="96"/>
      <c r="BQ28" s="96"/>
      <c r="BR28" s="96"/>
      <c r="BS28" s="71" t="s">
        <v>27</v>
      </c>
      <c r="BT28" s="96"/>
      <c r="BU28" s="71"/>
      <c r="BV28" s="96"/>
      <c r="BW28" s="96"/>
      <c r="BX28" s="96"/>
      <c r="BY28" s="96"/>
      <c r="BZ28" s="96"/>
      <c r="CA28" s="96"/>
      <c r="CB28" s="96"/>
      <c r="CC28" s="96"/>
      <c r="CD28" s="96"/>
      <c r="CE28" s="96"/>
      <c r="CF28" s="71" t="s">
        <v>27</v>
      </c>
      <c r="CG28" s="96"/>
      <c r="CH28" s="71"/>
      <c r="CI28" s="96"/>
      <c r="CJ28" s="96"/>
      <c r="CK28" s="96"/>
      <c r="CL28" s="96"/>
      <c r="CM28" s="96"/>
      <c r="CN28" s="96"/>
      <c r="CO28" s="71"/>
      <c r="CP28" s="70"/>
      <c r="CQ28" s="96"/>
      <c r="CR28" s="96"/>
      <c r="CS28" s="71"/>
      <c r="CT28" s="96"/>
      <c r="CU28" s="76"/>
    </row>
    <row r="29" spans="1:99" ht="15" customHeight="1">
      <c r="A29" s="222" t="s">
        <v>28</v>
      </c>
      <c r="B29" s="223"/>
      <c r="C29" s="6" t="s">
        <v>29</v>
      </c>
      <c r="D29" s="73"/>
      <c r="E29" s="97" t="s">
        <v>30</v>
      </c>
      <c r="F29" s="97" t="s">
        <v>30</v>
      </c>
      <c r="G29" s="97" t="s">
        <v>30</v>
      </c>
      <c r="H29" s="97" t="s">
        <v>30</v>
      </c>
      <c r="I29" s="97" t="s">
        <v>30</v>
      </c>
      <c r="J29" s="97" t="s">
        <v>30</v>
      </c>
      <c r="K29" s="97" t="s">
        <v>30</v>
      </c>
      <c r="L29" s="97" t="s">
        <v>30</v>
      </c>
      <c r="M29" s="97" t="s">
        <v>30</v>
      </c>
      <c r="N29" s="97" t="s">
        <v>30</v>
      </c>
      <c r="O29" s="97" t="s">
        <v>30</v>
      </c>
      <c r="P29" s="97" t="s">
        <v>30</v>
      </c>
      <c r="Q29" s="97" t="s">
        <v>30</v>
      </c>
      <c r="R29" s="97" t="s">
        <v>30</v>
      </c>
      <c r="S29" s="97" t="s">
        <v>30</v>
      </c>
      <c r="T29" s="97" t="s">
        <v>30</v>
      </c>
      <c r="U29" s="97" t="s">
        <v>30</v>
      </c>
      <c r="V29" s="97" t="s">
        <v>30</v>
      </c>
      <c r="W29" s="97" t="s">
        <v>30</v>
      </c>
      <c r="X29" s="97" t="s">
        <v>30</v>
      </c>
      <c r="Y29" s="97" t="s">
        <v>30</v>
      </c>
      <c r="Z29" s="97" t="s">
        <v>30</v>
      </c>
      <c r="AA29" s="97" t="s">
        <v>30</v>
      </c>
      <c r="AB29" s="97" t="s">
        <v>30</v>
      </c>
      <c r="AC29" s="97" t="s">
        <v>30</v>
      </c>
      <c r="AD29" s="97" t="s">
        <v>30</v>
      </c>
      <c r="AE29" s="97" t="s">
        <v>30</v>
      </c>
      <c r="AF29" s="97" t="s">
        <v>30</v>
      </c>
      <c r="AG29" s="97" t="s">
        <v>30</v>
      </c>
      <c r="AH29" s="97" t="s">
        <v>30</v>
      </c>
      <c r="AI29" s="97" t="s">
        <v>30</v>
      </c>
      <c r="AJ29" s="97" t="s">
        <v>30</v>
      </c>
      <c r="AK29" s="97" t="s">
        <v>30</v>
      </c>
      <c r="AL29" s="97" t="s">
        <v>30</v>
      </c>
      <c r="AM29" s="97" t="s">
        <v>30</v>
      </c>
      <c r="AN29" s="97" t="s">
        <v>30</v>
      </c>
      <c r="AO29" s="97" t="s">
        <v>30</v>
      </c>
      <c r="AP29" s="97" t="s">
        <v>30</v>
      </c>
      <c r="AQ29" s="97" t="s">
        <v>30</v>
      </c>
      <c r="AR29" s="97" t="s">
        <v>30</v>
      </c>
      <c r="AS29" s="97" t="s">
        <v>30</v>
      </c>
      <c r="AT29" s="97" t="s">
        <v>30</v>
      </c>
      <c r="AU29" s="97" t="s">
        <v>30</v>
      </c>
      <c r="AV29" s="97" t="s">
        <v>30</v>
      </c>
      <c r="AW29" s="97" t="s">
        <v>30</v>
      </c>
      <c r="AX29" s="97" t="s">
        <v>30</v>
      </c>
      <c r="AY29" s="97" t="s">
        <v>30</v>
      </c>
      <c r="AZ29" s="97" t="s">
        <v>30</v>
      </c>
      <c r="BA29" s="97" t="s">
        <v>30</v>
      </c>
      <c r="BB29" s="97" t="s">
        <v>30</v>
      </c>
      <c r="BC29" s="97" t="s">
        <v>30</v>
      </c>
      <c r="BD29" s="97" t="s">
        <v>30</v>
      </c>
      <c r="BE29" s="97" t="s">
        <v>30</v>
      </c>
      <c r="BF29" s="97" t="s">
        <v>30</v>
      </c>
      <c r="BG29" s="97" t="s">
        <v>30</v>
      </c>
      <c r="BH29" s="97" t="s">
        <v>30</v>
      </c>
      <c r="BI29" s="97" t="s">
        <v>30</v>
      </c>
      <c r="BJ29" s="97" t="s">
        <v>30</v>
      </c>
      <c r="BK29" s="97" t="s">
        <v>30</v>
      </c>
      <c r="BL29" s="97" t="s">
        <v>30</v>
      </c>
      <c r="BM29" s="97" t="s">
        <v>30</v>
      </c>
      <c r="BN29" s="97" t="s">
        <v>30</v>
      </c>
      <c r="BO29" s="97" t="s">
        <v>30</v>
      </c>
      <c r="BP29" s="97" t="s">
        <v>30</v>
      </c>
      <c r="BQ29" s="97" t="s">
        <v>30</v>
      </c>
      <c r="BR29" s="97" t="s">
        <v>30</v>
      </c>
      <c r="BS29" s="97" t="s">
        <v>30</v>
      </c>
      <c r="BT29" s="97" t="s">
        <v>30</v>
      </c>
      <c r="BU29" s="97" t="s">
        <v>30</v>
      </c>
      <c r="BV29" s="97" t="s">
        <v>30</v>
      </c>
      <c r="BW29" s="97" t="s">
        <v>30</v>
      </c>
      <c r="BX29" s="97" t="s">
        <v>30</v>
      </c>
      <c r="BY29" s="97" t="s">
        <v>30</v>
      </c>
      <c r="BZ29" s="97" t="s">
        <v>30</v>
      </c>
      <c r="CA29" s="97" t="s">
        <v>30</v>
      </c>
      <c r="CB29" s="97" t="s">
        <v>30</v>
      </c>
      <c r="CC29" s="97" t="s">
        <v>30</v>
      </c>
      <c r="CD29" s="97" t="s">
        <v>30</v>
      </c>
      <c r="CE29" s="97" t="s">
        <v>30</v>
      </c>
      <c r="CF29" s="97" t="s">
        <v>30</v>
      </c>
      <c r="CG29" s="97" t="s">
        <v>30</v>
      </c>
      <c r="CH29" s="97" t="s">
        <v>30</v>
      </c>
      <c r="CI29" s="97" t="s">
        <v>30</v>
      </c>
      <c r="CJ29" s="97" t="s">
        <v>30</v>
      </c>
      <c r="CK29" s="97" t="s">
        <v>30</v>
      </c>
      <c r="CL29" s="97" t="s">
        <v>30</v>
      </c>
      <c r="CM29" s="97" t="s">
        <v>30</v>
      </c>
      <c r="CN29" s="97" t="s">
        <v>30</v>
      </c>
      <c r="CO29" s="97" t="s">
        <v>30</v>
      </c>
      <c r="CP29" s="97" t="s">
        <v>30</v>
      </c>
      <c r="CQ29" s="97" t="s">
        <v>30</v>
      </c>
      <c r="CR29" s="97" t="s">
        <v>30</v>
      </c>
      <c r="CS29" s="97" t="s">
        <v>30</v>
      </c>
      <c r="CT29" s="97" t="s">
        <v>30</v>
      </c>
      <c r="CU29" s="97" t="s">
        <v>30</v>
      </c>
    </row>
    <row r="30" spans="1:99" ht="15" customHeight="1">
      <c r="A30" s="222" t="s">
        <v>32</v>
      </c>
      <c r="B30" s="223"/>
      <c r="C30" s="6" t="s">
        <v>29</v>
      </c>
      <c r="D30" s="73"/>
      <c r="E30" s="98" t="s">
        <v>34</v>
      </c>
      <c r="F30" s="98" t="s">
        <v>34</v>
      </c>
      <c r="G30" s="98" t="s">
        <v>34</v>
      </c>
      <c r="H30" s="98" t="s">
        <v>34</v>
      </c>
      <c r="I30" s="98" t="s">
        <v>34</v>
      </c>
      <c r="J30" s="98" t="s">
        <v>34</v>
      </c>
      <c r="K30" s="98" t="s">
        <v>34</v>
      </c>
      <c r="L30" s="98" t="s">
        <v>34</v>
      </c>
      <c r="M30" s="98" t="s">
        <v>34</v>
      </c>
      <c r="N30" s="98" t="s">
        <v>34</v>
      </c>
      <c r="O30" s="98" t="s">
        <v>34</v>
      </c>
      <c r="P30" s="98" t="s">
        <v>34</v>
      </c>
      <c r="Q30" s="98" t="s">
        <v>34</v>
      </c>
      <c r="R30" s="98" t="s">
        <v>34</v>
      </c>
      <c r="S30" s="98" t="s">
        <v>34</v>
      </c>
      <c r="T30" s="98" t="s">
        <v>34</v>
      </c>
      <c r="U30" s="98" t="s">
        <v>34</v>
      </c>
      <c r="V30" s="98" t="s">
        <v>34</v>
      </c>
      <c r="W30" s="98" t="s">
        <v>34</v>
      </c>
      <c r="X30" s="98" t="s">
        <v>34</v>
      </c>
      <c r="Y30" s="98" t="s">
        <v>34</v>
      </c>
      <c r="Z30" s="98" t="s">
        <v>34</v>
      </c>
      <c r="AA30" s="98" t="s">
        <v>34</v>
      </c>
      <c r="AB30" s="98" t="s">
        <v>34</v>
      </c>
      <c r="AC30" s="98" t="s">
        <v>34</v>
      </c>
      <c r="AD30" s="98" t="s">
        <v>34</v>
      </c>
      <c r="AE30" s="98" t="s">
        <v>34</v>
      </c>
      <c r="AF30" s="98" t="s">
        <v>34</v>
      </c>
      <c r="AG30" s="98" t="s">
        <v>34</v>
      </c>
      <c r="AH30" s="98" t="s">
        <v>34</v>
      </c>
      <c r="AI30" s="98" t="s">
        <v>34</v>
      </c>
      <c r="AJ30" s="98" t="s">
        <v>34</v>
      </c>
      <c r="AK30" s="98" t="s">
        <v>34</v>
      </c>
      <c r="AL30" s="98" t="s">
        <v>34</v>
      </c>
      <c r="AM30" s="98" t="s">
        <v>34</v>
      </c>
      <c r="AN30" s="98" t="s">
        <v>34</v>
      </c>
      <c r="AO30" s="98" t="s">
        <v>34</v>
      </c>
      <c r="AP30" s="98" t="s">
        <v>34</v>
      </c>
      <c r="AQ30" s="98" t="s">
        <v>34</v>
      </c>
      <c r="AR30" s="98" t="s">
        <v>34</v>
      </c>
      <c r="AS30" s="98" t="s">
        <v>34</v>
      </c>
      <c r="AT30" s="98" t="s">
        <v>34</v>
      </c>
      <c r="AU30" s="98" t="s">
        <v>34</v>
      </c>
      <c r="AV30" s="98" t="s">
        <v>34</v>
      </c>
      <c r="AW30" s="98" t="s">
        <v>34</v>
      </c>
      <c r="AX30" s="98" t="s">
        <v>34</v>
      </c>
      <c r="AY30" s="98" t="s">
        <v>34</v>
      </c>
      <c r="AZ30" s="98" t="s">
        <v>34</v>
      </c>
      <c r="BA30" s="98" t="s">
        <v>34</v>
      </c>
      <c r="BB30" s="98" t="s">
        <v>34</v>
      </c>
      <c r="BC30" s="98" t="s">
        <v>34</v>
      </c>
      <c r="BD30" s="98" t="s">
        <v>34</v>
      </c>
      <c r="BE30" s="98" t="s">
        <v>34</v>
      </c>
      <c r="BF30" s="98" t="s">
        <v>34</v>
      </c>
      <c r="BG30" s="98" t="s">
        <v>34</v>
      </c>
      <c r="BH30" s="98" t="s">
        <v>34</v>
      </c>
      <c r="BI30" s="98" t="s">
        <v>34</v>
      </c>
      <c r="BJ30" s="98" t="s">
        <v>34</v>
      </c>
      <c r="BK30" s="98" t="s">
        <v>34</v>
      </c>
      <c r="BL30" s="98" t="s">
        <v>34</v>
      </c>
      <c r="BM30" s="98" t="s">
        <v>34</v>
      </c>
      <c r="BN30" s="98" t="s">
        <v>34</v>
      </c>
      <c r="BO30" s="98" t="s">
        <v>34</v>
      </c>
      <c r="BP30" s="98" t="s">
        <v>34</v>
      </c>
      <c r="BQ30" s="98" t="s">
        <v>34</v>
      </c>
      <c r="BR30" s="98" t="s">
        <v>34</v>
      </c>
      <c r="BS30" s="98" t="s">
        <v>34</v>
      </c>
      <c r="BT30" s="98" t="s">
        <v>34</v>
      </c>
      <c r="BU30" s="98" t="s">
        <v>34</v>
      </c>
      <c r="BV30" s="98" t="s">
        <v>34</v>
      </c>
      <c r="BW30" s="98" t="s">
        <v>34</v>
      </c>
      <c r="BX30" s="98" t="s">
        <v>34</v>
      </c>
      <c r="BY30" s="98" t="s">
        <v>34</v>
      </c>
      <c r="BZ30" s="98" t="s">
        <v>34</v>
      </c>
      <c r="CA30" s="98" t="s">
        <v>34</v>
      </c>
      <c r="CB30" s="98" t="s">
        <v>34</v>
      </c>
      <c r="CC30" s="98" t="s">
        <v>34</v>
      </c>
      <c r="CD30" s="98" t="s">
        <v>34</v>
      </c>
      <c r="CE30" s="98" t="s">
        <v>34</v>
      </c>
      <c r="CF30" s="98" t="s">
        <v>34</v>
      </c>
      <c r="CG30" s="98" t="s">
        <v>34</v>
      </c>
      <c r="CH30" s="98" t="s">
        <v>34</v>
      </c>
      <c r="CI30" s="98" t="s">
        <v>34</v>
      </c>
      <c r="CJ30" s="98" t="s">
        <v>34</v>
      </c>
      <c r="CK30" s="98" t="s">
        <v>34</v>
      </c>
      <c r="CL30" s="98" t="s">
        <v>34</v>
      </c>
      <c r="CM30" s="98" t="s">
        <v>34</v>
      </c>
      <c r="CN30" s="98" t="s">
        <v>34</v>
      </c>
      <c r="CO30" s="98" t="s">
        <v>34</v>
      </c>
      <c r="CP30" s="98" t="s">
        <v>34</v>
      </c>
      <c r="CQ30" s="98" t="s">
        <v>34</v>
      </c>
      <c r="CR30" s="98" t="s">
        <v>34</v>
      </c>
      <c r="CS30" s="98" t="s">
        <v>34</v>
      </c>
      <c r="CT30" s="98" t="s">
        <v>34</v>
      </c>
      <c r="CU30" s="98" t="s">
        <v>34</v>
      </c>
    </row>
    <row r="31" spans="1:99" ht="15" customHeight="1">
      <c r="A31" s="222" t="s">
        <v>33</v>
      </c>
      <c r="B31" s="223"/>
      <c r="C31" s="6" t="s">
        <v>29</v>
      </c>
      <c r="D31" s="76"/>
      <c r="E31" s="98" t="s">
        <v>51</v>
      </c>
      <c r="F31" s="98" t="s">
        <v>51</v>
      </c>
      <c r="G31" s="98" t="s">
        <v>51</v>
      </c>
      <c r="H31" s="98" t="s">
        <v>51</v>
      </c>
      <c r="I31" s="98" t="s">
        <v>51</v>
      </c>
      <c r="J31" s="98" t="s">
        <v>51</v>
      </c>
      <c r="K31" s="98" t="s">
        <v>51</v>
      </c>
      <c r="L31" s="98" t="s">
        <v>51</v>
      </c>
      <c r="M31" s="98" t="s">
        <v>51</v>
      </c>
      <c r="N31" s="98" t="s">
        <v>51</v>
      </c>
      <c r="O31" s="98" t="s">
        <v>51</v>
      </c>
      <c r="P31" s="98" t="s">
        <v>51</v>
      </c>
      <c r="Q31" s="98" t="s">
        <v>51</v>
      </c>
      <c r="R31" s="98" t="s">
        <v>51</v>
      </c>
      <c r="S31" s="98" t="s">
        <v>51</v>
      </c>
      <c r="T31" s="98" t="s">
        <v>51</v>
      </c>
      <c r="U31" s="98" t="s">
        <v>51</v>
      </c>
      <c r="V31" s="98" t="s">
        <v>51</v>
      </c>
      <c r="W31" s="98" t="s">
        <v>51</v>
      </c>
      <c r="X31" s="98" t="s">
        <v>51</v>
      </c>
      <c r="Y31" s="98" t="s">
        <v>51</v>
      </c>
      <c r="Z31" s="98" t="s">
        <v>51</v>
      </c>
      <c r="AA31" s="98" t="s">
        <v>51</v>
      </c>
      <c r="AB31" s="98" t="s">
        <v>51</v>
      </c>
      <c r="AC31" s="98" t="s">
        <v>51</v>
      </c>
      <c r="AD31" s="98" t="s">
        <v>51</v>
      </c>
      <c r="AE31" s="98" t="s">
        <v>51</v>
      </c>
      <c r="AF31" s="98" t="s">
        <v>51</v>
      </c>
      <c r="AG31" s="98" t="s">
        <v>51</v>
      </c>
      <c r="AH31" s="98" t="s">
        <v>51</v>
      </c>
      <c r="AI31" s="98" t="s">
        <v>51</v>
      </c>
      <c r="AJ31" s="98" t="s">
        <v>51</v>
      </c>
      <c r="AK31" s="98" t="s">
        <v>51</v>
      </c>
      <c r="AL31" s="98" t="s">
        <v>51</v>
      </c>
      <c r="AM31" s="98" t="s">
        <v>51</v>
      </c>
      <c r="AN31" s="98" t="s">
        <v>51</v>
      </c>
      <c r="AO31" s="98" t="s">
        <v>51</v>
      </c>
      <c r="AP31" s="98" t="s">
        <v>51</v>
      </c>
      <c r="AQ31" s="98" t="s">
        <v>51</v>
      </c>
      <c r="AR31" s="98" t="s">
        <v>51</v>
      </c>
      <c r="AS31" s="98" t="s">
        <v>51</v>
      </c>
      <c r="AT31" s="98" t="s">
        <v>51</v>
      </c>
      <c r="AU31" s="98" t="s">
        <v>51</v>
      </c>
      <c r="AV31" s="98" t="s">
        <v>51</v>
      </c>
      <c r="AW31" s="98" t="s">
        <v>51</v>
      </c>
      <c r="AX31" s="98" t="s">
        <v>51</v>
      </c>
      <c r="AY31" s="98" t="s">
        <v>51</v>
      </c>
      <c r="AZ31" s="98" t="s">
        <v>51</v>
      </c>
      <c r="BA31" s="98" t="s">
        <v>51</v>
      </c>
      <c r="BB31" s="98" t="s">
        <v>51</v>
      </c>
      <c r="BC31" s="98" t="s">
        <v>51</v>
      </c>
      <c r="BD31" s="98" t="s">
        <v>51</v>
      </c>
      <c r="BE31" s="98" t="s">
        <v>51</v>
      </c>
      <c r="BF31" s="98" t="s">
        <v>51</v>
      </c>
      <c r="BG31" s="98" t="s">
        <v>51</v>
      </c>
      <c r="BH31" s="98" t="s">
        <v>51</v>
      </c>
      <c r="BI31" s="98" t="s">
        <v>51</v>
      </c>
      <c r="BJ31" s="98" t="s">
        <v>51</v>
      </c>
      <c r="BK31" s="98" t="s">
        <v>51</v>
      </c>
      <c r="BL31" s="98" t="s">
        <v>51</v>
      </c>
      <c r="BM31" s="98" t="s">
        <v>51</v>
      </c>
      <c r="BN31" s="98" t="s">
        <v>51</v>
      </c>
      <c r="BO31" s="98" t="s">
        <v>51</v>
      </c>
      <c r="BP31" s="98" t="s">
        <v>51</v>
      </c>
      <c r="BQ31" s="98" t="s">
        <v>51</v>
      </c>
      <c r="BR31" s="98" t="s">
        <v>51</v>
      </c>
      <c r="BS31" s="98" t="s">
        <v>51</v>
      </c>
      <c r="BT31" s="98" t="s">
        <v>51</v>
      </c>
      <c r="BU31" s="98" t="s">
        <v>51</v>
      </c>
      <c r="BV31" s="98" t="s">
        <v>51</v>
      </c>
      <c r="BW31" s="98" t="s">
        <v>51</v>
      </c>
      <c r="BX31" s="98" t="s">
        <v>51</v>
      </c>
      <c r="BY31" s="98" t="s">
        <v>51</v>
      </c>
      <c r="BZ31" s="98" t="s">
        <v>51</v>
      </c>
      <c r="CA31" s="98" t="s">
        <v>51</v>
      </c>
      <c r="CB31" s="98" t="s">
        <v>51</v>
      </c>
      <c r="CC31" s="98" t="s">
        <v>51</v>
      </c>
      <c r="CD31" s="98" t="s">
        <v>51</v>
      </c>
      <c r="CE31" s="98" t="s">
        <v>51</v>
      </c>
      <c r="CF31" s="98" t="s">
        <v>51</v>
      </c>
      <c r="CG31" s="98" t="s">
        <v>51</v>
      </c>
      <c r="CH31" s="98" t="s">
        <v>51</v>
      </c>
      <c r="CI31" s="98" t="s">
        <v>51</v>
      </c>
      <c r="CJ31" s="98" t="s">
        <v>51</v>
      </c>
      <c r="CK31" s="98" t="s">
        <v>51</v>
      </c>
      <c r="CL31" s="98" t="s">
        <v>51</v>
      </c>
      <c r="CM31" s="98" t="s">
        <v>51</v>
      </c>
      <c r="CN31" s="98" t="s">
        <v>51</v>
      </c>
      <c r="CO31" s="98" t="s">
        <v>51</v>
      </c>
      <c r="CP31" s="98" t="s">
        <v>51</v>
      </c>
      <c r="CQ31" s="98" t="s">
        <v>51</v>
      </c>
      <c r="CR31" s="98" t="s">
        <v>51</v>
      </c>
      <c r="CS31" s="98" t="s">
        <v>51</v>
      </c>
      <c r="CT31" s="98" t="s">
        <v>51</v>
      </c>
      <c r="CU31" s="98" t="s">
        <v>51</v>
      </c>
    </row>
    <row r="33" spans="1:1">
      <c r="A33" s="89" t="s">
        <v>52</v>
      </c>
    </row>
    <row r="34" spans="1:1">
      <c r="A34" s="26" t="s">
        <v>53</v>
      </c>
    </row>
  </sheetData>
  <mergeCells count="3">
    <mergeCell ref="A29:B29"/>
    <mergeCell ref="A30:B30"/>
    <mergeCell ref="A31:B31"/>
  </mergeCells>
  <pageMargins left="0.7" right="0.7" top="0.75" bottom="0.75" header="0.3" footer="0.3"/>
  <pageSetup paperSize="9" orientation="portrait" r:id="rId1"/>
  <ignoredErrors>
    <ignoredError sqref="E31:M31 N31:CU31"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BCBE6-B60F-48E7-8A32-437B604DEE6D}">
  <dimension ref="A1:CM35"/>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91" ht="15" customHeight="1"/>
    <row r="2" spans="1:91" ht="15" customHeight="1">
      <c r="A2" s="9"/>
      <c r="B2" s="7"/>
      <c r="C2" s="7"/>
      <c r="D2" s="7"/>
      <c r="E2" s="7"/>
    </row>
    <row r="3" spans="1:91" ht="20.45" customHeight="1">
      <c r="A3" s="9" t="str">
        <f>Voorblad!A5</f>
        <v>Team Freight Forwarding Logistics</v>
      </c>
      <c r="B3" s="8"/>
      <c r="C3" s="8"/>
      <c r="D3" s="8"/>
      <c r="E3" s="48"/>
    </row>
    <row r="4" spans="1:91" s="51" customFormat="1" ht="15.75">
      <c r="A4" s="62" t="s">
        <v>54</v>
      </c>
      <c r="B4" s="49"/>
      <c r="C4" s="50"/>
      <c r="D4" s="50"/>
      <c r="E4" s="50"/>
    </row>
    <row r="5" spans="1:91" ht="15" customHeight="1">
      <c r="A5" s="7"/>
      <c r="B5" s="7"/>
      <c r="C5" s="7"/>
      <c r="D5" s="7"/>
      <c r="E5" s="26"/>
    </row>
    <row r="6" spans="1:91" ht="15" customHeight="1">
      <c r="A6" s="63" t="s">
        <v>20</v>
      </c>
      <c r="B6" s="63" t="s">
        <v>21</v>
      </c>
      <c r="C6" s="64" t="s">
        <v>22</v>
      </c>
      <c r="D6" s="64" t="s">
        <v>23</v>
      </c>
      <c r="E6" s="2">
        <v>10</v>
      </c>
      <c r="F6" s="2">
        <v>11</v>
      </c>
      <c r="G6" s="2">
        <v>12</v>
      </c>
      <c r="H6" s="2">
        <v>13</v>
      </c>
      <c r="I6" s="2">
        <v>14</v>
      </c>
      <c r="J6" s="2">
        <v>15</v>
      </c>
      <c r="K6" s="2">
        <v>16</v>
      </c>
      <c r="L6" s="2">
        <v>17</v>
      </c>
      <c r="M6" s="2">
        <v>18</v>
      </c>
      <c r="N6" s="2">
        <v>19</v>
      </c>
      <c r="O6" s="2">
        <v>20</v>
      </c>
      <c r="P6" s="2">
        <v>21</v>
      </c>
      <c r="Q6" s="2">
        <v>22</v>
      </c>
      <c r="R6" s="2">
        <v>23</v>
      </c>
      <c r="S6" s="2">
        <v>24</v>
      </c>
      <c r="T6" s="2">
        <v>25</v>
      </c>
      <c r="U6" s="2">
        <v>26</v>
      </c>
      <c r="V6" s="2">
        <v>27</v>
      </c>
      <c r="W6" s="2">
        <v>28</v>
      </c>
      <c r="X6" s="2">
        <v>29</v>
      </c>
      <c r="Y6" s="2">
        <v>30</v>
      </c>
      <c r="Z6" s="2">
        <v>31</v>
      </c>
      <c r="AA6" s="2">
        <v>32</v>
      </c>
      <c r="AB6" s="2">
        <v>33</v>
      </c>
      <c r="AC6" s="2">
        <v>34</v>
      </c>
      <c r="AD6" s="2">
        <v>35</v>
      </c>
      <c r="AE6" s="2">
        <v>36</v>
      </c>
      <c r="AF6" s="2">
        <v>40</v>
      </c>
      <c r="AG6" s="2">
        <v>41</v>
      </c>
      <c r="AH6" s="2">
        <v>42</v>
      </c>
      <c r="AI6" s="2">
        <v>43</v>
      </c>
      <c r="AJ6" s="2">
        <v>44</v>
      </c>
      <c r="AK6" s="2">
        <v>45</v>
      </c>
      <c r="AL6" s="2">
        <v>46</v>
      </c>
      <c r="AM6" s="2">
        <v>47</v>
      </c>
      <c r="AN6" s="2">
        <v>48</v>
      </c>
      <c r="AO6" s="2">
        <v>49</v>
      </c>
      <c r="AP6" s="2">
        <v>50</v>
      </c>
      <c r="AQ6" s="2">
        <v>51</v>
      </c>
      <c r="AR6" s="2">
        <v>52</v>
      </c>
      <c r="AS6" s="2">
        <v>53</v>
      </c>
      <c r="AT6" s="2">
        <v>54</v>
      </c>
      <c r="AU6" s="2">
        <v>55</v>
      </c>
      <c r="AV6" s="2">
        <v>56</v>
      </c>
      <c r="AW6" s="2">
        <v>57</v>
      </c>
      <c r="AX6" s="2">
        <v>58</v>
      </c>
      <c r="AY6" s="2">
        <v>59</v>
      </c>
      <c r="AZ6" s="2">
        <v>60</v>
      </c>
      <c r="BA6" s="2">
        <v>61</v>
      </c>
      <c r="BB6" s="2">
        <v>62</v>
      </c>
      <c r="BC6" s="2">
        <v>63</v>
      </c>
      <c r="BD6" s="2">
        <v>64</v>
      </c>
      <c r="BE6" s="2">
        <v>65</v>
      </c>
      <c r="BF6" s="2">
        <v>66</v>
      </c>
      <c r="BG6" s="2">
        <v>67</v>
      </c>
      <c r="BH6" s="2">
        <v>68</v>
      </c>
      <c r="BI6" s="2">
        <v>69</v>
      </c>
      <c r="BJ6" s="2">
        <v>70</v>
      </c>
      <c r="BK6" s="2">
        <v>71</v>
      </c>
      <c r="BL6" s="2">
        <v>72</v>
      </c>
      <c r="BM6" s="2">
        <v>73</v>
      </c>
      <c r="BN6" s="2">
        <v>74</v>
      </c>
      <c r="BO6" s="2">
        <v>75</v>
      </c>
      <c r="BP6" s="2">
        <v>76</v>
      </c>
      <c r="BQ6" s="2">
        <v>77</v>
      </c>
      <c r="BR6" s="2">
        <v>78</v>
      </c>
      <c r="BS6" s="2">
        <v>79</v>
      </c>
      <c r="BT6" s="2">
        <v>80</v>
      </c>
      <c r="BU6" s="2">
        <v>81</v>
      </c>
      <c r="BV6" s="2">
        <v>82</v>
      </c>
      <c r="BW6" s="2">
        <v>83</v>
      </c>
      <c r="BX6" s="2">
        <v>84</v>
      </c>
      <c r="BY6" s="2">
        <v>85</v>
      </c>
      <c r="BZ6" s="2">
        <v>86</v>
      </c>
      <c r="CA6" s="2">
        <v>87</v>
      </c>
      <c r="CB6" s="2">
        <v>88</v>
      </c>
      <c r="CC6" s="2">
        <v>89</v>
      </c>
      <c r="CD6" s="2">
        <v>90</v>
      </c>
      <c r="CE6" s="2">
        <v>91</v>
      </c>
      <c r="CF6" s="2">
        <v>92</v>
      </c>
      <c r="CG6" s="2">
        <v>93</v>
      </c>
      <c r="CH6" s="2">
        <v>94</v>
      </c>
      <c r="CI6" s="2">
        <v>95</v>
      </c>
      <c r="CJ6" s="2">
        <v>96</v>
      </c>
      <c r="CK6" s="2">
        <v>97</v>
      </c>
      <c r="CL6" s="2">
        <v>98</v>
      </c>
      <c r="CM6" s="2">
        <v>99</v>
      </c>
    </row>
    <row r="7" spans="1:91" ht="15" customHeight="1">
      <c r="A7" s="67">
        <v>300</v>
      </c>
      <c r="B7" s="64">
        <v>0.2</v>
      </c>
      <c r="C7" s="64">
        <v>0.5</v>
      </c>
      <c r="D7" s="64"/>
      <c r="E7" s="90">
        <v>221</v>
      </c>
      <c r="F7" s="90">
        <v>221</v>
      </c>
      <c r="G7" s="90">
        <v>221</v>
      </c>
      <c r="H7" s="90">
        <v>221</v>
      </c>
      <c r="I7" s="90">
        <v>221</v>
      </c>
      <c r="J7" s="90">
        <v>221</v>
      </c>
      <c r="K7" s="90">
        <v>221</v>
      </c>
      <c r="L7" s="90">
        <v>221</v>
      </c>
      <c r="M7" s="90">
        <v>221</v>
      </c>
      <c r="N7" s="90">
        <v>221</v>
      </c>
      <c r="O7" s="90">
        <v>221</v>
      </c>
      <c r="P7" s="90">
        <v>221</v>
      </c>
      <c r="Q7" s="90">
        <v>221</v>
      </c>
      <c r="R7" s="90">
        <v>221</v>
      </c>
      <c r="S7" s="90">
        <v>221</v>
      </c>
      <c r="T7" s="90">
        <v>221</v>
      </c>
      <c r="U7" s="90">
        <v>221</v>
      </c>
      <c r="V7" s="90">
        <v>221</v>
      </c>
      <c r="W7" s="90">
        <v>221</v>
      </c>
      <c r="X7" s="90">
        <v>221</v>
      </c>
      <c r="Y7" s="90">
        <v>221</v>
      </c>
      <c r="Z7" s="90">
        <v>221</v>
      </c>
      <c r="AA7" s="90">
        <v>221</v>
      </c>
      <c r="AB7" s="90">
        <v>221</v>
      </c>
      <c r="AC7" s="90">
        <v>221</v>
      </c>
      <c r="AD7" s="90">
        <v>221</v>
      </c>
      <c r="AE7" s="90">
        <v>221</v>
      </c>
      <c r="AF7" s="90">
        <v>221</v>
      </c>
      <c r="AG7" s="90">
        <v>221</v>
      </c>
      <c r="AH7" s="90">
        <v>221</v>
      </c>
      <c r="AI7" s="90">
        <v>221</v>
      </c>
      <c r="AJ7" s="90">
        <v>221</v>
      </c>
      <c r="AK7" s="90">
        <v>221</v>
      </c>
      <c r="AL7" s="90">
        <v>221</v>
      </c>
      <c r="AM7" s="90">
        <v>221</v>
      </c>
      <c r="AN7" s="90">
        <v>221</v>
      </c>
      <c r="AO7" s="90">
        <v>221</v>
      </c>
      <c r="AP7" s="90">
        <v>167</v>
      </c>
      <c r="AQ7" s="90">
        <v>167</v>
      </c>
      <c r="AR7" s="90">
        <v>167</v>
      </c>
      <c r="AS7" s="90">
        <v>167</v>
      </c>
      <c r="AT7" s="90">
        <v>167</v>
      </c>
      <c r="AU7" s="90">
        <v>167</v>
      </c>
      <c r="AV7" s="90">
        <v>167</v>
      </c>
      <c r="AW7" s="90">
        <v>167</v>
      </c>
      <c r="AX7" s="90">
        <v>167</v>
      </c>
      <c r="AY7" s="90">
        <v>167</v>
      </c>
      <c r="AZ7" s="90">
        <v>167</v>
      </c>
      <c r="BA7" s="90">
        <v>167</v>
      </c>
      <c r="BB7" s="90">
        <v>167</v>
      </c>
      <c r="BC7" s="90">
        <v>167</v>
      </c>
      <c r="BD7" s="90">
        <v>167</v>
      </c>
      <c r="BE7" s="90">
        <v>167</v>
      </c>
      <c r="BF7" s="90">
        <v>167</v>
      </c>
      <c r="BG7" s="90">
        <v>167</v>
      </c>
      <c r="BH7" s="90">
        <v>167</v>
      </c>
      <c r="BI7" s="90">
        <v>167</v>
      </c>
      <c r="BJ7" s="90">
        <v>167</v>
      </c>
      <c r="BK7" s="90">
        <v>167</v>
      </c>
      <c r="BL7" s="90">
        <v>167</v>
      </c>
      <c r="BM7" s="90">
        <v>167</v>
      </c>
      <c r="BN7" s="90">
        <v>167</v>
      </c>
      <c r="BO7" s="90">
        <v>167</v>
      </c>
      <c r="BP7" s="90">
        <v>173</v>
      </c>
      <c r="BQ7" s="90">
        <v>173</v>
      </c>
      <c r="BR7" s="90">
        <v>173</v>
      </c>
      <c r="BS7" s="90">
        <v>173</v>
      </c>
      <c r="BT7" s="90">
        <v>167</v>
      </c>
      <c r="BU7" s="90">
        <v>167</v>
      </c>
      <c r="BV7" s="90">
        <v>167</v>
      </c>
      <c r="BW7" s="90">
        <v>167</v>
      </c>
      <c r="BX7" s="90">
        <v>167</v>
      </c>
      <c r="BY7" s="90">
        <v>167</v>
      </c>
      <c r="BZ7" s="90">
        <v>167</v>
      </c>
      <c r="CA7" s="90">
        <v>167</v>
      </c>
      <c r="CB7" s="90">
        <v>167</v>
      </c>
      <c r="CC7" s="90">
        <v>167</v>
      </c>
      <c r="CD7" s="90">
        <v>173</v>
      </c>
      <c r="CE7" s="90">
        <v>173</v>
      </c>
      <c r="CF7" s="90">
        <v>173</v>
      </c>
      <c r="CG7" s="90">
        <v>187</v>
      </c>
      <c r="CH7" s="90">
        <v>187</v>
      </c>
      <c r="CI7" s="90">
        <v>173</v>
      </c>
      <c r="CJ7" s="39">
        <v>173</v>
      </c>
      <c r="CK7" s="39">
        <v>187</v>
      </c>
      <c r="CL7" s="39">
        <v>187</v>
      </c>
      <c r="CM7" s="39">
        <v>187</v>
      </c>
    </row>
    <row r="8" spans="1:91" ht="15" customHeight="1">
      <c r="A8" s="2">
        <v>700</v>
      </c>
      <c r="B8" s="64">
        <v>0.4</v>
      </c>
      <c r="C8" s="64">
        <v>1</v>
      </c>
      <c r="D8" s="64"/>
      <c r="E8" s="90">
        <v>232</v>
      </c>
      <c r="F8" s="90">
        <v>232</v>
      </c>
      <c r="G8" s="90">
        <v>232</v>
      </c>
      <c r="H8" s="90">
        <v>232</v>
      </c>
      <c r="I8" s="90">
        <v>232</v>
      </c>
      <c r="J8" s="90">
        <v>232</v>
      </c>
      <c r="K8" s="90">
        <v>232</v>
      </c>
      <c r="L8" s="90">
        <v>232</v>
      </c>
      <c r="M8" s="90">
        <v>232</v>
      </c>
      <c r="N8" s="90">
        <v>232</v>
      </c>
      <c r="O8" s="90">
        <v>232</v>
      </c>
      <c r="P8" s="90">
        <v>232</v>
      </c>
      <c r="Q8" s="90">
        <v>232</v>
      </c>
      <c r="R8" s="90">
        <v>232</v>
      </c>
      <c r="S8" s="90">
        <v>232</v>
      </c>
      <c r="T8" s="90">
        <v>232</v>
      </c>
      <c r="U8" s="90">
        <v>232</v>
      </c>
      <c r="V8" s="90">
        <v>232</v>
      </c>
      <c r="W8" s="90">
        <v>232</v>
      </c>
      <c r="X8" s="90">
        <v>232</v>
      </c>
      <c r="Y8" s="90">
        <v>232</v>
      </c>
      <c r="Z8" s="90">
        <v>232</v>
      </c>
      <c r="AA8" s="90">
        <v>232</v>
      </c>
      <c r="AB8" s="90">
        <v>232</v>
      </c>
      <c r="AC8" s="90">
        <v>232</v>
      </c>
      <c r="AD8" s="90">
        <v>232</v>
      </c>
      <c r="AE8" s="90">
        <v>232</v>
      </c>
      <c r="AF8" s="90">
        <v>232</v>
      </c>
      <c r="AG8" s="90">
        <v>232</v>
      </c>
      <c r="AH8" s="90">
        <v>232</v>
      </c>
      <c r="AI8" s="90">
        <v>232</v>
      </c>
      <c r="AJ8" s="90">
        <v>232</v>
      </c>
      <c r="AK8" s="90">
        <v>232</v>
      </c>
      <c r="AL8" s="90">
        <v>232</v>
      </c>
      <c r="AM8" s="90">
        <v>232</v>
      </c>
      <c r="AN8" s="90">
        <v>232</v>
      </c>
      <c r="AO8" s="90">
        <v>232</v>
      </c>
      <c r="AP8" s="90">
        <v>175</v>
      </c>
      <c r="AQ8" s="90">
        <v>175</v>
      </c>
      <c r="AR8" s="90">
        <v>175</v>
      </c>
      <c r="AS8" s="90">
        <v>175</v>
      </c>
      <c r="AT8" s="90">
        <v>175</v>
      </c>
      <c r="AU8" s="90">
        <v>175</v>
      </c>
      <c r="AV8" s="90">
        <v>175</v>
      </c>
      <c r="AW8" s="90">
        <v>175</v>
      </c>
      <c r="AX8" s="90">
        <v>175</v>
      </c>
      <c r="AY8" s="90"/>
      <c r="AZ8" s="90">
        <v>175</v>
      </c>
      <c r="BA8" s="90">
        <v>175</v>
      </c>
      <c r="BB8" s="90">
        <v>175</v>
      </c>
      <c r="BC8" s="90">
        <v>175</v>
      </c>
      <c r="BD8" s="90">
        <v>175</v>
      </c>
      <c r="BE8" s="90">
        <v>175</v>
      </c>
      <c r="BF8" s="90">
        <v>175</v>
      </c>
      <c r="BG8" s="90">
        <v>175</v>
      </c>
      <c r="BH8" s="90">
        <v>175</v>
      </c>
      <c r="BI8" s="90">
        <v>175</v>
      </c>
      <c r="BJ8" s="90">
        <v>175</v>
      </c>
      <c r="BK8" s="90">
        <v>175</v>
      </c>
      <c r="BL8" s="90">
        <v>175</v>
      </c>
      <c r="BM8" s="90">
        <v>175</v>
      </c>
      <c r="BN8" s="90">
        <v>175</v>
      </c>
      <c r="BO8" s="90">
        <v>175</v>
      </c>
      <c r="BP8" s="90">
        <v>182</v>
      </c>
      <c r="BQ8" s="90">
        <v>182</v>
      </c>
      <c r="BR8" s="90">
        <v>182</v>
      </c>
      <c r="BS8" s="90">
        <v>182</v>
      </c>
      <c r="BT8" s="90">
        <v>175</v>
      </c>
      <c r="BU8" s="90">
        <v>175</v>
      </c>
      <c r="BV8" s="90">
        <v>175</v>
      </c>
      <c r="BW8" s="90">
        <v>175</v>
      </c>
      <c r="BX8" s="90">
        <v>175</v>
      </c>
      <c r="BY8" s="90">
        <v>175</v>
      </c>
      <c r="BZ8" s="90">
        <v>175</v>
      </c>
      <c r="CA8" s="90">
        <v>175</v>
      </c>
      <c r="CB8" s="90">
        <v>175</v>
      </c>
      <c r="CC8" s="90">
        <v>175</v>
      </c>
      <c r="CD8" s="90">
        <v>182</v>
      </c>
      <c r="CE8" s="90">
        <v>182</v>
      </c>
      <c r="CF8" s="90">
        <v>182</v>
      </c>
      <c r="CG8" s="90">
        <v>196</v>
      </c>
      <c r="CH8" s="90">
        <v>196</v>
      </c>
      <c r="CI8" s="90">
        <v>182</v>
      </c>
      <c r="CJ8" s="39">
        <v>182</v>
      </c>
      <c r="CK8" s="39">
        <v>196</v>
      </c>
      <c r="CL8" s="39">
        <v>196</v>
      </c>
      <c r="CM8" s="39">
        <v>196</v>
      </c>
    </row>
    <row r="9" spans="1:91" ht="15" customHeight="1">
      <c r="A9" s="2">
        <v>875</v>
      </c>
      <c r="B9" s="64">
        <v>0.5</v>
      </c>
      <c r="C9" s="64"/>
      <c r="D9" s="64">
        <v>1</v>
      </c>
      <c r="E9" s="90">
        <v>253</v>
      </c>
      <c r="F9" s="90">
        <v>253</v>
      </c>
      <c r="G9" s="90">
        <v>253</v>
      </c>
      <c r="H9" s="90">
        <v>253</v>
      </c>
      <c r="I9" s="90">
        <v>253</v>
      </c>
      <c r="J9" s="90">
        <v>253</v>
      </c>
      <c r="K9" s="90">
        <v>253</v>
      </c>
      <c r="L9" s="90">
        <v>253</v>
      </c>
      <c r="M9" s="90">
        <v>253</v>
      </c>
      <c r="N9" s="90">
        <v>253</v>
      </c>
      <c r="O9" s="90">
        <v>253</v>
      </c>
      <c r="P9" s="90">
        <v>253</v>
      </c>
      <c r="Q9" s="90">
        <v>253</v>
      </c>
      <c r="R9" s="90">
        <v>253</v>
      </c>
      <c r="S9" s="90">
        <v>253</v>
      </c>
      <c r="T9" s="90">
        <v>253</v>
      </c>
      <c r="U9" s="90">
        <v>253</v>
      </c>
      <c r="V9" s="90">
        <v>253</v>
      </c>
      <c r="W9" s="90">
        <v>253</v>
      </c>
      <c r="X9" s="90">
        <v>253</v>
      </c>
      <c r="Y9" s="90">
        <v>253</v>
      </c>
      <c r="Z9" s="90">
        <v>253</v>
      </c>
      <c r="AA9" s="90">
        <v>253</v>
      </c>
      <c r="AB9" s="90">
        <v>253</v>
      </c>
      <c r="AC9" s="90">
        <v>253</v>
      </c>
      <c r="AD9" s="90">
        <v>253</v>
      </c>
      <c r="AE9" s="90">
        <v>253</v>
      </c>
      <c r="AF9" s="90">
        <v>253</v>
      </c>
      <c r="AG9" s="90">
        <v>253</v>
      </c>
      <c r="AH9" s="90">
        <v>253</v>
      </c>
      <c r="AI9" s="90">
        <v>253</v>
      </c>
      <c r="AJ9" s="90">
        <v>253</v>
      </c>
      <c r="AK9" s="90">
        <v>253</v>
      </c>
      <c r="AL9" s="90">
        <v>253</v>
      </c>
      <c r="AM9" s="90">
        <v>253</v>
      </c>
      <c r="AN9" s="90">
        <v>253</v>
      </c>
      <c r="AO9" s="90">
        <v>253</v>
      </c>
      <c r="AP9" s="90">
        <v>190</v>
      </c>
      <c r="AQ9" s="90">
        <v>190</v>
      </c>
      <c r="AR9" s="90">
        <v>190</v>
      </c>
      <c r="AS9" s="90">
        <v>190</v>
      </c>
      <c r="AT9" s="90">
        <v>190</v>
      </c>
      <c r="AU9" s="90">
        <v>190</v>
      </c>
      <c r="AV9" s="90">
        <v>190</v>
      </c>
      <c r="AW9" s="90">
        <v>190</v>
      </c>
      <c r="AX9" s="90">
        <v>190</v>
      </c>
      <c r="AY9" s="90"/>
      <c r="AZ9" s="90">
        <v>182</v>
      </c>
      <c r="BA9" s="90">
        <v>182</v>
      </c>
      <c r="BB9" s="90">
        <v>182</v>
      </c>
      <c r="BC9" s="90">
        <v>182</v>
      </c>
      <c r="BD9" s="90">
        <v>182</v>
      </c>
      <c r="BE9" s="90">
        <v>182</v>
      </c>
      <c r="BF9" s="90">
        <v>182</v>
      </c>
      <c r="BG9" s="90">
        <v>182</v>
      </c>
      <c r="BH9" s="90">
        <v>190</v>
      </c>
      <c r="BI9" s="90">
        <v>190</v>
      </c>
      <c r="BJ9" s="90">
        <v>190</v>
      </c>
      <c r="BK9" s="90">
        <v>190</v>
      </c>
      <c r="BL9" s="90">
        <v>190</v>
      </c>
      <c r="BM9" s="90">
        <v>190</v>
      </c>
      <c r="BN9" s="90">
        <v>190</v>
      </c>
      <c r="BO9" s="90">
        <v>190</v>
      </c>
      <c r="BP9" s="90">
        <v>197</v>
      </c>
      <c r="BQ9" s="90">
        <v>197</v>
      </c>
      <c r="BR9" s="90">
        <v>197</v>
      </c>
      <c r="BS9" s="90">
        <v>197</v>
      </c>
      <c r="BT9" s="90">
        <v>190</v>
      </c>
      <c r="BU9" s="90">
        <v>190</v>
      </c>
      <c r="BV9" s="90">
        <v>190</v>
      </c>
      <c r="BW9" s="90">
        <v>190</v>
      </c>
      <c r="BX9" s="90">
        <v>190</v>
      </c>
      <c r="BY9" s="90">
        <v>190</v>
      </c>
      <c r="BZ9" s="90">
        <v>190</v>
      </c>
      <c r="CA9" s="90">
        <v>190</v>
      </c>
      <c r="CB9" s="90">
        <v>190</v>
      </c>
      <c r="CC9" s="90">
        <v>190</v>
      </c>
      <c r="CD9" s="90">
        <v>197</v>
      </c>
      <c r="CE9" s="90">
        <v>197</v>
      </c>
      <c r="CF9" s="90">
        <v>197</v>
      </c>
      <c r="CG9" s="90">
        <v>206</v>
      </c>
      <c r="CH9" s="90">
        <v>206</v>
      </c>
      <c r="CI9" s="90">
        <v>197</v>
      </c>
      <c r="CJ9" s="39">
        <v>197</v>
      </c>
      <c r="CK9" s="39">
        <v>206</v>
      </c>
      <c r="CL9" s="39">
        <v>206</v>
      </c>
      <c r="CM9" s="39">
        <v>206</v>
      </c>
    </row>
    <row r="10" spans="1:91" ht="15" customHeight="1">
      <c r="A10" s="2">
        <v>1050</v>
      </c>
      <c r="B10" s="64">
        <v>0.6</v>
      </c>
      <c r="C10" s="64"/>
      <c r="D10" s="64"/>
      <c r="E10" s="90">
        <v>265</v>
      </c>
      <c r="F10" s="90">
        <v>265</v>
      </c>
      <c r="G10" s="90">
        <v>265</v>
      </c>
      <c r="H10" s="90">
        <v>265</v>
      </c>
      <c r="I10" s="90">
        <v>265</v>
      </c>
      <c r="J10" s="90">
        <v>265</v>
      </c>
      <c r="K10" s="90">
        <v>265</v>
      </c>
      <c r="L10" s="90">
        <v>265</v>
      </c>
      <c r="M10" s="90">
        <v>265</v>
      </c>
      <c r="N10" s="90">
        <v>265</v>
      </c>
      <c r="O10" s="90">
        <v>265</v>
      </c>
      <c r="P10" s="90">
        <v>265</v>
      </c>
      <c r="Q10" s="90">
        <v>265</v>
      </c>
      <c r="R10" s="90">
        <v>265</v>
      </c>
      <c r="S10" s="90">
        <v>265</v>
      </c>
      <c r="T10" s="90">
        <v>265</v>
      </c>
      <c r="U10" s="90">
        <v>265</v>
      </c>
      <c r="V10" s="90">
        <v>265</v>
      </c>
      <c r="W10" s="90">
        <v>265</v>
      </c>
      <c r="X10" s="90">
        <v>265</v>
      </c>
      <c r="Y10" s="90">
        <v>265</v>
      </c>
      <c r="Z10" s="90">
        <v>265</v>
      </c>
      <c r="AA10" s="90">
        <v>265</v>
      </c>
      <c r="AB10" s="90">
        <v>265</v>
      </c>
      <c r="AC10" s="90">
        <v>265</v>
      </c>
      <c r="AD10" s="90">
        <v>265</v>
      </c>
      <c r="AE10" s="90">
        <v>265</v>
      </c>
      <c r="AF10" s="90">
        <v>265</v>
      </c>
      <c r="AG10" s="90">
        <v>265</v>
      </c>
      <c r="AH10" s="90">
        <v>265</v>
      </c>
      <c r="AI10" s="90">
        <v>265</v>
      </c>
      <c r="AJ10" s="90">
        <v>265</v>
      </c>
      <c r="AK10" s="90">
        <v>265</v>
      </c>
      <c r="AL10" s="90">
        <v>265</v>
      </c>
      <c r="AM10" s="90">
        <v>265</v>
      </c>
      <c r="AN10" s="90">
        <v>265</v>
      </c>
      <c r="AO10" s="90">
        <v>265</v>
      </c>
      <c r="AP10" s="90">
        <v>203</v>
      </c>
      <c r="AQ10" s="90">
        <v>203</v>
      </c>
      <c r="AR10" s="90">
        <v>203</v>
      </c>
      <c r="AS10" s="90">
        <v>203</v>
      </c>
      <c r="AT10" s="90">
        <v>203</v>
      </c>
      <c r="AU10" s="90">
        <v>203</v>
      </c>
      <c r="AV10" s="90">
        <v>203</v>
      </c>
      <c r="AW10" s="90">
        <v>203</v>
      </c>
      <c r="AX10" s="90">
        <v>203</v>
      </c>
      <c r="AY10" s="90"/>
      <c r="AZ10" s="90">
        <v>194</v>
      </c>
      <c r="BA10" s="90">
        <v>194</v>
      </c>
      <c r="BB10" s="90">
        <v>194</v>
      </c>
      <c r="BC10" s="90">
        <v>194</v>
      </c>
      <c r="BD10" s="90">
        <v>194</v>
      </c>
      <c r="BE10" s="90">
        <v>194</v>
      </c>
      <c r="BF10" s="90">
        <v>194</v>
      </c>
      <c r="BG10" s="90">
        <v>194</v>
      </c>
      <c r="BH10" s="90">
        <v>203</v>
      </c>
      <c r="BI10" s="90">
        <v>203</v>
      </c>
      <c r="BJ10" s="90">
        <v>203</v>
      </c>
      <c r="BK10" s="90">
        <v>203</v>
      </c>
      <c r="BL10" s="90">
        <v>203</v>
      </c>
      <c r="BM10" s="90">
        <v>203</v>
      </c>
      <c r="BN10" s="90">
        <v>203</v>
      </c>
      <c r="BO10" s="90">
        <v>203</v>
      </c>
      <c r="BP10" s="90">
        <v>211</v>
      </c>
      <c r="BQ10" s="90">
        <v>211</v>
      </c>
      <c r="BR10" s="90">
        <v>211</v>
      </c>
      <c r="BS10" s="90">
        <v>211</v>
      </c>
      <c r="BT10" s="90">
        <v>203</v>
      </c>
      <c r="BU10" s="90">
        <v>203</v>
      </c>
      <c r="BV10" s="90">
        <v>203</v>
      </c>
      <c r="BW10" s="90">
        <v>203</v>
      </c>
      <c r="BX10" s="90">
        <v>203</v>
      </c>
      <c r="BY10" s="90">
        <v>203</v>
      </c>
      <c r="BZ10" s="90">
        <v>203</v>
      </c>
      <c r="CA10" s="90">
        <v>203</v>
      </c>
      <c r="CB10" s="90">
        <v>203</v>
      </c>
      <c r="CC10" s="90">
        <v>203</v>
      </c>
      <c r="CD10" s="90">
        <v>211</v>
      </c>
      <c r="CE10" s="90">
        <v>211</v>
      </c>
      <c r="CF10" s="90">
        <v>211</v>
      </c>
      <c r="CG10" s="90">
        <v>220</v>
      </c>
      <c r="CH10" s="90">
        <v>220</v>
      </c>
      <c r="CI10" s="90">
        <v>211</v>
      </c>
      <c r="CJ10" s="39">
        <v>211</v>
      </c>
      <c r="CK10" s="39">
        <v>220</v>
      </c>
      <c r="CL10" s="39">
        <v>220</v>
      </c>
      <c r="CM10" s="39">
        <v>220</v>
      </c>
    </row>
    <row r="11" spans="1:91" ht="15" customHeight="1">
      <c r="A11" s="2">
        <v>1400</v>
      </c>
      <c r="B11" s="64">
        <v>0.8</v>
      </c>
      <c r="C11" s="64">
        <v>2</v>
      </c>
      <c r="D11" s="64"/>
      <c r="E11" s="90">
        <v>287</v>
      </c>
      <c r="F11" s="90">
        <v>287</v>
      </c>
      <c r="G11" s="90">
        <v>287</v>
      </c>
      <c r="H11" s="90">
        <v>287</v>
      </c>
      <c r="I11" s="90">
        <v>287</v>
      </c>
      <c r="J11" s="90">
        <v>287</v>
      </c>
      <c r="K11" s="90">
        <v>287</v>
      </c>
      <c r="L11" s="90">
        <v>287</v>
      </c>
      <c r="M11" s="90">
        <v>287</v>
      </c>
      <c r="N11" s="90">
        <v>287</v>
      </c>
      <c r="O11" s="90">
        <v>287</v>
      </c>
      <c r="P11" s="90">
        <v>287</v>
      </c>
      <c r="Q11" s="90">
        <v>287</v>
      </c>
      <c r="R11" s="90">
        <v>287</v>
      </c>
      <c r="S11" s="90">
        <v>287</v>
      </c>
      <c r="T11" s="90">
        <v>287</v>
      </c>
      <c r="U11" s="90">
        <v>287</v>
      </c>
      <c r="V11" s="90">
        <v>287</v>
      </c>
      <c r="W11" s="90">
        <v>287</v>
      </c>
      <c r="X11" s="90">
        <v>287</v>
      </c>
      <c r="Y11" s="90">
        <v>287</v>
      </c>
      <c r="Z11" s="90">
        <v>287</v>
      </c>
      <c r="AA11" s="90">
        <v>287</v>
      </c>
      <c r="AB11" s="90">
        <v>287</v>
      </c>
      <c r="AC11" s="90">
        <v>287</v>
      </c>
      <c r="AD11" s="90">
        <v>287</v>
      </c>
      <c r="AE11" s="90">
        <v>287</v>
      </c>
      <c r="AF11" s="90">
        <v>287</v>
      </c>
      <c r="AG11" s="90">
        <v>287</v>
      </c>
      <c r="AH11" s="90">
        <v>287</v>
      </c>
      <c r="AI11" s="90">
        <v>287</v>
      </c>
      <c r="AJ11" s="90">
        <v>287</v>
      </c>
      <c r="AK11" s="90">
        <v>287</v>
      </c>
      <c r="AL11" s="90">
        <v>287</v>
      </c>
      <c r="AM11" s="90">
        <v>287</v>
      </c>
      <c r="AN11" s="90">
        <v>287</v>
      </c>
      <c r="AO11" s="90">
        <v>287</v>
      </c>
      <c r="AP11" s="90">
        <v>229</v>
      </c>
      <c r="AQ11" s="90">
        <v>229</v>
      </c>
      <c r="AR11" s="90">
        <v>229</v>
      </c>
      <c r="AS11" s="90">
        <v>229</v>
      </c>
      <c r="AT11" s="90">
        <v>229</v>
      </c>
      <c r="AU11" s="90">
        <v>229</v>
      </c>
      <c r="AV11" s="90">
        <v>229</v>
      </c>
      <c r="AW11" s="90">
        <v>229</v>
      </c>
      <c r="AX11" s="90">
        <v>229</v>
      </c>
      <c r="AY11" s="90"/>
      <c r="AZ11" s="90">
        <v>217</v>
      </c>
      <c r="BA11" s="90">
        <v>217</v>
      </c>
      <c r="BB11" s="90">
        <v>217</v>
      </c>
      <c r="BC11" s="90">
        <v>217</v>
      </c>
      <c r="BD11" s="90">
        <v>217</v>
      </c>
      <c r="BE11" s="90">
        <v>217</v>
      </c>
      <c r="BF11" s="90">
        <v>217</v>
      </c>
      <c r="BG11" s="90">
        <v>217</v>
      </c>
      <c r="BH11" s="90">
        <v>229</v>
      </c>
      <c r="BI11" s="90">
        <v>229</v>
      </c>
      <c r="BJ11" s="90">
        <v>229</v>
      </c>
      <c r="BK11" s="90">
        <v>229</v>
      </c>
      <c r="BL11" s="90">
        <v>229</v>
      </c>
      <c r="BM11" s="90">
        <v>229</v>
      </c>
      <c r="BN11" s="90">
        <v>229</v>
      </c>
      <c r="BO11" s="90">
        <v>229</v>
      </c>
      <c r="BP11" s="90">
        <v>237</v>
      </c>
      <c r="BQ11" s="90">
        <v>237</v>
      </c>
      <c r="BR11" s="90">
        <v>237</v>
      </c>
      <c r="BS11" s="90">
        <v>237</v>
      </c>
      <c r="BT11" s="90">
        <v>229</v>
      </c>
      <c r="BU11" s="90">
        <v>229</v>
      </c>
      <c r="BV11" s="90">
        <v>229</v>
      </c>
      <c r="BW11" s="90">
        <v>229</v>
      </c>
      <c r="BX11" s="90">
        <v>229</v>
      </c>
      <c r="BY11" s="90">
        <v>229</v>
      </c>
      <c r="BZ11" s="90">
        <v>229</v>
      </c>
      <c r="CA11" s="90">
        <v>229</v>
      </c>
      <c r="CB11" s="90">
        <v>229</v>
      </c>
      <c r="CC11" s="90">
        <v>229</v>
      </c>
      <c r="CD11" s="90">
        <v>237</v>
      </c>
      <c r="CE11" s="90">
        <v>237</v>
      </c>
      <c r="CF11" s="90">
        <v>237</v>
      </c>
      <c r="CG11" s="90">
        <v>247</v>
      </c>
      <c r="CH11" s="90">
        <v>247</v>
      </c>
      <c r="CI11" s="90">
        <v>237</v>
      </c>
      <c r="CJ11" s="39">
        <v>237</v>
      </c>
      <c r="CK11" s="39">
        <v>247</v>
      </c>
      <c r="CL11" s="39">
        <v>247</v>
      </c>
      <c r="CM11" s="39">
        <v>247</v>
      </c>
    </row>
    <row r="12" spans="1:91" ht="15" customHeight="1">
      <c r="A12" s="2">
        <v>1750</v>
      </c>
      <c r="B12" s="64">
        <v>1</v>
      </c>
      <c r="C12" s="64"/>
      <c r="D12" s="64">
        <v>2</v>
      </c>
      <c r="E12" s="90">
        <v>307</v>
      </c>
      <c r="F12" s="90">
        <v>307</v>
      </c>
      <c r="G12" s="90">
        <v>307</v>
      </c>
      <c r="H12" s="90">
        <v>307</v>
      </c>
      <c r="I12" s="90">
        <v>307</v>
      </c>
      <c r="J12" s="90">
        <v>307</v>
      </c>
      <c r="K12" s="90">
        <v>307</v>
      </c>
      <c r="L12" s="90">
        <v>307</v>
      </c>
      <c r="M12" s="90">
        <v>307</v>
      </c>
      <c r="N12" s="90">
        <v>307</v>
      </c>
      <c r="O12" s="90">
        <v>307</v>
      </c>
      <c r="P12" s="90">
        <v>307</v>
      </c>
      <c r="Q12" s="90">
        <v>307</v>
      </c>
      <c r="R12" s="90">
        <v>307</v>
      </c>
      <c r="S12" s="90">
        <v>307</v>
      </c>
      <c r="T12" s="90">
        <v>307</v>
      </c>
      <c r="U12" s="90">
        <v>307</v>
      </c>
      <c r="V12" s="90">
        <v>307</v>
      </c>
      <c r="W12" s="90">
        <v>307</v>
      </c>
      <c r="X12" s="90">
        <v>307</v>
      </c>
      <c r="Y12" s="90">
        <v>307</v>
      </c>
      <c r="Z12" s="90">
        <v>307</v>
      </c>
      <c r="AA12" s="90">
        <v>307</v>
      </c>
      <c r="AB12" s="90">
        <v>307</v>
      </c>
      <c r="AC12" s="90">
        <v>307</v>
      </c>
      <c r="AD12" s="90">
        <v>307</v>
      </c>
      <c r="AE12" s="90">
        <v>307</v>
      </c>
      <c r="AF12" s="90">
        <v>307</v>
      </c>
      <c r="AG12" s="90">
        <v>307</v>
      </c>
      <c r="AH12" s="90">
        <v>307</v>
      </c>
      <c r="AI12" s="90">
        <v>307</v>
      </c>
      <c r="AJ12" s="90">
        <v>307</v>
      </c>
      <c r="AK12" s="90">
        <v>307</v>
      </c>
      <c r="AL12" s="90">
        <v>307</v>
      </c>
      <c r="AM12" s="90">
        <v>307</v>
      </c>
      <c r="AN12" s="90">
        <v>307</v>
      </c>
      <c r="AO12" s="90">
        <v>307</v>
      </c>
      <c r="AP12" s="90">
        <v>274</v>
      </c>
      <c r="AQ12" s="90">
        <v>274</v>
      </c>
      <c r="AR12" s="90">
        <v>274</v>
      </c>
      <c r="AS12" s="90">
        <v>274</v>
      </c>
      <c r="AT12" s="90">
        <v>274</v>
      </c>
      <c r="AU12" s="90">
        <v>274</v>
      </c>
      <c r="AV12" s="90">
        <v>274</v>
      </c>
      <c r="AW12" s="90">
        <v>274</v>
      </c>
      <c r="AX12" s="90">
        <v>274</v>
      </c>
      <c r="AY12" s="90"/>
      <c r="AZ12" s="90">
        <v>259</v>
      </c>
      <c r="BA12" s="90">
        <v>259</v>
      </c>
      <c r="BB12" s="90">
        <v>259</v>
      </c>
      <c r="BC12" s="90">
        <v>259</v>
      </c>
      <c r="BD12" s="90">
        <v>259</v>
      </c>
      <c r="BE12" s="90">
        <v>259</v>
      </c>
      <c r="BF12" s="90">
        <v>259</v>
      </c>
      <c r="BG12" s="90">
        <v>259</v>
      </c>
      <c r="BH12" s="90">
        <v>274</v>
      </c>
      <c r="BI12" s="90">
        <v>274</v>
      </c>
      <c r="BJ12" s="90">
        <v>274</v>
      </c>
      <c r="BK12" s="90">
        <v>274</v>
      </c>
      <c r="BL12" s="90">
        <v>274</v>
      </c>
      <c r="BM12" s="90">
        <v>274</v>
      </c>
      <c r="BN12" s="90">
        <v>274</v>
      </c>
      <c r="BO12" s="90">
        <v>274</v>
      </c>
      <c r="BP12" s="90">
        <v>284</v>
      </c>
      <c r="BQ12" s="90">
        <v>284</v>
      </c>
      <c r="BR12" s="90">
        <v>284</v>
      </c>
      <c r="BS12" s="90">
        <v>284</v>
      </c>
      <c r="BT12" s="90">
        <v>274</v>
      </c>
      <c r="BU12" s="90">
        <v>274</v>
      </c>
      <c r="BV12" s="90">
        <v>274</v>
      </c>
      <c r="BW12" s="90">
        <v>274</v>
      </c>
      <c r="BX12" s="90">
        <v>274</v>
      </c>
      <c r="BY12" s="90">
        <v>274</v>
      </c>
      <c r="BZ12" s="90">
        <v>274</v>
      </c>
      <c r="CA12" s="90">
        <v>274</v>
      </c>
      <c r="CB12" s="90">
        <v>274</v>
      </c>
      <c r="CC12" s="90">
        <v>274</v>
      </c>
      <c r="CD12" s="90">
        <v>284</v>
      </c>
      <c r="CE12" s="90">
        <v>284</v>
      </c>
      <c r="CF12" s="90">
        <v>284</v>
      </c>
      <c r="CG12" s="90">
        <v>296</v>
      </c>
      <c r="CH12" s="90">
        <v>296</v>
      </c>
      <c r="CI12" s="90">
        <v>284</v>
      </c>
      <c r="CJ12" s="39">
        <v>284</v>
      </c>
      <c r="CK12" s="39">
        <v>296</v>
      </c>
      <c r="CL12" s="39">
        <v>296</v>
      </c>
      <c r="CM12" s="39">
        <v>296</v>
      </c>
    </row>
    <row r="13" spans="1:91" ht="15" customHeight="1">
      <c r="A13" s="2">
        <v>2100</v>
      </c>
      <c r="B13" s="64">
        <v>1.2</v>
      </c>
      <c r="C13" s="64">
        <v>3</v>
      </c>
      <c r="D13" s="64"/>
      <c r="E13" s="90">
        <v>348</v>
      </c>
      <c r="F13" s="90">
        <v>348</v>
      </c>
      <c r="G13" s="90">
        <v>348</v>
      </c>
      <c r="H13" s="90">
        <v>348</v>
      </c>
      <c r="I13" s="90">
        <v>348</v>
      </c>
      <c r="J13" s="90">
        <v>348</v>
      </c>
      <c r="K13" s="90">
        <v>348</v>
      </c>
      <c r="L13" s="90">
        <v>348</v>
      </c>
      <c r="M13" s="90">
        <v>348</v>
      </c>
      <c r="N13" s="90">
        <v>348</v>
      </c>
      <c r="O13" s="90">
        <v>348</v>
      </c>
      <c r="P13" s="90">
        <v>348</v>
      </c>
      <c r="Q13" s="90">
        <v>348</v>
      </c>
      <c r="R13" s="90">
        <v>348</v>
      </c>
      <c r="S13" s="90">
        <v>348</v>
      </c>
      <c r="T13" s="90">
        <v>348</v>
      </c>
      <c r="U13" s="90">
        <v>348</v>
      </c>
      <c r="V13" s="90">
        <v>348</v>
      </c>
      <c r="W13" s="90">
        <v>348</v>
      </c>
      <c r="X13" s="90">
        <v>348</v>
      </c>
      <c r="Y13" s="90">
        <v>348</v>
      </c>
      <c r="Z13" s="90">
        <v>348</v>
      </c>
      <c r="AA13" s="90">
        <v>348</v>
      </c>
      <c r="AB13" s="90">
        <v>348</v>
      </c>
      <c r="AC13" s="90">
        <v>348</v>
      </c>
      <c r="AD13" s="90">
        <v>348</v>
      </c>
      <c r="AE13" s="90">
        <v>348</v>
      </c>
      <c r="AF13" s="90">
        <v>348</v>
      </c>
      <c r="AG13" s="90">
        <v>348</v>
      </c>
      <c r="AH13" s="90">
        <v>348</v>
      </c>
      <c r="AI13" s="90">
        <v>348</v>
      </c>
      <c r="AJ13" s="90">
        <v>348</v>
      </c>
      <c r="AK13" s="90">
        <v>348</v>
      </c>
      <c r="AL13" s="90">
        <v>348</v>
      </c>
      <c r="AM13" s="90">
        <v>348</v>
      </c>
      <c r="AN13" s="90">
        <v>348</v>
      </c>
      <c r="AO13" s="90">
        <v>348</v>
      </c>
      <c r="AP13" s="90">
        <v>301</v>
      </c>
      <c r="AQ13" s="90">
        <v>301</v>
      </c>
      <c r="AR13" s="90">
        <v>301</v>
      </c>
      <c r="AS13" s="90">
        <v>301</v>
      </c>
      <c r="AT13" s="90">
        <v>301</v>
      </c>
      <c r="AU13" s="90">
        <v>301</v>
      </c>
      <c r="AV13" s="90">
        <v>301</v>
      </c>
      <c r="AW13" s="90">
        <v>301</v>
      </c>
      <c r="AX13" s="90">
        <v>301</v>
      </c>
      <c r="AY13" s="90"/>
      <c r="AZ13" s="90">
        <v>285</v>
      </c>
      <c r="BA13" s="90">
        <v>285</v>
      </c>
      <c r="BB13" s="90">
        <v>285</v>
      </c>
      <c r="BC13" s="90">
        <v>285</v>
      </c>
      <c r="BD13" s="90">
        <v>285</v>
      </c>
      <c r="BE13" s="90">
        <v>285</v>
      </c>
      <c r="BF13" s="90">
        <v>285</v>
      </c>
      <c r="BG13" s="90">
        <v>285</v>
      </c>
      <c r="BH13" s="90">
        <v>301</v>
      </c>
      <c r="BI13" s="90">
        <v>301</v>
      </c>
      <c r="BJ13" s="90">
        <v>301</v>
      </c>
      <c r="BK13" s="90">
        <v>301</v>
      </c>
      <c r="BL13" s="90">
        <v>301</v>
      </c>
      <c r="BM13" s="90">
        <v>301</v>
      </c>
      <c r="BN13" s="90">
        <v>301</v>
      </c>
      <c r="BO13" s="90">
        <v>301</v>
      </c>
      <c r="BP13" s="90">
        <v>312</v>
      </c>
      <c r="BQ13" s="90">
        <v>312</v>
      </c>
      <c r="BR13" s="90">
        <v>312</v>
      </c>
      <c r="BS13" s="90">
        <v>312</v>
      </c>
      <c r="BT13" s="90">
        <v>301</v>
      </c>
      <c r="BU13" s="90">
        <v>301</v>
      </c>
      <c r="BV13" s="90">
        <v>301</v>
      </c>
      <c r="BW13" s="90">
        <v>301</v>
      </c>
      <c r="BX13" s="90">
        <v>301</v>
      </c>
      <c r="BY13" s="90">
        <v>301</v>
      </c>
      <c r="BZ13" s="90">
        <v>301</v>
      </c>
      <c r="CA13" s="90">
        <v>301</v>
      </c>
      <c r="CB13" s="90">
        <v>301</v>
      </c>
      <c r="CC13" s="90">
        <v>301</v>
      </c>
      <c r="CD13" s="90">
        <v>312</v>
      </c>
      <c r="CE13" s="90">
        <v>312</v>
      </c>
      <c r="CF13" s="90">
        <v>312</v>
      </c>
      <c r="CG13" s="90">
        <v>325</v>
      </c>
      <c r="CH13" s="90">
        <v>325</v>
      </c>
      <c r="CI13" s="90">
        <v>312</v>
      </c>
      <c r="CJ13" s="39">
        <v>312</v>
      </c>
      <c r="CK13" s="39">
        <v>325</v>
      </c>
      <c r="CL13" s="39">
        <v>325</v>
      </c>
      <c r="CM13" s="39">
        <v>325</v>
      </c>
    </row>
    <row r="14" spans="1:91" ht="15" customHeight="1">
      <c r="A14" s="2">
        <v>2625</v>
      </c>
      <c r="B14" s="64">
        <v>1.5</v>
      </c>
      <c r="C14" s="64"/>
      <c r="D14" s="64">
        <v>3</v>
      </c>
      <c r="E14" s="90">
        <v>382</v>
      </c>
      <c r="F14" s="90">
        <v>382</v>
      </c>
      <c r="G14" s="90">
        <v>382</v>
      </c>
      <c r="H14" s="90">
        <v>382</v>
      </c>
      <c r="I14" s="90">
        <v>382</v>
      </c>
      <c r="J14" s="90">
        <v>382</v>
      </c>
      <c r="K14" s="90">
        <v>382</v>
      </c>
      <c r="L14" s="90">
        <v>382</v>
      </c>
      <c r="M14" s="90">
        <v>382</v>
      </c>
      <c r="N14" s="90">
        <v>382</v>
      </c>
      <c r="O14" s="90">
        <v>382</v>
      </c>
      <c r="P14" s="90">
        <v>382</v>
      </c>
      <c r="Q14" s="90">
        <v>382</v>
      </c>
      <c r="R14" s="90">
        <v>382</v>
      </c>
      <c r="S14" s="90">
        <v>382</v>
      </c>
      <c r="T14" s="90">
        <v>382</v>
      </c>
      <c r="U14" s="90">
        <v>382</v>
      </c>
      <c r="V14" s="90">
        <v>382</v>
      </c>
      <c r="W14" s="90">
        <v>382</v>
      </c>
      <c r="X14" s="90">
        <v>382</v>
      </c>
      <c r="Y14" s="90">
        <v>382</v>
      </c>
      <c r="Z14" s="90">
        <v>382</v>
      </c>
      <c r="AA14" s="90">
        <v>382</v>
      </c>
      <c r="AB14" s="90">
        <v>382</v>
      </c>
      <c r="AC14" s="90">
        <v>382</v>
      </c>
      <c r="AD14" s="90">
        <v>382</v>
      </c>
      <c r="AE14" s="90">
        <v>382</v>
      </c>
      <c r="AF14" s="90">
        <v>382</v>
      </c>
      <c r="AG14" s="90">
        <v>382</v>
      </c>
      <c r="AH14" s="90">
        <v>382</v>
      </c>
      <c r="AI14" s="90">
        <v>382</v>
      </c>
      <c r="AJ14" s="90">
        <v>382</v>
      </c>
      <c r="AK14" s="90">
        <v>382</v>
      </c>
      <c r="AL14" s="90">
        <v>382</v>
      </c>
      <c r="AM14" s="90">
        <v>382</v>
      </c>
      <c r="AN14" s="90">
        <v>382</v>
      </c>
      <c r="AO14" s="90">
        <v>382</v>
      </c>
      <c r="AP14" s="90">
        <v>350</v>
      </c>
      <c r="AQ14" s="90">
        <v>350</v>
      </c>
      <c r="AR14" s="90">
        <v>350</v>
      </c>
      <c r="AS14" s="90">
        <v>350</v>
      </c>
      <c r="AT14" s="90">
        <v>350</v>
      </c>
      <c r="AU14" s="90">
        <v>350</v>
      </c>
      <c r="AV14" s="90">
        <v>350</v>
      </c>
      <c r="AW14" s="90">
        <v>350</v>
      </c>
      <c r="AX14" s="90">
        <v>350</v>
      </c>
      <c r="AY14" s="90"/>
      <c r="AZ14" s="90">
        <v>332</v>
      </c>
      <c r="BA14" s="90">
        <v>332</v>
      </c>
      <c r="BB14" s="90">
        <v>332</v>
      </c>
      <c r="BC14" s="90">
        <v>332</v>
      </c>
      <c r="BD14" s="90">
        <v>332</v>
      </c>
      <c r="BE14" s="90">
        <v>332</v>
      </c>
      <c r="BF14" s="90">
        <v>332</v>
      </c>
      <c r="BG14" s="90">
        <v>332</v>
      </c>
      <c r="BH14" s="90">
        <v>350</v>
      </c>
      <c r="BI14" s="90">
        <v>350</v>
      </c>
      <c r="BJ14" s="90">
        <v>350</v>
      </c>
      <c r="BK14" s="90">
        <v>350</v>
      </c>
      <c r="BL14" s="90">
        <v>350</v>
      </c>
      <c r="BM14" s="90">
        <v>350</v>
      </c>
      <c r="BN14" s="90">
        <v>350</v>
      </c>
      <c r="BO14" s="90">
        <v>350</v>
      </c>
      <c r="BP14" s="90">
        <v>362</v>
      </c>
      <c r="BQ14" s="90">
        <v>362</v>
      </c>
      <c r="BR14" s="90">
        <v>362</v>
      </c>
      <c r="BS14" s="90">
        <v>362</v>
      </c>
      <c r="BT14" s="90">
        <v>350</v>
      </c>
      <c r="BU14" s="90">
        <v>350</v>
      </c>
      <c r="BV14" s="90">
        <v>350</v>
      </c>
      <c r="BW14" s="90">
        <v>350</v>
      </c>
      <c r="BX14" s="90">
        <v>350</v>
      </c>
      <c r="BY14" s="90">
        <v>350</v>
      </c>
      <c r="BZ14" s="90">
        <v>350</v>
      </c>
      <c r="CA14" s="90">
        <v>350</v>
      </c>
      <c r="CB14" s="90">
        <v>350</v>
      </c>
      <c r="CC14" s="90">
        <v>350</v>
      </c>
      <c r="CD14" s="90">
        <v>362</v>
      </c>
      <c r="CE14" s="90">
        <v>362</v>
      </c>
      <c r="CF14" s="90">
        <v>362</v>
      </c>
      <c r="CG14" s="90">
        <v>378</v>
      </c>
      <c r="CH14" s="90">
        <v>378</v>
      </c>
      <c r="CI14" s="90">
        <v>362</v>
      </c>
      <c r="CJ14" s="39">
        <v>362</v>
      </c>
      <c r="CK14" s="39">
        <v>378</v>
      </c>
      <c r="CL14" s="39">
        <v>378</v>
      </c>
      <c r="CM14" s="39">
        <v>378</v>
      </c>
    </row>
    <row r="15" spans="1:91" ht="15" customHeight="1">
      <c r="A15" s="2">
        <v>2800</v>
      </c>
      <c r="B15" s="64">
        <v>1.6</v>
      </c>
      <c r="C15" s="64">
        <v>4</v>
      </c>
      <c r="D15" s="64"/>
      <c r="E15" s="90">
        <v>414</v>
      </c>
      <c r="F15" s="90">
        <v>414</v>
      </c>
      <c r="G15" s="90">
        <v>414</v>
      </c>
      <c r="H15" s="90">
        <v>414</v>
      </c>
      <c r="I15" s="90">
        <v>414</v>
      </c>
      <c r="J15" s="90">
        <v>414</v>
      </c>
      <c r="K15" s="90">
        <v>414</v>
      </c>
      <c r="L15" s="90">
        <v>414</v>
      </c>
      <c r="M15" s="90">
        <v>414</v>
      </c>
      <c r="N15" s="90">
        <v>414</v>
      </c>
      <c r="O15" s="90">
        <v>414</v>
      </c>
      <c r="P15" s="90">
        <v>414</v>
      </c>
      <c r="Q15" s="90">
        <v>414</v>
      </c>
      <c r="R15" s="90">
        <v>414</v>
      </c>
      <c r="S15" s="90">
        <v>414</v>
      </c>
      <c r="T15" s="90">
        <v>414</v>
      </c>
      <c r="U15" s="90">
        <v>414</v>
      </c>
      <c r="V15" s="90">
        <v>414</v>
      </c>
      <c r="W15" s="90">
        <v>414</v>
      </c>
      <c r="X15" s="90">
        <v>414</v>
      </c>
      <c r="Y15" s="90">
        <v>414</v>
      </c>
      <c r="Z15" s="90">
        <v>414</v>
      </c>
      <c r="AA15" s="90">
        <v>414</v>
      </c>
      <c r="AB15" s="90">
        <v>414</v>
      </c>
      <c r="AC15" s="90">
        <v>414</v>
      </c>
      <c r="AD15" s="90">
        <v>414</v>
      </c>
      <c r="AE15" s="90">
        <v>414</v>
      </c>
      <c r="AF15" s="90">
        <v>414</v>
      </c>
      <c r="AG15" s="90">
        <v>414</v>
      </c>
      <c r="AH15" s="90">
        <v>414</v>
      </c>
      <c r="AI15" s="90">
        <v>414</v>
      </c>
      <c r="AJ15" s="90">
        <v>414</v>
      </c>
      <c r="AK15" s="90">
        <v>414</v>
      </c>
      <c r="AL15" s="90">
        <v>414</v>
      </c>
      <c r="AM15" s="90">
        <v>414</v>
      </c>
      <c r="AN15" s="90">
        <v>414</v>
      </c>
      <c r="AO15" s="90">
        <v>414</v>
      </c>
      <c r="AP15" s="90">
        <v>373</v>
      </c>
      <c r="AQ15" s="90">
        <v>373</v>
      </c>
      <c r="AR15" s="90">
        <v>373</v>
      </c>
      <c r="AS15" s="90">
        <v>373</v>
      </c>
      <c r="AT15" s="90">
        <v>373</v>
      </c>
      <c r="AU15" s="90">
        <v>373</v>
      </c>
      <c r="AV15" s="90">
        <v>373</v>
      </c>
      <c r="AW15" s="90">
        <v>373</v>
      </c>
      <c r="AX15" s="90">
        <v>373</v>
      </c>
      <c r="AY15" s="90"/>
      <c r="AZ15" s="90">
        <v>354</v>
      </c>
      <c r="BA15" s="90">
        <v>354</v>
      </c>
      <c r="BB15" s="90">
        <v>354</v>
      </c>
      <c r="BC15" s="90">
        <v>354</v>
      </c>
      <c r="BD15" s="90">
        <v>354</v>
      </c>
      <c r="BE15" s="90">
        <v>354</v>
      </c>
      <c r="BF15" s="90">
        <v>354</v>
      </c>
      <c r="BG15" s="90">
        <v>354</v>
      </c>
      <c r="BH15" s="90">
        <v>373</v>
      </c>
      <c r="BI15" s="90">
        <v>373</v>
      </c>
      <c r="BJ15" s="90">
        <v>373</v>
      </c>
      <c r="BK15" s="90">
        <v>373</v>
      </c>
      <c r="BL15" s="90">
        <v>373</v>
      </c>
      <c r="BM15" s="90">
        <v>373</v>
      </c>
      <c r="BN15" s="90">
        <v>373</v>
      </c>
      <c r="BO15" s="90">
        <v>373</v>
      </c>
      <c r="BP15" s="90">
        <v>386</v>
      </c>
      <c r="BQ15" s="90">
        <v>386</v>
      </c>
      <c r="BR15" s="90">
        <v>386</v>
      </c>
      <c r="BS15" s="90">
        <v>386</v>
      </c>
      <c r="BT15" s="90">
        <v>373</v>
      </c>
      <c r="BU15" s="90">
        <v>373</v>
      </c>
      <c r="BV15" s="90">
        <v>373</v>
      </c>
      <c r="BW15" s="90">
        <v>373</v>
      </c>
      <c r="BX15" s="90">
        <v>373</v>
      </c>
      <c r="BY15" s="90">
        <v>373</v>
      </c>
      <c r="BZ15" s="90">
        <v>373</v>
      </c>
      <c r="CA15" s="90">
        <v>373</v>
      </c>
      <c r="CB15" s="90">
        <v>373</v>
      </c>
      <c r="CC15" s="90">
        <v>373</v>
      </c>
      <c r="CD15" s="90">
        <v>386</v>
      </c>
      <c r="CE15" s="90">
        <v>386</v>
      </c>
      <c r="CF15" s="90">
        <v>386</v>
      </c>
      <c r="CG15" s="90">
        <v>402</v>
      </c>
      <c r="CH15" s="90">
        <v>402</v>
      </c>
      <c r="CI15" s="90">
        <v>386</v>
      </c>
      <c r="CJ15" s="39">
        <v>386</v>
      </c>
      <c r="CK15" s="39">
        <v>402</v>
      </c>
      <c r="CL15" s="39">
        <v>402</v>
      </c>
      <c r="CM15" s="39">
        <v>402</v>
      </c>
    </row>
    <row r="16" spans="1:91" ht="15" customHeight="1">
      <c r="A16" s="2">
        <v>3500</v>
      </c>
      <c r="B16" s="64">
        <v>2</v>
      </c>
      <c r="C16" s="64">
        <v>5</v>
      </c>
      <c r="D16" s="64">
        <v>4</v>
      </c>
      <c r="E16" s="90">
        <v>473</v>
      </c>
      <c r="F16" s="90">
        <v>473</v>
      </c>
      <c r="G16" s="90">
        <v>473</v>
      </c>
      <c r="H16" s="90">
        <v>473</v>
      </c>
      <c r="I16" s="90">
        <v>473</v>
      </c>
      <c r="J16" s="90">
        <v>473</v>
      </c>
      <c r="K16" s="90">
        <v>473</v>
      </c>
      <c r="L16" s="90">
        <v>473</v>
      </c>
      <c r="M16" s="90">
        <v>473</v>
      </c>
      <c r="N16" s="90">
        <v>473</v>
      </c>
      <c r="O16" s="90">
        <v>473</v>
      </c>
      <c r="P16" s="90">
        <v>473</v>
      </c>
      <c r="Q16" s="90">
        <v>473</v>
      </c>
      <c r="R16" s="90">
        <v>473</v>
      </c>
      <c r="S16" s="90">
        <v>473</v>
      </c>
      <c r="T16" s="90">
        <v>473</v>
      </c>
      <c r="U16" s="90">
        <v>473</v>
      </c>
      <c r="V16" s="90">
        <v>473</v>
      </c>
      <c r="W16" s="90">
        <v>473</v>
      </c>
      <c r="X16" s="90">
        <v>473</v>
      </c>
      <c r="Y16" s="90">
        <v>473</v>
      </c>
      <c r="Z16" s="90">
        <v>473</v>
      </c>
      <c r="AA16" s="90">
        <v>473</v>
      </c>
      <c r="AB16" s="90">
        <v>473</v>
      </c>
      <c r="AC16" s="90">
        <v>473</v>
      </c>
      <c r="AD16" s="90">
        <v>473</v>
      </c>
      <c r="AE16" s="90">
        <v>473</v>
      </c>
      <c r="AF16" s="90">
        <v>473</v>
      </c>
      <c r="AG16" s="90">
        <v>473</v>
      </c>
      <c r="AH16" s="90">
        <v>473</v>
      </c>
      <c r="AI16" s="90">
        <v>473</v>
      </c>
      <c r="AJ16" s="90">
        <v>473</v>
      </c>
      <c r="AK16" s="90">
        <v>473</v>
      </c>
      <c r="AL16" s="90">
        <v>473</v>
      </c>
      <c r="AM16" s="90">
        <v>473</v>
      </c>
      <c r="AN16" s="90">
        <v>473</v>
      </c>
      <c r="AO16" s="90">
        <v>473</v>
      </c>
      <c r="AP16" s="90">
        <v>431</v>
      </c>
      <c r="AQ16" s="90">
        <v>431</v>
      </c>
      <c r="AR16" s="90">
        <v>431</v>
      </c>
      <c r="AS16" s="90">
        <v>431</v>
      </c>
      <c r="AT16" s="90">
        <v>431</v>
      </c>
      <c r="AU16" s="90">
        <v>431</v>
      </c>
      <c r="AV16" s="90">
        <v>431</v>
      </c>
      <c r="AW16" s="90">
        <v>431</v>
      </c>
      <c r="AX16" s="90">
        <v>431</v>
      </c>
      <c r="AY16" s="90"/>
      <c r="AZ16" s="90">
        <v>407</v>
      </c>
      <c r="BA16" s="90">
        <v>407</v>
      </c>
      <c r="BB16" s="90">
        <v>407</v>
      </c>
      <c r="BC16" s="90">
        <v>407</v>
      </c>
      <c r="BD16" s="90">
        <v>407</v>
      </c>
      <c r="BE16" s="90">
        <v>407</v>
      </c>
      <c r="BF16" s="90">
        <v>407</v>
      </c>
      <c r="BG16" s="90">
        <v>407</v>
      </c>
      <c r="BH16" s="90">
        <v>431</v>
      </c>
      <c r="BI16" s="90">
        <v>431</v>
      </c>
      <c r="BJ16" s="90">
        <v>431</v>
      </c>
      <c r="BK16" s="90">
        <v>431</v>
      </c>
      <c r="BL16" s="90">
        <v>431</v>
      </c>
      <c r="BM16" s="90">
        <v>431</v>
      </c>
      <c r="BN16" s="90">
        <v>431</v>
      </c>
      <c r="BO16" s="90">
        <v>431</v>
      </c>
      <c r="BP16" s="90">
        <v>446</v>
      </c>
      <c r="BQ16" s="90">
        <v>446</v>
      </c>
      <c r="BR16" s="90">
        <v>446</v>
      </c>
      <c r="BS16" s="90">
        <v>446</v>
      </c>
      <c r="BT16" s="90">
        <v>431</v>
      </c>
      <c r="BU16" s="90">
        <v>431</v>
      </c>
      <c r="BV16" s="90">
        <v>431</v>
      </c>
      <c r="BW16" s="90">
        <v>431</v>
      </c>
      <c r="BX16" s="90">
        <v>431</v>
      </c>
      <c r="BY16" s="90">
        <v>431</v>
      </c>
      <c r="BZ16" s="90">
        <v>431</v>
      </c>
      <c r="CA16" s="90">
        <v>431</v>
      </c>
      <c r="CB16" s="90">
        <v>431</v>
      </c>
      <c r="CC16" s="90">
        <v>431</v>
      </c>
      <c r="CD16" s="90">
        <v>446</v>
      </c>
      <c r="CE16" s="90">
        <v>446</v>
      </c>
      <c r="CF16" s="90">
        <v>446</v>
      </c>
      <c r="CG16" s="90">
        <v>465</v>
      </c>
      <c r="CH16" s="90">
        <v>465</v>
      </c>
      <c r="CI16" s="90">
        <v>446</v>
      </c>
      <c r="CJ16" s="39">
        <v>446</v>
      </c>
      <c r="CK16" s="39">
        <v>465</v>
      </c>
      <c r="CL16" s="39">
        <v>465</v>
      </c>
      <c r="CM16" s="39">
        <v>465</v>
      </c>
    </row>
    <row r="17" spans="1:91" ht="15" customHeight="1">
      <c r="A17" s="2">
        <v>4200</v>
      </c>
      <c r="B17" s="2">
        <v>2.4</v>
      </c>
      <c r="C17" s="2">
        <v>6</v>
      </c>
      <c r="D17" s="2"/>
      <c r="E17" s="99">
        <v>523</v>
      </c>
      <c r="F17" s="99">
        <v>523</v>
      </c>
      <c r="G17" s="99">
        <v>523</v>
      </c>
      <c r="H17" s="99">
        <v>523</v>
      </c>
      <c r="I17" s="99">
        <v>523</v>
      </c>
      <c r="J17" s="99">
        <v>523</v>
      </c>
      <c r="K17" s="99">
        <v>523</v>
      </c>
      <c r="L17" s="99">
        <v>523</v>
      </c>
      <c r="M17" s="99">
        <v>523</v>
      </c>
      <c r="N17" s="99">
        <v>523</v>
      </c>
      <c r="O17" s="99">
        <v>523</v>
      </c>
      <c r="P17" s="99">
        <v>523</v>
      </c>
      <c r="Q17" s="99">
        <v>523</v>
      </c>
      <c r="R17" s="99">
        <v>523</v>
      </c>
      <c r="S17" s="99">
        <v>523</v>
      </c>
      <c r="T17" s="99">
        <v>523</v>
      </c>
      <c r="U17" s="99">
        <v>523</v>
      </c>
      <c r="V17" s="99">
        <v>523</v>
      </c>
      <c r="W17" s="99">
        <v>523</v>
      </c>
      <c r="X17" s="99">
        <v>523</v>
      </c>
      <c r="Y17" s="99">
        <v>523</v>
      </c>
      <c r="Z17" s="99">
        <v>523</v>
      </c>
      <c r="AA17" s="99">
        <v>523</v>
      </c>
      <c r="AB17" s="99">
        <v>523</v>
      </c>
      <c r="AC17" s="99">
        <v>523</v>
      </c>
      <c r="AD17" s="99">
        <v>523</v>
      </c>
      <c r="AE17" s="99">
        <v>523</v>
      </c>
      <c r="AF17" s="99">
        <v>523</v>
      </c>
      <c r="AG17" s="99">
        <v>523</v>
      </c>
      <c r="AH17" s="99">
        <v>523</v>
      </c>
      <c r="AI17" s="99">
        <v>523</v>
      </c>
      <c r="AJ17" s="99">
        <v>523</v>
      </c>
      <c r="AK17" s="99">
        <v>523</v>
      </c>
      <c r="AL17" s="99">
        <v>523</v>
      </c>
      <c r="AM17" s="99">
        <v>523</v>
      </c>
      <c r="AN17" s="99">
        <v>523</v>
      </c>
      <c r="AO17" s="99">
        <v>523</v>
      </c>
      <c r="AP17" s="99">
        <v>481</v>
      </c>
      <c r="AQ17" s="99">
        <v>481</v>
      </c>
      <c r="AR17" s="99">
        <v>481</v>
      </c>
      <c r="AS17" s="99">
        <v>481</v>
      </c>
      <c r="AT17" s="99">
        <v>481</v>
      </c>
      <c r="AU17" s="99">
        <v>481</v>
      </c>
      <c r="AV17" s="99">
        <v>481</v>
      </c>
      <c r="AW17" s="99">
        <v>481</v>
      </c>
      <c r="AX17" s="99">
        <v>481</v>
      </c>
      <c r="AY17" s="99"/>
      <c r="AZ17" s="99">
        <v>455</v>
      </c>
      <c r="BA17" s="99">
        <v>455</v>
      </c>
      <c r="BB17" s="99">
        <v>455</v>
      </c>
      <c r="BC17" s="99">
        <v>455</v>
      </c>
      <c r="BD17" s="99">
        <v>455</v>
      </c>
      <c r="BE17" s="99">
        <v>455</v>
      </c>
      <c r="BF17" s="99">
        <v>455</v>
      </c>
      <c r="BG17" s="99">
        <v>455</v>
      </c>
      <c r="BH17" s="99">
        <v>481</v>
      </c>
      <c r="BI17" s="99">
        <v>481</v>
      </c>
      <c r="BJ17" s="99">
        <v>481</v>
      </c>
      <c r="BK17" s="99">
        <v>481</v>
      </c>
      <c r="BL17" s="99">
        <v>481</v>
      </c>
      <c r="BM17" s="99">
        <v>481</v>
      </c>
      <c r="BN17" s="99">
        <v>481</v>
      </c>
      <c r="BO17" s="99">
        <v>481</v>
      </c>
      <c r="BP17" s="99">
        <v>498</v>
      </c>
      <c r="BQ17" s="99">
        <v>498</v>
      </c>
      <c r="BR17" s="99">
        <v>498</v>
      </c>
      <c r="BS17" s="99">
        <v>498</v>
      </c>
      <c r="BT17" s="99">
        <v>481</v>
      </c>
      <c r="BU17" s="99">
        <v>481</v>
      </c>
      <c r="BV17" s="99">
        <v>481</v>
      </c>
      <c r="BW17" s="99">
        <v>481</v>
      </c>
      <c r="BX17" s="99">
        <v>481</v>
      </c>
      <c r="BY17" s="99">
        <v>481</v>
      </c>
      <c r="BZ17" s="99">
        <v>481</v>
      </c>
      <c r="CA17" s="99">
        <v>481</v>
      </c>
      <c r="CB17" s="99">
        <v>481</v>
      </c>
      <c r="CC17" s="99">
        <v>481</v>
      </c>
      <c r="CD17" s="99">
        <v>498</v>
      </c>
      <c r="CE17" s="99">
        <v>498</v>
      </c>
      <c r="CF17" s="99">
        <v>498</v>
      </c>
      <c r="CG17" s="99">
        <v>519</v>
      </c>
      <c r="CH17" s="99">
        <v>519</v>
      </c>
      <c r="CI17" s="99">
        <v>498</v>
      </c>
      <c r="CJ17" s="39">
        <v>498</v>
      </c>
      <c r="CK17" s="39">
        <v>519</v>
      </c>
      <c r="CL17" s="39">
        <v>519</v>
      </c>
      <c r="CM17" s="39">
        <v>519</v>
      </c>
    </row>
    <row r="18" spans="1:91" ht="15" customHeight="1">
      <c r="A18" s="2">
        <v>4375</v>
      </c>
      <c r="B18" s="2">
        <v>2.5</v>
      </c>
      <c r="C18" s="2"/>
      <c r="D18" s="2">
        <v>5</v>
      </c>
      <c r="E18" s="99">
        <v>535</v>
      </c>
      <c r="F18" s="99">
        <v>535</v>
      </c>
      <c r="G18" s="99">
        <v>535</v>
      </c>
      <c r="H18" s="99">
        <v>535</v>
      </c>
      <c r="I18" s="99">
        <v>535</v>
      </c>
      <c r="J18" s="99">
        <v>535</v>
      </c>
      <c r="K18" s="99">
        <v>535</v>
      </c>
      <c r="L18" s="99">
        <v>535</v>
      </c>
      <c r="M18" s="99">
        <v>535</v>
      </c>
      <c r="N18" s="99">
        <v>535</v>
      </c>
      <c r="O18" s="99">
        <v>535</v>
      </c>
      <c r="P18" s="99">
        <v>535</v>
      </c>
      <c r="Q18" s="99">
        <v>535</v>
      </c>
      <c r="R18" s="99">
        <v>535</v>
      </c>
      <c r="S18" s="99">
        <v>535</v>
      </c>
      <c r="T18" s="99">
        <v>535</v>
      </c>
      <c r="U18" s="99">
        <v>535</v>
      </c>
      <c r="V18" s="99">
        <v>535</v>
      </c>
      <c r="W18" s="99">
        <v>535</v>
      </c>
      <c r="X18" s="99">
        <v>535</v>
      </c>
      <c r="Y18" s="99">
        <v>535</v>
      </c>
      <c r="Z18" s="99">
        <v>535</v>
      </c>
      <c r="AA18" s="99">
        <v>535</v>
      </c>
      <c r="AB18" s="99">
        <v>535</v>
      </c>
      <c r="AC18" s="99">
        <v>535</v>
      </c>
      <c r="AD18" s="99">
        <v>535</v>
      </c>
      <c r="AE18" s="99">
        <v>535</v>
      </c>
      <c r="AF18" s="99">
        <v>535</v>
      </c>
      <c r="AG18" s="99">
        <v>535</v>
      </c>
      <c r="AH18" s="99">
        <v>535</v>
      </c>
      <c r="AI18" s="99">
        <v>535</v>
      </c>
      <c r="AJ18" s="99">
        <v>535</v>
      </c>
      <c r="AK18" s="99">
        <v>535</v>
      </c>
      <c r="AL18" s="99">
        <v>535</v>
      </c>
      <c r="AM18" s="99">
        <v>535</v>
      </c>
      <c r="AN18" s="99">
        <v>535</v>
      </c>
      <c r="AO18" s="99">
        <v>535</v>
      </c>
      <c r="AP18" s="99">
        <v>484</v>
      </c>
      <c r="AQ18" s="99">
        <v>484</v>
      </c>
      <c r="AR18" s="99">
        <v>484</v>
      </c>
      <c r="AS18" s="99">
        <v>484</v>
      </c>
      <c r="AT18" s="99">
        <v>484</v>
      </c>
      <c r="AU18" s="99">
        <v>484</v>
      </c>
      <c r="AV18" s="99">
        <v>484</v>
      </c>
      <c r="AW18" s="99">
        <v>484</v>
      </c>
      <c r="AX18" s="99">
        <v>484</v>
      </c>
      <c r="AY18" s="99"/>
      <c r="AZ18" s="99">
        <v>459</v>
      </c>
      <c r="BA18" s="99">
        <v>459</v>
      </c>
      <c r="BB18" s="99">
        <v>459</v>
      </c>
      <c r="BC18" s="99">
        <v>459</v>
      </c>
      <c r="BD18" s="99">
        <v>459</v>
      </c>
      <c r="BE18" s="99">
        <v>459</v>
      </c>
      <c r="BF18" s="99">
        <v>459</v>
      </c>
      <c r="BG18" s="99">
        <v>459</v>
      </c>
      <c r="BH18" s="99">
        <v>484</v>
      </c>
      <c r="BI18" s="99">
        <v>484</v>
      </c>
      <c r="BJ18" s="99">
        <v>484</v>
      </c>
      <c r="BK18" s="99">
        <v>484</v>
      </c>
      <c r="BL18" s="99">
        <v>484</v>
      </c>
      <c r="BM18" s="99">
        <v>484</v>
      </c>
      <c r="BN18" s="99">
        <v>484</v>
      </c>
      <c r="BO18" s="99">
        <v>484</v>
      </c>
      <c r="BP18" s="99">
        <v>500</v>
      </c>
      <c r="BQ18" s="99">
        <v>500</v>
      </c>
      <c r="BR18" s="99">
        <v>500</v>
      </c>
      <c r="BS18" s="99">
        <v>500</v>
      </c>
      <c r="BT18" s="99">
        <v>484</v>
      </c>
      <c r="BU18" s="99">
        <v>484</v>
      </c>
      <c r="BV18" s="99">
        <v>484</v>
      </c>
      <c r="BW18" s="99">
        <v>484</v>
      </c>
      <c r="BX18" s="99">
        <v>484</v>
      </c>
      <c r="BY18" s="99">
        <v>484</v>
      </c>
      <c r="BZ18" s="99">
        <v>484</v>
      </c>
      <c r="CA18" s="99">
        <v>484</v>
      </c>
      <c r="CB18" s="99">
        <v>484</v>
      </c>
      <c r="CC18" s="99">
        <v>484</v>
      </c>
      <c r="CD18" s="99">
        <v>500</v>
      </c>
      <c r="CE18" s="99">
        <v>500</v>
      </c>
      <c r="CF18" s="99">
        <v>500</v>
      </c>
      <c r="CG18" s="99">
        <v>522</v>
      </c>
      <c r="CH18" s="99">
        <v>522</v>
      </c>
      <c r="CI18" s="99">
        <v>500</v>
      </c>
      <c r="CJ18" s="39">
        <v>500</v>
      </c>
      <c r="CK18" s="39">
        <v>522</v>
      </c>
      <c r="CL18" s="39">
        <v>522</v>
      </c>
      <c r="CM18" s="39">
        <v>522</v>
      </c>
    </row>
    <row r="19" spans="1:91" ht="15" customHeight="1">
      <c r="A19" s="2">
        <v>4900</v>
      </c>
      <c r="B19" s="2">
        <v>2.8</v>
      </c>
      <c r="C19" s="2">
        <v>7</v>
      </c>
      <c r="D19" s="2"/>
      <c r="E19" s="99">
        <v>586</v>
      </c>
      <c r="F19" s="99">
        <v>586</v>
      </c>
      <c r="G19" s="99">
        <v>586</v>
      </c>
      <c r="H19" s="99">
        <v>586</v>
      </c>
      <c r="I19" s="99">
        <v>586</v>
      </c>
      <c r="J19" s="99">
        <v>586</v>
      </c>
      <c r="K19" s="99">
        <v>586</v>
      </c>
      <c r="L19" s="99">
        <v>586</v>
      </c>
      <c r="M19" s="99">
        <v>586</v>
      </c>
      <c r="N19" s="99">
        <v>586</v>
      </c>
      <c r="O19" s="99">
        <v>586</v>
      </c>
      <c r="P19" s="99">
        <v>586</v>
      </c>
      <c r="Q19" s="99">
        <v>586</v>
      </c>
      <c r="R19" s="99">
        <v>586</v>
      </c>
      <c r="S19" s="99">
        <v>586</v>
      </c>
      <c r="T19" s="99">
        <v>586</v>
      </c>
      <c r="U19" s="99">
        <v>586</v>
      </c>
      <c r="V19" s="99">
        <v>586</v>
      </c>
      <c r="W19" s="99">
        <v>586</v>
      </c>
      <c r="X19" s="99">
        <v>586</v>
      </c>
      <c r="Y19" s="99">
        <v>586</v>
      </c>
      <c r="Z19" s="99">
        <v>586</v>
      </c>
      <c r="AA19" s="99">
        <v>586</v>
      </c>
      <c r="AB19" s="99">
        <v>586</v>
      </c>
      <c r="AC19" s="99">
        <v>586</v>
      </c>
      <c r="AD19" s="99">
        <v>586</v>
      </c>
      <c r="AE19" s="99">
        <v>586</v>
      </c>
      <c r="AF19" s="99">
        <v>586</v>
      </c>
      <c r="AG19" s="99">
        <v>586</v>
      </c>
      <c r="AH19" s="99">
        <v>586</v>
      </c>
      <c r="AI19" s="99">
        <v>586</v>
      </c>
      <c r="AJ19" s="99">
        <v>586</v>
      </c>
      <c r="AK19" s="99">
        <v>586</v>
      </c>
      <c r="AL19" s="99">
        <v>586</v>
      </c>
      <c r="AM19" s="99">
        <v>586</v>
      </c>
      <c r="AN19" s="99">
        <v>586</v>
      </c>
      <c r="AO19" s="99">
        <v>586</v>
      </c>
      <c r="AP19" s="99">
        <v>541</v>
      </c>
      <c r="AQ19" s="99">
        <v>541</v>
      </c>
      <c r="AR19" s="99">
        <v>541</v>
      </c>
      <c r="AS19" s="99">
        <v>541</v>
      </c>
      <c r="AT19" s="99">
        <v>541</v>
      </c>
      <c r="AU19" s="99">
        <v>541</v>
      </c>
      <c r="AV19" s="99">
        <v>541</v>
      </c>
      <c r="AW19" s="99">
        <v>541</v>
      </c>
      <c r="AX19" s="99">
        <v>541</v>
      </c>
      <c r="AY19" s="99"/>
      <c r="AZ19" s="99">
        <v>513</v>
      </c>
      <c r="BA19" s="99">
        <v>513</v>
      </c>
      <c r="BB19" s="99">
        <v>513</v>
      </c>
      <c r="BC19" s="99">
        <v>513</v>
      </c>
      <c r="BD19" s="99">
        <v>513</v>
      </c>
      <c r="BE19" s="99">
        <v>513</v>
      </c>
      <c r="BF19" s="99">
        <v>513</v>
      </c>
      <c r="BG19" s="99">
        <v>513</v>
      </c>
      <c r="BH19" s="99">
        <v>541</v>
      </c>
      <c r="BI19" s="99">
        <v>541</v>
      </c>
      <c r="BJ19" s="99">
        <v>541</v>
      </c>
      <c r="BK19" s="99">
        <v>541</v>
      </c>
      <c r="BL19" s="99">
        <v>541</v>
      </c>
      <c r="BM19" s="99">
        <v>541</v>
      </c>
      <c r="BN19" s="99">
        <v>541</v>
      </c>
      <c r="BO19" s="99">
        <v>541</v>
      </c>
      <c r="BP19" s="99">
        <v>560</v>
      </c>
      <c r="BQ19" s="99">
        <v>560</v>
      </c>
      <c r="BR19" s="99">
        <v>560</v>
      </c>
      <c r="BS19" s="99">
        <v>560</v>
      </c>
      <c r="BT19" s="99">
        <v>541</v>
      </c>
      <c r="BU19" s="99">
        <v>541</v>
      </c>
      <c r="BV19" s="99">
        <v>541</v>
      </c>
      <c r="BW19" s="99">
        <v>541</v>
      </c>
      <c r="BX19" s="99">
        <v>541</v>
      </c>
      <c r="BY19" s="99">
        <v>541</v>
      </c>
      <c r="BZ19" s="99">
        <v>541</v>
      </c>
      <c r="CA19" s="99">
        <v>541</v>
      </c>
      <c r="CB19" s="99">
        <v>541</v>
      </c>
      <c r="CC19" s="99">
        <v>541</v>
      </c>
      <c r="CD19" s="99">
        <v>560</v>
      </c>
      <c r="CE19" s="99">
        <v>560</v>
      </c>
      <c r="CF19" s="99">
        <v>560</v>
      </c>
      <c r="CG19" s="99">
        <v>584</v>
      </c>
      <c r="CH19" s="99">
        <v>584</v>
      </c>
      <c r="CI19" s="99">
        <v>560</v>
      </c>
      <c r="CJ19" s="39">
        <v>560</v>
      </c>
      <c r="CK19" s="39">
        <v>584</v>
      </c>
      <c r="CL19" s="39">
        <v>584</v>
      </c>
      <c r="CM19" s="39">
        <v>584</v>
      </c>
    </row>
    <row r="20" spans="1:91" ht="15" customHeight="1">
      <c r="A20" s="2">
        <v>5250</v>
      </c>
      <c r="B20" s="2">
        <v>3</v>
      </c>
      <c r="C20" s="2"/>
      <c r="D20" s="2">
        <v>6</v>
      </c>
      <c r="E20" s="99">
        <v>612</v>
      </c>
      <c r="F20" s="99">
        <v>612</v>
      </c>
      <c r="G20" s="99">
        <v>612</v>
      </c>
      <c r="H20" s="99">
        <v>612</v>
      </c>
      <c r="I20" s="99">
        <v>612</v>
      </c>
      <c r="J20" s="99">
        <v>612</v>
      </c>
      <c r="K20" s="99">
        <v>612</v>
      </c>
      <c r="L20" s="99">
        <v>612</v>
      </c>
      <c r="M20" s="99">
        <v>612</v>
      </c>
      <c r="N20" s="99">
        <v>612</v>
      </c>
      <c r="O20" s="99">
        <v>612</v>
      </c>
      <c r="P20" s="99">
        <v>612</v>
      </c>
      <c r="Q20" s="99">
        <v>612</v>
      </c>
      <c r="R20" s="99">
        <v>612</v>
      </c>
      <c r="S20" s="99">
        <v>612</v>
      </c>
      <c r="T20" s="99">
        <v>612</v>
      </c>
      <c r="U20" s="99">
        <v>612</v>
      </c>
      <c r="V20" s="99">
        <v>612</v>
      </c>
      <c r="W20" s="99">
        <v>612</v>
      </c>
      <c r="X20" s="99">
        <v>612</v>
      </c>
      <c r="Y20" s="99">
        <v>612</v>
      </c>
      <c r="Z20" s="99">
        <v>612</v>
      </c>
      <c r="AA20" s="99">
        <v>612</v>
      </c>
      <c r="AB20" s="99">
        <v>612</v>
      </c>
      <c r="AC20" s="99">
        <v>612</v>
      </c>
      <c r="AD20" s="99">
        <v>612</v>
      </c>
      <c r="AE20" s="99">
        <v>612</v>
      </c>
      <c r="AF20" s="99">
        <v>612</v>
      </c>
      <c r="AG20" s="99">
        <v>612</v>
      </c>
      <c r="AH20" s="99">
        <v>612</v>
      </c>
      <c r="AI20" s="99">
        <v>612</v>
      </c>
      <c r="AJ20" s="99">
        <v>612</v>
      </c>
      <c r="AK20" s="99">
        <v>612</v>
      </c>
      <c r="AL20" s="99">
        <v>612</v>
      </c>
      <c r="AM20" s="99">
        <v>612</v>
      </c>
      <c r="AN20" s="99">
        <v>612</v>
      </c>
      <c r="AO20" s="99">
        <v>612</v>
      </c>
      <c r="AP20" s="99">
        <v>549</v>
      </c>
      <c r="AQ20" s="99">
        <v>549</v>
      </c>
      <c r="AR20" s="99">
        <v>549</v>
      </c>
      <c r="AS20" s="99">
        <v>549</v>
      </c>
      <c r="AT20" s="99">
        <v>549</v>
      </c>
      <c r="AU20" s="99">
        <v>549</v>
      </c>
      <c r="AV20" s="99">
        <v>549</v>
      </c>
      <c r="AW20" s="99">
        <v>549</v>
      </c>
      <c r="AX20" s="99">
        <v>549</v>
      </c>
      <c r="AY20" s="99"/>
      <c r="AZ20" s="99">
        <v>520</v>
      </c>
      <c r="BA20" s="99">
        <v>520</v>
      </c>
      <c r="BB20" s="99">
        <v>520</v>
      </c>
      <c r="BC20" s="99">
        <v>520</v>
      </c>
      <c r="BD20" s="99">
        <v>520</v>
      </c>
      <c r="BE20" s="99">
        <v>520</v>
      </c>
      <c r="BF20" s="99">
        <v>520</v>
      </c>
      <c r="BG20" s="99">
        <v>520</v>
      </c>
      <c r="BH20" s="99">
        <v>549</v>
      </c>
      <c r="BI20" s="99">
        <v>549</v>
      </c>
      <c r="BJ20" s="99">
        <v>549</v>
      </c>
      <c r="BK20" s="99">
        <v>549</v>
      </c>
      <c r="BL20" s="99">
        <v>549</v>
      </c>
      <c r="BM20" s="99">
        <v>549</v>
      </c>
      <c r="BN20" s="99">
        <v>549</v>
      </c>
      <c r="BO20" s="99">
        <v>549</v>
      </c>
      <c r="BP20" s="99">
        <v>569</v>
      </c>
      <c r="BQ20" s="99">
        <v>569</v>
      </c>
      <c r="BR20" s="99">
        <v>569</v>
      </c>
      <c r="BS20" s="99">
        <v>569</v>
      </c>
      <c r="BT20" s="99">
        <v>549</v>
      </c>
      <c r="BU20" s="99">
        <v>549</v>
      </c>
      <c r="BV20" s="99">
        <v>549</v>
      </c>
      <c r="BW20" s="99">
        <v>549</v>
      </c>
      <c r="BX20" s="99">
        <v>549</v>
      </c>
      <c r="BY20" s="99">
        <v>549</v>
      </c>
      <c r="BZ20" s="99">
        <v>549</v>
      </c>
      <c r="CA20" s="99">
        <v>549</v>
      </c>
      <c r="CB20" s="99">
        <v>549</v>
      </c>
      <c r="CC20" s="99">
        <v>549</v>
      </c>
      <c r="CD20" s="99">
        <v>569</v>
      </c>
      <c r="CE20" s="99">
        <v>569</v>
      </c>
      <c r="CF20" s="99">
        <v>569</v>
      </c>
      <c r="CG20" s="99">
        <v>593</v>
      </c>
      <c r="CH20" s="99">
        <v>593</v>
      </c>
      <c r="CI20" s="99">
        <v>569</v>
      </c>
      <c r="CJ20" s="39">
        <v>569</v>
      </c>
      <c r="CK20" s="39">
        <v>593</v>
      </c>
      <c r="CL20" s="39">
        <v>593</v>
      </c>
      <c r="CM20" s="39">
        <v>593</v>
      </c>
    </row>
    <row r="21" spans="1:91" ht="15" customHeight="1">
      <c r="A21" s="2">
        <v>5600</v>
      </c>
      <c r="B21" s="2">
        <v>3.2</v>
      </c>
      <c r="C21" s="2">
        <v>8</v>
      </c>
      <c r="D21" s="2"/>
      <c r="E21" s="99">
        <v>647</v>
      </c>
      <c r="F21" s="99">
        <v>647</v>
      </c>
      <c r="G21" s="99">
        <v>647</v>
      </c>
      <c r="H21" s="99">
        <v>647</v>
      </c>
      <c r="I21" s="99">
        <v>647</v>
      </c>
      <c r="J21" s="99">
        <v>647</v>
      </c>
      <c r="K21" s="99">
        <v>647</v>
      </c>
      <c r="L21" s="99">
        <v>647</v>
      </c>
      <c r="M21" s="99">
        <v>647</v>
      </c>
      <c r="N21" s="99">
        <v>647</v>
      </c>
      <c r="O21" s="99">
        <v>647</v>
      </c>
      <c r="P21" s="99">
        <v>647</v>
      </c>
      <c r="Q21" s="99">
        <v>647</v>
      </c>
      <c r="R21" s="99">
        <v>647</v>
      </c>
      <c r="S21" s="99">
        <v>647</v>
      </c>
      <c r="T21" s="99">
        <v>647</v>
      </c>
      <c r="U21" s="99">
        <v>647</v>
      </c>
      <c r="V21" s="99">
        <v>647</v>
      </c>
      <c r="W21" s="99">
        <v>647</v>
      </c>
      <c r="X21" s="99">
        <v>647</v>
      </c>
      <c r="Y21" s="99">
        <v>647</v>
      </c>
      <c r="Z21" s="99">
        <v>647</v>
      </c>
      <c r="AA21" s="99">
        <v>647</v>
      </c>
      <c r="AB21" s="99">
        <v>647</v>
      </c>
      <c r="AC21" s="99">
        <v>647</v>
      </c>
      <c r="AD21" s="99">
        <v>647</v>
      </c>
      <c r="AE21" s="99">
        <v>647</v>
      </c>
      <c r="AF21" s="99">
        <v>647</v>
      </c>
      <c r="AG21" s="99">
        <v>647</v>
      </c>
      <c r="AH21" s="99">
        <v>647</v>
      </c>
      <c r="AI21" s="99">
        <v>647</v>
      </c>
      <c r="AJ21" s="99">
        <v>647</v>
      </c>
      <c r="AK21" s="99">
        <v>647</v>
      </c>
      <c r="AL21" s="99">
        <v>647</v>
      </c>
      <c r="AM21" s="99">
        <v>647</v>
      </c>
      <c r="AN21" s="99">
        <v>647</v>
      </c>
      <c r="AO21" s="99">
        <v>647</v>
      </c>
      <c r="AP21" s="99">
        <v>600</v>
      </c>
      <c r="AQ21" s="99">
        <v>600</v>
      </c>
      <c r="AR21" s="99">
        <v>600</v>
      </c>
      <c r="AS21" s="99">
        <v>600</v>
      </c>
      <c r="AT21" s="99">
        <v>600</v>
      </c>
      <c r="AU21" s="99">
        <v>600</v>
      </c>
      <c r="AV21" s="99">
        <v>600</v>
      </c>
      <c r="AW21" s="99">
        <v>600</v>
      </c>
      <c r="AX21" s="99">
        <v>600</v>
      </c>
      <c r="AY21" s="99"/>
      <c r="AZ21" s="99">
        <v>569</v>
      </c>
      <c r="BA21" s="99">
        <v>569</v>
      </c>
      <c r="BB21" s="99">
        <v>569</v>
      </c>
      <c r="BC21" s="99">
        <v>569</v>
      </c>
      <c r="BD21" s="99">
        <v>569</v>
      </c>
      <c r="BE21" s="99">
        <v>569</v>
      </c>
      <c r="BF21" s="99">
        <v>569</v>
      </c>
      <c r="BG21" s="99">
        <v>569</v>
      </c>
      <c r="BH21" s="99">
        <v>600</v>
      </c>
      <c r="BI21" s="99">
        <v>600</v>
      </c>
      <c r="BJ21" s="99">
        <v>600</v>
      </c>
      <c r="BK21" s="99">
        <v>600</v>
      </c>
      <c r="BL21" s="99">
        <v>600</v>
      </c>
      <c r="BM21" s="99">
        <v>600</v>
      </c>
      <c r="BN21" s="99">
        <v>600</v>
      </c>
      <c r="BO21" s="99">
        <v>600</v>
      </c>
      <c r="BP21" s="99">
        <v>621</v>
      </c>
      <c r="BQ21" s="99">
        <v>621</v>
      </c>
      <c r="BR21" s="99">
        <v>621</v>
      </c>
      <c r="BS21" s="99">
        <v>621</v>
      </c>
      <c r="BT21" s="99">
        <v>600</v>
      </c>
      <c r="BU21" s="99">
        <v>600</v>
      </c>
      <c r="BV21" s="99">
        <v>600</v>
      </c>
      <c r="BW21" s="99">
        <v>600</v>
      </c>
      <c r="BX21" s="99">
        <v>600</v>
      </c>
      <c r="BY21" s="99">
        <v>600</v>
      </c>
      <c r="BZ21" s="99">
        <v>600</v>
      </c>
      <c r="CA21" s="99">
        <v>600</v>
      </c>
      <c r="CB21" s="99">
        <v>600</v>
      </c>
      <c r="CC21" s="99">
        <v>600</v>
      </c>
      <c r="CD21" s="99">
        <v>621</v>
      </c>
      <c r="CE21" s="99">
        <v>621</v>
      </c>
      <c r="CF21" s="99">
        <v>621</v>
      </c>
      <c r="CG21" s="99">
        <v>647</v>
      </c>
      <c r="CH21" s="99">
        <v>647</v>
      </c>
      <c r="CI21" s="99">
        <v>621</v>
      </c>
      <c r="CJ21" s="39">
        <v>621</v>
      </c>
      <c r="CK21" s="39">
        <v>647</v>
      </c>
      <c r="CL21" s="39">
        <v>647</v>
      </c>
      <c r="CM21" s="39">
        <v>647</v>
      </c>
    </row>
    <row r="22" spans="1:91" ht="15" customHeight="1">
      <c r="A22" s="2">
        <v>6125</v>
      </c>
      <c r="B22" s="2">
        <v>3.5</v>
      </c>
      <c r="C22" s="2"/>
      <c r="D22" s="2">
        <v>7</v>
      </c>
      <c r="E22" s="99">
        <v>692</v>
      </c>
      <c r="F22" s="99">
        <v>692</v>
      </c>
      <c r="G22" s="99">
        <v>692</v>
      </c>
      <c r="H22" s="99">
        <v>692</v>
      </c>
      <c r="I22" s="99">
        <v>692</v>
      </c>
      <c r="J22" s="99">
        <v>692</v>
      </c>
      <c r="K22" s="99">
        <v>692</v>
      </c>
      <c r="L22" s="99">
        <v>692</v>
      </c>
      <c r="M22" s="99">
        <v>692</v>
      </c>
      <c r="N22" s="99">
        <v>692</v>
      </c>
      <c r="O22" s="99">
        <v>692</v>
      </c>
      <c r="P22" s="99">
        <v>692</v>
      </c>
      <c r="Q22" s="99">
        <v>692</v>
      </c>
      <c r="R22" s="99">
        <v>692</v>
      </c>
      <c r="S22" s="99">
        <v>692</v>
      </c>
      <c r="T22" s="99">
        <v>692</v>
      </c>
      <c r="U22" s="99">
        <v>692</v>
      </c>
      <c r="V22" s="99">
        <v>692</v>
      </c>
      <c r="W22" s="99">
        <v>692</v>
      </c>
      <c r="X22" s="99">
        <v>692</v>
      </c>
      <c r="Y22" s="99">
        <v>692</v>
      </c>
      <c r="Z22" s="99">
        <v>692</v>
      </c>
      <c r="AA22" s="99">
        <v>692</v>
      </c>
      <c r="AB22" s="99">
        <v>692</v>
      </c>
      <c r="AC22" s="99">
        <v>692</v>
      </c>
      <c r="AD22" s="99">
        <v>692</v>
      </c>
      <c r="AE22" s="99">
        <v>692</v>
      </c>
      <c r="AF22" s="99">
        <v>692</v>
      </c>
      <c r="AG22" s="99">
        <v>692</v>
      </c>
      <c r="AH22" s="99">
        <v>692</v>
      </c>
      <c r="AI22" s="99">
        <v>692</v>
      </c>
      <c r="AJ22" s="99">
        <v>692</v>
      </c>
      <c r="AK22" s="99">
        <v>692</v>
      </c>
      <c r="AL22" s="99">
        <v>692</v>
      </c>
      <c r="AM22" s="99">
        <v>692</v>
      </c>
      <c r="AN22" s="99">
        <v>692</v>
      </c>
      <c r="AO22" s="99">
        <v>692</v>
      </c>
      <c r="AP22" s="99">
        <v>614</v>
      </c>
      <c r="AQ22" s="99">
        <v>614</v>
      </c>
      <c r="AR22" s="99">
        <v>614</v>
      </c>
      <c r="AS22" s="99">
        <v>614</v>
      </c>
      <c r="AT22" s="99">
        <v>614</v>
      </c>
      <c r="AU22" s="99">
        <v>614</v>
      </c>
      <c r="AV22" s="99">
        <v>614</v>
      </c>
      <c r="AW22" s="99">
        <v>614</v>
      </c>
      <c r="AX22" s="99">
        <v>614</v>
      </c>
      <c r="AY22" s="99"/>
      <c r="AZ22" s="99">
        <v>582</v>
      </c>
      <c r="BA22" s="99">
        <v>582</v>
      </c>
      <c r="BB22" s="99">
        <v>582</v>
      </c>
      <c r="BC22" s="99">
        <v>582</v>
      </c>
      <c r="BD22" s="99">
        <v>582</v>
      </c>
      <c r="BE22" s="99">
        <v>582</v>
      </c>
      <c r="BF22" s="99">
        <v>582</v>
      </c>
      <c r="BG22" s="99">
        <v>582</v>
      </c>
      <c r="BH22" s="99">
        <v>614</v>
      </c>
      <c r="BI22" s="99">
        <v>614</v>
      </c>
      <c r="BJ22" s="99">
        <v>614</v>
      </c>
      <c r="BK22" s="99">
        <v>614</v>
      </c>
      <c r="BL22" s="99">
        <v>614</v>
      </c>
      <c r="BM22" s="99">
        <v>614</v>
      </c>
      <c r="BN22" s="99">
        <v>614</v>
      </c>
      <c r="BO22" s="99">
        <v>614</v>
      </c>
      <c r="BP22" s="99">
        <v>636</v>
      </c>
      <c r="BQ22" s="99">
        <v>636</v>
      </c>
      <c r="BR22" s="99">
        <v>636</v>
      </c>
      <c r="BS22" s="99">
        <v>636</v>
      </c>
      <c r="BT22" s="99">
        <v>614</v>
      </c>
      <c r="BU22" s="99">
        <v>614</v>
      </c>
      <c r="BV22" s="99">
        <v>614</v>
      </c>
      <c r="BW22" s="99">
        <v>614</v>
      </c>
      <c r="BX22" s="99">
        <v>614</v>
      </c>
      <c r="BY22" s="99">
        <v>614</v>
      </c>
      <c r="BZ22" s="99">
        <v>614</v>
      </c>
      <c r="CA22" s="99">
        <v>614</v>
      </c>
      <c r="CB22" s="99">
        <v>614</v>
      </c>
      <c r="CC22" s="99">
        <v>614</v>
      </c>
      <c r="CD22" s="99">
        <v>636</v>
      </c>
      <c r="CE22" s="99">
        <v>636</v>
      </c>
      <c r="CF22" s="99">
        <v>636</v>
      </c>
      <c r="CG22" s="99">
        <v>663</v>
      </c>
      <c r="CH22" s="99">
        <v>663</v>
      </c>
      <c r="CI22" s="99">
        <v>636</v>
      </c>
      <c r="CJ22" s="39">
        <v>636</v>
      </c>
      <c r="CK22" s="39">
        <v>663</v>
      </c>
      <c r="CL22" s="39">
        <v>663</v>
      </c>
      <c r="CM22" s="39">
        <v>663</v>
      </c>
    </row>
    <row r="23" spans="1:91" ht="15" customHeight="1">
      <c r="A23" s="2">
        <v>6300</v>
      </c>
      <c r="B23" s="2">
        <v>3.6</v>
      </c>
      <c r="C23" s="2">
        <v>9</v>
      </c>
      <c r="D23" s="2"/>
      <c r="E23" s="99">
        <v>710</v>
      </c>
      <c r="F23" s="99">
        <v>710</v>
      </c>
      <c r="G23" s="99">
        <v>710</v>
      </c>
      <c r="H23" s="99">
        <v>710</v>
      </c>
      <c r="I23" s="99">
        <v>710</v>
      </c>
      <c r="J23" s="99">
        <v>710</v>
      </c>
      <c r="K23" s="99">
        <v>710</v>
      </c>
      <c r="L23" s="99">
        <v>710</v>
      </c>
      <c r="M23" s="99">
        <v>710</v>
      </c>
      <c r="N23" s="99">
        <v>710</v>
      </c>
      <c r="O23" s="99">
        <v>710</v>
      </c>
      <c r="P23" s="99">
        <v>710</v>
      </c>
      <c r="Q23" s="99">
        <v>710</v>
      </c>
      <c r="R23" s="99">
        <v>710</v>
      </c>
      <c r="S23" s="99">
        <v>710</v>
      </c>
      <c r="T23" s="99">
        <v>710</v>
      </c>
      <c r="U23" s="99">
        <v>710</v>
      </c>
      <c r="V23" s="99">
        <v>710</v>
      </c>
      <c r="W23" s="99">
        <v>710</v>
      </c>
      <c r="X23" s="99">
        <v>710</v>
      </c>
      <c r="Y23" s="99">
        <v>710</v>
      </c>
      <c r="Z23" s="99">
        <v>710</v>
      </c>
      <c r="AA23" s="99">
        <v>710</v>
      </c>
      <c r="AB23" s="99">
        <v>710</v>
      </c>
      <c r="AC23" s="99">
        <v>710</v>
      </c>
      <c r="AD23" s="99">
        <v>710</v>
      </c>
      <c r="AE23" s="99">
        <v>710</v>
      </c>
      <c r="AF23" s="99">
        <v>710</v>
      </c>
      <c r="AG23" s="99">
        <v>710</v>
      </c>
      <c r="AH23" s="99">
        <v>710</v>
      </c>
      <c r="AI23" s="99">
        <v>710</v>
      </c>
      <c r="AJ23" s="99">
        <v>710</v>
      </c>
      <c r="AK23" s="99">
        <v>710</v>
      </c>
      <c r="AL23" s="99">
        <v>710</v>
      </c>
      <c r="AM23" s="99">
        <v>710</v>
      </c>
      <c r="AN23" s="99">
        <v>710</v>
      </c>
      <c r="AO23" s="99">
        <v>710</v>
      </c>
      <c r="AP23" s="99">
        <v>655</v>
      </c>
      <c r="AQ23" s="99">
        <v>655</v>
      </c>
      <c r="AR23" s="99">
        <v>655</v>
      </c>
      <c r="AS23" s="99">
        <v>655</v>
      </c>
      <c r="AT23" s="99">
        <v>655</v>
      </c>
      <c r="AU23" s="99">
        <v>655</v>
      </c>
      <c r="AV23" s="99">
        <v>655</v>
      </c>
      <c r="AW23" s="99">
        <v>655</v>
      </c>
      <c r="AX23" s="99">
        <v>655</v>
      </c>
      <c r="AY23" s="99"/>
      <c r="AZ23" s="99">
        <v>621</v>
      </c>
      <c r="BA23" s="99">
        <v>621</v>
      </c>
      <c r="BB23" s="99">
        <v>621</v>
      </c>
      <c r="BC23" s="99">
        <v>621</v>
      </c>
      <c r="BD23" s="99">
        <v>621</v>
      </c>
      <c r="BE23" s="99">
        <v>621</v>
      </c>
      <c r="BF23" s="99">
        <v>621</v>
      </c>
      <c r="BG23" s="99">
        <v>621</v>
      </c>
      <c r="BH23" s="99">
        <v>655</v>
      </c>
      <c r="BI23" s="99">
        <v>655</v>
      </c>
      <c r="BJ23" s="99">
        <v>655</v>
      </c>
      <c r="BK23" s="99">
        <v>655</v>
      </c>
      <c r="BL23" s="99">
        <v>655</v>
      </c>
      <c r="BM23" s="99">
        <v>655</v>
      </c>
      <c r="BN23" s="99">
        <v>655</v>
      </c>
      <c r="BO23" s="99">
        <v>655</v>
      </c>
      <c r="BP23" s="99">
        <v>678</v>
      </c>
      <c r="BQ23" s="99">
        <v>678</v>
      </c>
      <c r="BR23" s="99">
        <v>678</v>
      </c>
      <c r="BS23" s="99">
        <v>678</v>
      </c>
      <c r="BT23" s="99">
        <v>655</v>
      </c>
      <c r="BU23" s="99">
        <v>655</v>
      </c>
      <c r="BV23" s="99">
        <v>655</v>
      </c>
      <c r="BW23" s="99">
        <v>655</v>
      </c>
      <c r="BX23" s="99">
        <v>655</v>
      </c>
      <c r="BY23" s="99">
        <v>655</v>
      </c>
      <c r="BZ23" s="99">
        <v>655</v>
      </c>
      <c r="CA23" s="99">
        <v>655</v>
      </c>
      <c r="CB23" s="99">
        <v>655</v>
      </c>
      <c r="CC23" s="99">
        <v>655</v>
      </c>
      <c r="CD23" s="99">
        <v>678</v>
      </c>
      <c r="CE23" s="99">
        <v>678</v>
      </c>
      <c r="CF23" s="99">
        <v>678</v>
      </c>
      <c r="CG23" s="99">
        <v>707</v>
      </c>
      <c r="CH23" s="99">
        <v>707</v>
      </c>
      <c r="CI23" s="99">
        <v>678</v>
      </c>
      <c r="CJ23" s="39">
        <v>678</v>
      </c>
      <c r="CK23" s="39">
        <v>707</v>
      </c>
      <c r="CL23" s="39">
        <v>707</v>
      </c>
      <c r="CM23" s="39">
        <v>707</v>
      </c>
    </row>
    <row r="24" spans="1:91" ht="15" customHeight="1">
      <c r="A24" s="2">
        <v>7000</v>
      </c>
      <c r="B24" s="2">
        <v>4</v>
      </c>
      <c r="C24" s="2">
        <v>10</v>
      </c>
      <c r="D24" s="2">
        <v>8</v>
      </c>
      <c r="E24" s="99">
        <v>763</v>
      </c>
      <c r="F24" s="99">
        <v>763</v>
      </c>
      <c r="G24" s="99">
        <v>763</v>
      </c>
      <c r="H24" s="99">
        <v>763</v>
      </c>
      <c r="I24" s="99">
        <v>763</v>
      </c>
      <c r="J24" s="99">
        <v>763</v>
      </c>
      <c r="K24" s="99">
        <v>763</v>
      </c>
      <c r="L24" s="99">
        <v>763</v>
      </c>
      <c r="M24" s="99">
        <v>763</v>
      </c>
      <c r="N24" s="99">
        <v>763</v>
      </c>
      <c r="O24" s="99">
        <v>763</v>
      </c>
      <c r="P24" s="99">
        <v>763</v>
      </c>
      <c r="Q24" s="99">
        <v>763</v>
      </c>
      <c r="R24" s="99">
        <v>763</v>
      </c>
      <c r="S24" s="99">
        <v>763</v>
      </c>
      <c r="T24" s="99">
        <v>763</v>
      </c>
      <c r="U24" s="99">
        <v>763</v>
      </c>
      <c r="V24" s="99">
        <v>763</v>
      </c>
      <c r="W24" s="99">
        <v>763</v>
      </c>
      <c r="X24" s="99">
        <v>763</v>
      </c>
      <c r="Y24" s="99">
        <v>763</v>
      </c>
      <c r="Z24" s="99">
        <v>763</v>
      </c>
      <c r="AA24" s="99">
        <v>763</v>
      </c>
      <c r="AB24" s="99">
        <v>763</v>
      </c>
      <c r="AC24" s="99">
        <v>763</v>
      </c>
      <c r="AD24" s="99">
        <v>763</v>
      </c>
      <c r="AE24" s="99">
        <v>763</v>
      </c>
      <c r="AF24" s="99">
        <v>763</v>
      </c>
      <c r="AG24" s="99">
        <v>763</v>
      </c>
      <c r="AH24" s="99">
        <v>763</v>
      </c>
      <c r="AI24" s="99">
        <v>763</v>
      </c>
      <c r="AJ24" s="99">
        <v>763</v>
      </c>
      <c r="AK24" s="99">
        <v>763</v>
      </c>
      <c r="AL24" s="99">
        <v>763</v>
      </c>
      <c r="AM24" s="99">
        <v>763</v>
      </c>
      <c r="AN24" s="99">
        <v>763</v>
      </c>
      <c r="AO24" s="99">
        <v>763</v>
      </c>
      <c r="AP24" s="99">
        <v>690</v>
      </c>
      <c r="AQ24" s="99">
        <v>690</v>
      </c>
      <c r="AR24" s="99">
        <v>690</v>
      </c>
      <c r="AS24" s="99">
        <v>690</v>
      </c>
      <c r="AT24" s="99">
        <v>690</v>
      </c>
      <c r="AU24" s="99">
        <v>690</v>
      </c>
      <c r="AV24" s="99">
        <v>690</v>
      </c>
      <c r="AW24" s="99">
        <v>690</v>
      </c>
      <c r="AX24" s="99">
        <v>690</v>
      </c>
      <c r="AY24" s="99"/>
      <c r="AZ24" s="99">
        <v>654</v>
      </c>
      <c r="BA24" s="99">
        <v>654</v>
      </c>
      <c r="BB24" s="99">
        <v>654</v>
      </c>
      <c r="BC24" s="99">
        <v>654</v>
      </c>
      <c r="BD24" s="99">
        <v>654</v>
      </c>
      <c r="BE24" s="99">
        <v>654</v>
      </c>
      <c r="BF24" s="99">
        <v>654</v>
      </c>
      <c r="BG24" s="99">
        <v>654</v>
      </c>
      <c r="BH24" s="99">
        <v>690</v>
      </c>
      <c r="BI24" s="99">
        <v>690</v>
      </c>
      <c r="BJ24" s="99">
        <v>690</v>
      </c>
      <c r="BK24" s="99">
        <v>690</v>
      </c>
      <c r="BL24" s="99">
        <v>690</v>
      </c>
      <c r="BM24" s="99">
        <v>690</v>
      </c>
      <c r="BN24" s="99">
        <v>690</v>
      </c>
      <c r="BO24" s="99">
        <v>690</v>
      </c>
      <c r="BP24" s="99">
        <v>714</v>
      </c>
      <c r="BQ24" s="99">
        <v>714</v>
      </c>
      <c r="BR24" s="99">
        <v>714</v>
      </c>
      <c r="BS24" s="99">
        <v>714</v>
      </c>
      <c r="BT24" s="99">
        <v>690</v>
      </c>
      <c r="BU24" s="99">
        <v>690</v>
      </c>
      <c r="BV24" s="99">
        <v>690</v>
      </c>
      <c r="BW24" s="99">
        <v>690</v>
      </c>
      <c r="BX24" s="99">
        <v>690</v>
      </c>
      <c r="BY24" s="99">
        <v>690</v>
      </c>
      <c r="BZ24" s="99">
        <v>690</v>
      </c>
      <c r="CA24" s="99">
        <v>690</v>
      </c>
      <c r="CB24" s="99">
        <v>690</v>
      </c>
      <c r="CC24" s="99">
        <v>690</v>
      </c>
      <c r="CD24" s="99">
        <v>714</v>
      </c>
      <c r="CE24" s="99">
        <v>714</v>
      </c>
      <c r="CF24" s="99">
        <v>714</v>
      </c>
      <c r="CG24" s="99">
        <v>744</v>
      </c>
      <c r="CH24" s="99">
        <v>744</v>
      </c>
      <c r="CI24" s="99">
        <v>714</v>
      </c>
      <c r="CJ24" s="39">
        <v>714</v>
      </c>
      <c r="CK24" s="39">
        <v>744</v>
      </c>
      <c r="CL24" s="39">
        <v>744</v>
      </c>
      <c r="CM24" s="39">
        <v>744</v>
      </c>
    </row>
    <row r="25" spans="1:91" ht="15" customHeight="1">
      <c r="A25" s="3"/>
      <c r="B25" s="3"/>
      <c r="C25" s="3"/>
      <c r="D25" s="3"/>
    </row>
    <row r="26" spans="1:91" ht="15" customHeight="1">
      <c r="A26" s="4" t="s">
        <v>24</v>
      </c>
      <c r="B26" s="3"/>
      <c r="C26" s="3"/>
      <c r="D26" s="3"/>
    </row>
    <row r="27" spans="1:91" ht="15" customHeight="1">
      <c r="A27" s="3"/>
      <c r="B27" s="3"/>
      <c r="C27" s="3"/>
      <c r="D27" s="3"/>
    </row>
    <row r="28" spans="1:91" ht="15" customHeight="1">
      <c r="A28" s="100" t="s">
        <v>55</v>
      </c>
      <c r="B28" s="101"/>
      <c r="C28" s="84" t="s">
        <v>26</v>
      </c>
      <c r="D28" s="85"/>
      <c r="E28" s="96"/>
      <c r="F28" s="96"/>
      <c r="G28" s="71" t="s">
        <v>27</v>
      </c>
      <c r="H28" s="96"/>
      <c r="I28" s="96"/>
      <c r="J28" s="96"/>
      <c r="K28" s="96"/>
      <c r="L28" s="96"/>
      <c r="M28" s="96"/>
      <c r="N28" s="96"/>
      <c r="O28" s="96"/>
      <c r="P28" s="96"/>
      <c r="Q28" s="96"/>
      <c r="R28" s="96"/>
      <c r="S28" s="96"/>
      <c r="T28" s="71" t="s">
        <v>27</v>
      </c>
      <c r="U28" s="96"/>
      <c r="V28" s="96"/>
      <c r="W28" s="96"/>
      <c r="X28" s="96"/>
      <c r="Y28" s="96"/>
      <c r="Z28" s="96"/>
      <c r="AA28" s="96"/>
      <c r="AB28" s="96"/>
      <c r="AC28" s="96"/>
      <c r="AD28" s="96"/>
      <c r="AE28" s="96"/>
      <c r="AF28" s="96"/>
      <c r="AG28" s="71" t="s">
        <v>27</v>
      </c>
      <c r="AH28" s="96"/>
      <c r="AI28" s="96"/>
      <c r="AJ28" s="96"/>
      <c r="AK28" s="96"/>
      <c r="AL28" s="96"/>
      <c r="AM28" s="71"/>
      <c r="AN28" s="96"/>
      <c r="AO28" s="96"/>
      <c r="AP28" s="96"/>
      <c r="AQ28" s="96"/>
      <c r="AR28" s="96"/>
      <c r="AS28" s="96"/>
      <c r="AT28" s="71" t="s">
        <v>27</v>
      </c>
      <c r="AU28" s="96"/>
      <c r="AV28" s="96"/>
      <c r="AW28" s="96"/>
      <c r="AX28" s="96"/>
      <c r="AY28" s="96"/>
      <c r="AZ28" s="96"/>
      <c r="BA28" s="96"/>
      <c r="BB28" s="71"/>
      <c r="BC28" s="96"/>
      <c r="BD28" s="96"/>
      <c r="BE28" s="96"/>
      <c r="BF28" s="96"/>
      <c r="BG28" s="71" t="s">
        <v>27</v>
      </c>
      <c r="BH28" s="96"/>
      <c r="BI28" s="96"/>
      <c r="BJ28" s="96"/>
      <c r="BK28" s="96"/>
      <c r="BL28" s="96"/>
      <c r="BM28" s="96"/>
      <c r="BN28" s="96"/>
      <c r="BO28" s="96"/>
      <c r="BP28" s="96"/>
      <c r="BQ28" s="96"/>
      <c r="BR28" s="71"/>
      <c r="BS28" s="96"/>
      <c r="BT28" s="71" t="s">
        <v>27</v>
      </c>
      <c r="BU28" s="96"/>
      <c r="BV28" s="96"/>
      <c r="BW28" s="96"/>
      <c r="BX28" s="96"/>
      <c r="BY28" s="96"/>
      <c r="BZ28" s="96"/>
      <c r="CA28" s="96"/>
      <c r="CB28" s="96"/>
      <c r="CC28" s="71"/>
      <c r="CD28" s="96"/>
      <c r="CE28" s="96"/>
      <c r="CF28" s="96"/>
      <c r="CG28" s="96"/>
      <c r="CH28" s="96"/>
      <c r="CI28" s="96"/>
      <c r="CJ28" s="96"/>
      <c r="CK28" s="96"/>
      <c r="CL28" s="96"/>
      <c r="CM28" s="76"/>
    </row>
    <row r="29" spans="1:91" ht="15" customHeight="1">
      <c r="A29" s="222" t="s">
        <v>28</v>
      </c>
      <c r="B29" s="223"/>
      <c r="C29" s="104" t="s">
        <v>29</v>
      </c>
      <c r="D29" s="105"/>
      <c r="E29" s="102" t="s">
        <v>31</v>
      </c>
      <c r="F29" s="102" t="s">
        <v>31</v>
      </c>
      <c r="G29" s="102" t="s">
        <v>31</v>
      </c>
      <c r="H29" s="102" t="s">
        <v>31</v>
      </c>
      <c r="I29" s="102" t="s">
        <v>31</v>
      </c>
      <c r="J29" s="102" t="s">
        <v>31</v>
      </c>
      <c r="K29" s="102" t="s">
        <v>31</v>
      </c>
      <c r="L29" s="102" t="s">
        <v>31</v>
      </c>
      <c r="M29" s="102" t="s">
        <v>31</v>
      </c>
      <c r="N29" s="102" t="s">
        <v>31</v>
      </c>
      <c r="O29" s="102" t="s">
        <v>31</v>
      </c>
      <c r="P29" s="102" t="s">
        <v>31</v>
      </c>
      <c r="Q29" s="102" t="s">
        <v>31</v>
      </c>
      <c r="R29" s="102" t="s">
        <v>31</v>
      </c>
      <c r="S29" s="102" t="s">
        <v>31</v>
      </c>
      <c r="T29" s="102" t="s">
        <v>31</v>
      </c>
      <c r="U29" s="102" t="s">
        <v>31</v>
      </c>
      <c r="V29" s="102" t="s">
        <v>31</v>
      </c>
      <c r="W29" s="102" t="s">
        <v>31</v>
      </c>
      <c r="X29" s="102" t="s">
        <v>31</v>
      </c>
      <c r="Y29" s="102" t="s">
        <v>31</v>
      </c>
      <c r="Z29" s="102" t="s">
        <v>31</v>
      </c>
      <c r="AA29" s="102" t="s">
        <v>31</v>
      </c>
      <c r="AB29" s="102" t="s">
        <v>31</v>
      </c>
      <c r="AC29" s="102" t="s">
        <v>31</v>
      </c>
      <c r="AD29" s="102" t="s">
        <v>31</v>
      </c>
      <c r="AE29" s="102" t="s">
        <v>31</v>
      </c>
      <c r="AF29" s="102" t="s">
        <v>31</v>
      </c>
      <c r="AG29" s="102" t="s">
        <v>31</v>
      </c>
      <c r="AH29" s="102" t="s">
        <v>31</v>
      </c>
      <c r="AI29" s="102" t="s">
        <v>31</v>
      </c>
      <c r="AJ29" s="102" t="s">
        <v>31</v>
      </c>
      <c r="AK29" s="102" t="s">
        <v>31</v>
      </c>
      <c r="AL29" s="102" t="s">
        <v>31</v>
      </c>
      <c r="AM29" s="102" t="s">
        <v>31</v>
      </c>
      <c r="AN29" s="102" t="s">
        <v>31</v>
      </c>
      <c r="AO29" s="102" t="s">
        <v>31</v>
      </c>
      <c r="AP29" s="102" t="s">
        <v>31</v>
      </c>
      <c r="AQ29" s="102" t="s">
        <v>31</v>
      </c>
      <c r="AR29" s="102" t="s">
        <v>31</v>
      </c>
      <c r="AS29" s="102" t="s">
        <v>31</v>
      </c>
      <c r="AT29" s="102" t="s">
        <v>31</v>
      </c>
      <c r="AU29" s="102" t="s">
        <v>31</v>
      </c>
      <c r="AV29" s="102" t="s">
        <v>31</v>
      </c>
      <c r="AW29" s="102" t="s">
        <v>31</v>
      </c>
      <c r="AX29" s="102" t="s">
        <v>31</v>
      </c>
      <c r="AY29" s="102" t="s">
        <v>31</v>
      </c>
      <c r="AZ29" s="102" t="s">
        <v>31</v>
      </c>
      <c r="BA29" s="102" t="s">
        <v>31</v>
      </c>
      <c r="BB29" s="102" t="s">
        <v>31</v>
      </c>
      <c r="BC29" s="102" t="s">
        <v>31</v>
      </c>
      <c r="BD29" s="102" t="s">
        <v>31</v>
      </c>
      <c r="BE29" s="102" t="s">
        <v>31</v>
      </c>
      <c r="BF29" s="102" t="s">
        <v>31</v>
      </c>
      <c r="BG29" s="102" t="s">
        <v>31</v>
      </c>
      <c r="BH29" s="102" t="s">
        <v>31</v>
      </c>
      <c r="BI29" s="102" t="s">
        <v>31</v>
      </c>
      <c r="BJ29" s="102" t="s">
        <v>31</v>
      </c>
      <c r="BK29" s="102" t="s">
        <v>31</v>
      </c>
      <c r="BL29" s="102" t="s">
        <v>31</v>
      </c>
      <c r="BM29" s="102" t="s">
        <v>31</v>
      </c>
      <c r="BN29" s="102" t="s">
        <v>31</v>
      </c>
      <c r="BO29" s="102" t="s">
        <v>31</v>
      </c>
      <c r="BP29" s="102" t="s">
        <v>31</v>
      </c>
      <c r="BQ29" s="102" t="s">
        <v>31</v>
      </c>
      <c r="BR29" s="102" t="s">
        <v>31</v>
      </c>
      <c r="BS29" s="102" t="s">
        <v>31</v>
      </c>
      <c r="BT29" s="102" t="s">
        <v>31</v>
      </c>
      <c r="BU29" s="102" t="s">
        <v>31</v>
      </c>
      <c r="BV29" s="102" t="s">
        <v>31</v>
      </c>
      <c r="BW29" s="102" t="s">
        <v>31</v>
      </c>
      <c r="BX29" s="102" t="s">
        <v>31</v>
      </c>
      <c r="BY29" s="102" t="s">
        <v>31</v>
      </c>
      <c r="BZ29" s="102" t="s">
        <v>31</v>
      </c>
      <c r="CA29" s="102" t="s">
        <v>31</v>
      </c>
      <c r="CB29" s="102" t="s">
        <v>31</v>
      </c>
      <c r="CC29" s="102" t="s">
        <v>31</v>
      </c>
      <c r="CD29" s="102" t="s">
        <v>31</v>
      </c>
      <c r="CE29" s="102" t="s">
        <v>31</v>
      </c>
      <c r="CF29" s="102" t="s">
        <v>31</v>
      </c>
      <c r="CG29" s="102" t="s">
        <v>31</v>
      </c>
      <c r="CH29" s="102" t="s">
        <v>31</v>
      </c>
      <c r="CI29" s="102" t="s">
        <v>31</v>
      </c>
      <c r="CJ29" s="102" t="s">
        <v>31</v>
      </c>
      <c r="CK29" s="102" t="s">
        <v>31</v>
      </c>
      <c r="CL29" s="102" t="s">
        <v>31</v>
      </c>
      <c r="CM29" s="102" t="s">
        <v>31</v>
      </c>
    </row>
    <row r="30" spans="1:91" ht="15" customHeight="1">
      <c r="A30" s="222" t="s">
        <v>32</v>
      </c>
      <c r="B30" s="223"/>
      <c r="C30" s="6" t="s">
        <v>29</v>
      </c>
      <c r="D30" s="76"/>
      <c r="E30" s="103">
        <v>3</v>
      </c>
      <c r="F30" s="103">
        <v>3</v>
      </c>
      <c r="G30" s="103">
        <v>3</v>
      </c>
      <c r="H30" s="103">
        <v>3</v>
      </c>
      <c r="I30" s="103">
        <v>3</v>
      </c>
      <c r="J30" s="103">
        <v>3</v>
      </c>
      <c r="K30" s="103">
        <v>3</v>
      </c>
      <c r="L30" s="103">
        <v>3</v>
      </c>
      <c r="M30" s="103">
        <v>3</v>
      </c>
      <c r="N30" s="103">
        <v>3</v>
      </c>
      <c r="O30" s="103">
        <v>3</v>
      </c>
      <c r="P30" s="103">
        <v>3</v>
      </c>
      <c r="Q30" s="103">
        <v>3</v>
      </c>
      <c r="R30" s="103">
        <v>3</v>
      </c>
      <c r="S30" s="103">
        <v>3</v>
      </c>
      <c r="T30" s="103">
        <v>3</v>
      </c>
      <c r="U30" s="103">
        <v>3</v>
      </c>
      <c r="V30" s="103">
        <v>3</v>
      </c>
      <c r="W30" s="103">
        <v>3</v>
      </c>
      <c r="X30" s="103">
        <v>3</v>
      </c>
      <c r="Y30" s="103">
        <v>3</v>
      </c>
      <c r="Z30" s="103">
        <v>3</v>
      </c>
      <c r="AA30" s="103">
        <v>3</v>
      </c>
      <c r="AB30" s="103">
        <v>3</v>
      </c>
      <c r="AC30" s="103">
        <v>3</v>
      </c>
      <c r="AD30" s="103">
        <v>3</v>
      </c>
      <c r="AE30" s="103">
        <v>3</v>
      </c>
      <c r="AF30" s="103">
        <v>3</v>
      </c>
      <c r="AG30" s="103">
        <v>3</v>
      </c>
      <c r="AH30" s="103">
        <v>3</v>
      </c>
      <c r="AI30" s="103">
        <v>3</v>
      </c>
      <c r="AJ30" s="103">
        <v>3</v>
      </c>
      <c r="AK30" s="103">
        <v>3</v>
      </c>
      <c r="AL30" s="103">
        <v>3</v>
      </c>
      <c r="AM30" s="103">
        <v>3</v>
      </c>
      <c r="AN30" s="103">
        <v>3</v>
      </c>
      <c r="AO30" s="103">
        <v>3</v>
      </c>
      <c r="AP30" s="103">
        <v>3</v>
      </c>
      <c r="AQ30" s="103">
        <v>3</v>
      </c>
      <c r="AR30" s="103">
        <v>3</v>
      </c>
      <c r="AS30" s="103">
        <v>3</v>
      </c>
      <c r="AT30" s="103">
        <v>3</v>
      </c>
      <c r="AU30" s="103">
        <v>3</v>
      </c>
      <c r="AV30" s="103">
        <v>3</v>
      </c>
      <c r="AW30" s="103">
        <v>3</v>
      </c>
      <c r="AX30" s="103">
        <v>3</v>
      </c>
      <c r="AY30" s="103">
        <v>3</v>
      </c>
      <c r="AZ30" s="103">
        <v>3</v>
      </c>
      <c r="BA30" s="103">
        <v>3</v>
      </c>
      <c r="BB30" s="103">
        <v>3</v>
      </c>
      <c r="BC30" s="103">
        <v>3</v>
      </c>
      <c r="BD30" s="103">
        <v>3</v>
      </c>
      <c r="BE30" s="103">
        <v>3</v>
      </c>
      <c r="BF30" s="103">
        <v>3</v>
      </c>
      <c r="BG30" s="103">
        <v>3</v>
      </c>
      <c r="BH30" s="103">
        <v>3</v>
      </c>
      <c r="BI30" s="103">
        <v>3</v>
      </c>
      <c r="BJ30" s="103">
        <v>3</v>
      </c>
      <c r="BK30" s="103">
        <v>3</v>
      </c>
      <c r="BL30" s="103">
        <v>3</v>
      </c>
      <c r="BM30" s="103">
        <v>3</v>
      </c>
      <c r="BN30" s="103">
        <v>3</v>
      </c>
      <c r="BO30" s="103">
        <v>3</v>
      </c>
      <c r="BP30" s="103">
        <v>3</v>
      </c>
      <c r="BQ30" s="103">
        <v>3</v>
      </c>
      <c r="BR30" s="103">
        <v>3</v>
      </c>
      <c r="BS30" s="103">
        <v>3</v>
      </c>
      <c r="BT30" s="103">
        <v>3</v>
      </c>
      <c r="BU30" s="103">
        <v>3</v>
      </c>
      <c r="BV30" s="103">
        <v>3</v>
      </c>
      <c r="BW30" s="103">
        <v>3</v>
      </c>
      <c r="BX30" s="103">
        <v>3</v>
      </c>
      <c r="BY30" s="103">
        <v>3</v>
      </c>
      <c r="BZ30" s="103">
        <v>3</v>
      </c>
      <c r="CA30" s="103">
        <v>3</v>
      </c>
      <c r="CB30" s="103">
        <v>3</v>
      </c>
      <c r="CC30" s="103">
        <v>3</v>
      </c>
      <c r="CD30" s="103">
        <v>3</v>
      </c>
      <c r="CE30" s="103">
        <v>3</v>
      </c>
      <c r="CF30" s="103">
        <v>3</v>
      </c>
      <c r="CG30" s="103">
        <v>3</v>
      </c>
      <c r="CH30" s="103">
        <v>3</v>
      </c>
      <c r="CI30" s="103">
        <v>3</v>
      </c>
      <c r="CJ30" s="103">
        <v>3</v>
      </c>
      <c r="CK30" s="103">
        <v>3</v>
      </c>
      <c r="CL30" s="103">
        <v>3</v>
      </c>
      <c r="CM30" s="103">
        <v>3</v>
      </c>
    </row>
    <row r="31" spans="1:91" ht="15" customHeight="1">
      <c r="A31" s="227" t="s">
        <v>33</v>
      </c>
      <c r="B31" s="228"/>
      <c r="C31" s="104" t="s">
        <v>29</v>
      </c>
      <c r="D31" s="105"/>
      <c r="E31" s="106">
        <v>2</v>
      </c>
      <c r="F31" s="107">
        <v>1</v>
      </c>
      <c r="G31" s="107">
        <v>2</v>
      </c>
      <c r="H31" s="107">
        <v>2</v>
      </c>
      <c r="I31" s="107">
        <v>2</v>
      </c>
      <c r="J31" s="107">
        <v>2</v>
      </c>
      <c r="K31" s="107">
        <v>2</v>
      </c>
      <c r="L31" s="107">
        <v>1</v>
      </c>
      <c r="M31" s="107">
        <v>2</v>
      </c>
      <c r="N31" s="107">
        <v>1</v>
      </c>
      <c r="O31" s="107">
        <v>2</v>
      </c>
      <c r="P31" s="107">
        <v>2</v>
      </c>
      <c r="Q31" s="107">
        <v>2</v>
      </c>
      <c r="R31" s="107">
        <v>1</v>
      </c>
      <c r="S31" s="107">
        <v>2</v>
      </c>
      <c r="T31" s="107">
        <v>2</v>
      </c>
      <c r="U31" s="107">
        <v>2</v>
      </c>
      <c r="V31" s="107">
        <v>2</v>
      </c>
      <c r="W31" s="107">
        <v>2</v>
      </c>
      <c r="X31" s="107">
        <v>2</v>
      </c>
      <c r="Y31" s="107">
        <v>2</v>
      </c>
      <c r="Z31" s="107">
        <v>2</v>
      </c>
      <c r="AA31" s="107">
        <v>2</v>
      </c>
      <c r="AB31" s="107">
        <v>2</v>
      </c>
      <c r="AC31" s="107">
        <v>2</v>
      </c>
      <c r="AD31" s="107">
        <v>1</v>
      </c>
      <c r="AE31" s="107">
        <v>2</v>
      </c>
      <c r="AF31" s="107">
        <v>2</v>
      </c>
      <c r="AG31" s="107">
        <v>2</v>
      </c>
      <c r="AH31" s="107">
        <v>2</v>
      </c>
      <c r="AI31" s="107">
        <v>2</v>
      </c>
      <c r="AJ31" s="107">
        <v>2</v>
      </c>
      <c r="AK31" s="107">
        <v>2</v>
      </c>
      <c r="AL31" s="107">
        <v>2</v>
      </c>
      <c r="AM31" s="107">
        <v>2</v>
      </c>
      <c r="AN31" s="107">
        <v>2</v>
      </c>
      <c r="AO31" s="107">
        <v>2</v>
      </c>
      <c r="AP31" s="107">
        <v>2</v>
      </c>
      <c r="AQ31" s="107">
        <v>2</v>
      </c>
      <c r="AR31" s="107">
        <v>2</v>
      </c>
      <c r="AS31" s="107">
        <v>2</v>
      </c>
      <c r="AT31" s="107">
        <v>2</v>
      </c>
      <c r="AU31" s="107">
        <v>2</v>
      </c>
      <c r="AV31" s="107">
        <v>2</v>
      </c>
      <c r="AW31" s="107">
        <v>2</v>
      </c>
      <c r="AX31" s="107">
        <v>1</v>
      </c>
      <c r="AY31" s="107">
        <v>1</v>
      </c>
      <c r="AZ31" s="107">
        <v>2</v>
      </c>
      <c r="BA31" s="107">
        <v>1</v>
      </c>
      <c r="BB31" s="107">
        <v>1</v>
      </c>
      <c r="BC31" s="107">
        <v>2</v>
      </c>
      <c r="BD31" s="107">
        <v>1</v>
      </c>
      <c r="BE31" s="107">
        <v>2</v>
      </c>
      <c r="BF31" s="107">
        <v>1</v>
      </c>
      <c r="BG31" s="107">
        <v>1</v>
      </c>
      <c r="BH31" s="107">
        <v>1</v>
      </c>
      <c r="BI31" s="107">
        <v>1</v>
      </c>
      <c r="BJ31" s="107">
        <v>2</v>
      </c>
      <c r="BK31" s="107">
        <v>2</v>
      </c>
      <c r="BL31" s="107">
        <v>2</v>
      </c>
      <c r="BM31" s="107">
        <v>2</v>
      </c>
      <c r="BN31" s="107">
        <v>1</v>
      </c>
      <c r="BO31" s="107">
        <v>1</v>
      </c>
      <c r="BP31" s="107">
        <v>2</v>
      </c>
      <c r="BQ31" s="107">
        <v>1</v>
      </c>
      <c r="BR31" s="107">
        <v>2</v>
      </c>
      <c r="BS31" s="107">
        <v>2</v>
      </c>
      <c r="BT31" s="107">
        <v>2</v>
      </c>
      <c r="BU31" s="107">
        <v>1</v>
      </c>
      <c r="BV31" s="107">
        <v>1</v>
      </c>
      <c r="BW31" s="107">
        <v>1</v>
      </c>
      <c r="BX31" s="107">
        <v>2</v>
      </c>
      <c r="BY31" s="107">
        <v>2</v>
      </c>
      <c r="BZ31" s="107">
        <v>1</v>
      </c>
      <c r="CA31" s="107">
        <v>2</v>
      </c>
      <c r="CB31" s="107">
        <v>2</v>
      </c>
      <c r="CC31" s="107">
        <v>2</v>
      </c>
      <c r="CD31" s="107">
        <v>2</v>
      </c>
      <c r="CE31" s="107">
        <v>2</v>
      </c>
      <c r="CF31" s="107">
        <v>2</v>
      </c>
      <c r="CG31" s="107">
        <v>1</v>
      </c>
      <c r="CH31" s="107">
        <v>2</v>
      </c>
      <c r="CI31" s="107">
        <v>1</v>
      </c>
      <c r="CJ31" s="107">
        <v>1</v>
      </c>
      <c r="CK31" s="107">
        <v>1</v>
      </c>
      <c r="CL31" s="107">
        <v>1</v>
      </c>
      <c r="CM31" s="107">
        <v>1</v>
      </c>
    </row>
    <row r="33" spans="1:1">
      <c r="A33" s="89" t="s">
        <v>52</v>
      </c>
    </row>
    <row r="34" spans="1:1">
      <c r="A34" s="26" t="s">
        <v>56</v>
      </c>
    </row>
    <row r="35" spans="1:1">
      <c r="A35" s="3"/>
    </row>
  </sheetData>
  <mergeCells count="3">
    <mergeCell ref="A29:B29"/>
    <mergeCell ref="A30:B30"/>
    <mergeCell ref="A31:B31"/>
  </mergeCells>
  <conditionalFormatting sqref="E7:CI16">
    <cfRule type="cellIs" dxfId="28" priority="1" stopIfTrue="1" operator="lessThan">
      <formula>#REF!</formula>
    </cfRule>
    <cfRule type="cellIs" dxfId="27" priority="3" operator="lessThan">
      <formula>#REF!</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E397F-1E3A-4E66-905D-5E240ABFD8CB}">
  <dimension ref="A1:AT35"/>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46" ht="15" customHeight="1"/>
    <row r="2" spans="1:46" ht="15" customHeight="1">
      <c r="A2" s="9"/>
      <c r="B2" s="7"/>
      <c r="C2" s="7"/>
      <c r="D2" s="7"/>
      <c r="E2" s="7"/>
    </row>
    <row r="3" spans="1:46" ht="20.45" customHeight="1">
      <c r="A3" s="9" t="str">
        <f>Voorblad!A5</f>
        <v>Team Freight Forwarding Logistics</v>
      </c>
      <c r="B3" s="8"/>
      <c r="C3" s="8"/>
      <c r="D3" s="8"/>
      <c r="E3" s="48"/>
    </row>
    <row r="4" spans="1:46" s="51" customFormat="1" ht="15.75">
      <c r="A4" s="62" t="s">
        <v>57</v>
      </c>
      <c r="B4" s="49"/>
      <c r="C4" s="50"/>
      <c r="D4" s="50"/>
      <c r="E4" s="50"/>
    </row>
    <row r="5" spans="1:46" ht="15" customHeight="1">
      <c r="A5" s="7"/>
      <c r="B5" s="7"/>
      <c r="C5" s="7"/>
      <c r="D5" s="7"/>
      <c r="E5" s="26"/>
    </row>
    <row r="6" spans="1:46" ht="15" customHeight="1">
      <c r="A6" s="63" t="s">
        <v>20</v>
      </c>
      <c r="B6" s="63" t="s">
        <v>21</v>
      </c>
      <c r="C6" s="64" t="s">
        <v>22</v>
      </c>
      <c r="D6" s="64" t="s">
        <v>23</v>
      </c>
      <c r="E6" s="122">
        <v>10</v>
      </c>
      <c r="F6" s="122">
        <v>20</v>
      </c>
      <c r="G6" s="122">
        <v>21</v>
      </c>
      <c r="H6" s="122">
        <v>30</v>
      </c>
      <c r="I6" s="122">
        <v>31</v>
      </c>
      <c r="J6" s="122">
        <v>40</v>
      </c>
      <c r="K6" s="122">
        <v>41</v>
      </c>
      <c r="L6" s="122">
        <v>42</v>
      </c>
      <c r="M6" s="122">
        <v>43</v>
      </c>
      <c r="N6" s="122">
        <v>44</v>
      </c>
      <c r="O6" s="122">
        <v>45</v>
      </c>
      <c r="P6" s="122">
        <v>46</v>
      </c>
      <c r="Q6" s="122">
        <v>48</v>
      </c>
      <c r="R6" s="122">
        <v>49</v>
      </c>
      <c r="S6" s="122">
        <v>50</v>
      </c>
      <c r="T6" s="122">
        <v>51</v>
      </c>
      <c r="U6" s="122">
        <v>60</v>
      </c>
      <c r="V6" s="122">
        <v>61</v>
      </c>
      <c r="W6" s="122">
        <v>62</v>
      </c>
      <c r="X6" s="122">
        <v>63</v>
      </c>
      <c r="Y6" s="122">
        <v>64</v>
      </c>
      <c r="Z6" s="122">
        <v>65</v>
      </c>
      <c r="AA6" s="122">
        <v>66</v>
      </c>
      <c r="AB6" s="122">
        <v>67</v>
      </c>
      <c r="AC6" s="122">
        <v>68</v>
      </c>
      <c r="AD6" s="122">
        <v>69</v>
      </c>
      <c r="AE6" s="122">
        <v>70</v>
      </c>
      <c r="AF6" s="122">
        <v>71</v>
      </c>
      <c r="AG6" s="122">
        <v>72</v>
      </c>
      <c r="AH6" s="122">
        <v>73</v>
      </c>
      <c r="AI6" s="122">
        <v>74</v>
      </c>
      <c r="AJ6" s="122">
        <v>75</v>
      </c>
      <c r="AK6" s="122">
        <v>76</v>
      </c>
      <c r="AL6" s="122">
        <v>78</v>
      </c>
      <c r="AM6" s="122">
        <v>79</v>
      </c>
      <c r="AN6" s="122">
        <v>80</v>
      </c>
      <c r="AO6" s="122">
        <v>85</v>
      </c>
      <c r="AP6" s="122">
        <v>86</v>
      </c>
      <c r="AQ6" s="122">
        <v>87</v>
      </c>
      <c r="AR6" s="122">
        <v>88</v>
      </c>
      <c r="AS6" s="122">
        <v>90</v>
      </c>
      <c r="AT6" s="122">
        <v>91</v>
      </c>
    </row>
    <row r="7" spans="1:46" ht="15" customHeight="1">
      <c r="A7" s="67">
        <v>300</v>
      </c>
      <c r="B7" s="64">
        <v>0.2</v>
      </c>
      <c r="C7" s="64">
        <v>0.5</v>
      </c>
      <c r="D7" s="64"/>
      <c r="E7" s="109">
        <v>144</v>
      </c>
      <c r="F7" s="109">
        <v>171</v>
      </c>
      <c r="G7" s="109">
        <v>171</v>
      </c>
      <c r="H7" s="109">
        <v>171</v>
      </c>
      <c r="I7" s="109">
        <v>171</v>
      </c>
      <c r="J7" s="109">
        <v>171</v>
      </c>
      <c r="K7" s="109">
        <v>171</v>
      </c>
      <c r="L7" s="109">
        <v>171</v>
      </c>
      <c r="M7" s="109">
        <v>171</v>
      </c>
      <c r="N7" s="109">
        <v>165</v>
      </c>
      <c r="O7" s="109">
        <v>165</v>
      </c>
      <c r="P7" s="109">
        <v>165</v>
      </c>
      <c r="Q7" s="109">
        <v>171</v>
      </c>
      <c r="R7" s="109">
        <v>171</v>
      </c>
      <c r="S7" s="109">
        <v>171</v>
      </c>
      <c r="T7" s="109">
        <v>171</v>
      </c>
      <c r="U7" s="109">
        <v>171</v>
      </c>
      <c r="V7" s="109">
        <v>171</v>
      </c>
      <c r="W7" s="109">
        <v>171</v>
      </c>
      <c r="X7" s="109">
        <v>171</v>
      </c>
      <c r="Y7" s="109">
        <v>171</v>
      </c>
      <c r="Z7" s="109">
        <v>171</v>
      </c>
      <c r="AA7" s="109">
        <v>171</v>
      </c>
      <c r="AB7" s="109">
        <v>171</v>
      </c>
      <c r="AC7" s="109">
        <v>171</v>
      </c>
      <c r="AD7" s="109">
        <v>171</v>
      </c>
      <c r="AE7" s="109">
        <v>171</v>
      </c>
      <c r="AF7" s="109">
        <v>171</v>
      </c>
      <c r="AG7" s="109">
        <v>165</v>
      </c>
      <c r="AH7" s="109">
        <v>165</v>
      </c>
      <c r="AI7" s="109">
        <v>157</v>
      </c>
      <c r="AJ7" s="109">
        <v>157</v>
      </c>
      <c r="AK7" s="109">
        <v>157</v>
      </c>
      <c r="AL7" s="109">
        <v>165</v>
      </c>
      <c r="AM7" s="109">
        <v>165</v>
      </c>
      <c r="AN7" s="109">
        <v>171</v>
      </c>
      <c r="AO7" s="109">
        <v>171</v>
      </c>
      <c r="AP7" s="109">
        <v>171</v>
      </c>
      <c r="AQ7" s="109">
        <v>171</v>
      </c>
      <c r="AR7" s="109">
        <v>171</v>
      </c>
      <c r="AS7" s="109">
        <v>171</v>
      </c>
      <c r="AT7" s="109">
        <v>165</v>
      </c>
    </row>
    <row r="8" spans="1:46" ht="15" customHeight="1">
      <c r="A8" s="2">
        <v>700</v>
      </c>
      <c r="B8" s="64">
        <v>0.4</v>
      </c>
      <c r="C8" s="64">
        <v>1</v>
      </c>
      <c r="D8" s="64"/>
      <c r="E8" s="109">
        <v>182</v>
      </c>
      <c r="F8" s="109">
        <v>219</v>
      </c>
      <c r="G8" s="109">
        <v>219</v>
      </c>
      <c r="H8" s="109">
        <v>219</v>
      </c>
      <c r="I8" s="109">
        <v>219</v>
      </c>
      <c r="J8" s="109">
        <v>219</v>
      </c>
      <c r="K8" s="109">
        <v>219</v>
      </c>
      <c r="L8" s="109">
        <v>219</v>
      </c>
      <c r="M8" s="109">
        <v>219</v>
      </c>
      <c r="N8" s="109">
        <v>209</v>
      </c>
      <c r="O8" s="109">
        <v>209</v>
      </c>
      <c r="P8" s="109">
        <v>209</v>
      </c>
      <c r="Q8" s="109">
        <v>219</v>
      </c>
      <c r="R8" s="109">
        <v>219</v>
      </c>
      <c r="S8" s="109">
        <v>219</v>
      </c>
      <c r="T8" s="109">
        <v>219</v>
      </c>
      <c r="U8" s="109">
        <v>219</v>
      </c>
      <c r="V8" s="109">
        <v>219</v>
      </c>
      <c r="W8" s="109">
        <v>219</v>
      </c>
      <c r="X8" s="109">
        <v>219</v>
      </c>
      <c r="Y8" s="109">
        <v>219</v>
      </c>
      <c r="Z8" s="109">
        <v>219</v>
      </c>
      <c r="AA8" s="109">
        <v>219</v>
      </c>
      <c r="AB8" s="109">
        <v>219</v>
      </c>
      <c r="AC8" s="109">
        <v>219</v>
      </c>
      <c r="AD8" s="109">
        <v>219</v>
      </c>
      <c r="AE8" s="109">
        <v>219</v>
      </c>
      <c r="AF8" s="109">
        <v>219</v>
      </c>
      <c r="AG8" s="109">
        <v>209</v>
      </c>
      <c r="AH8" s="109">
        <v>209</v>
      </c>
      <c r="AI8" s="109">
        <v>200</v>
      </c>
      <c r="AJ8" s="109">
        <v>200</v>
      </c>
      <c r="AK8" s="109">
        <v>200</v>
      </c>
      <c r="AL8" s="109">
        <v>209</v>
      </c>
      <c r="AM8" s="109">
        <v>209</v>
      </c>
      <c r="AN8" s="109">
        <v>219</v>
      </c>
      <c r="AO8" s="109">
        <v>219</v>
      </c>
      <c r="AP8" s="109">
        <v>219</v>
      </c>
      <c r="AQ8" s="109">
        <v>219</v>
      </c>
      <c r="AR8" s="109">
        <v>219</v>
      </c>
      <c r="AS8" s="109">
        <v>209</v>
      </c>
      <c r="AT8" s="109">
        <v>209</v>
      </c>
    </row>
    <row r="9" spans="1:46" ht="15" customHeight="1">
      <c r="A9" s="2">
        <v>875</v>
      </c>
      <c r="B9" s="64">
        <v>0.5</v>
      </c>
      <c r="C9" s="64"/>
      <c r="D9" s="64">
        <v>1</v>
      </c>
      <c r="E9" s="109">
        <v>200</v>
      </c>
      <c r="F9" s="109">
        <v>240</v>
      </c>
      <c r="G9" s="109">
        <v>240</v>
      </c>
      <c r="H9" s="109">
        <v>240</v>
      </c>
      <c r="I9" s="109">
        <v>240</v>
      </c>
      <c r="J9" s="109">
        <v>240</v>
      </c>
      <c r="K9" s="109">
        <v>240</v>
      </c>
      <c r="L9" s="109">
        <v>240</v>
      </c>
      <c r="M9" s="109">
        <v>240</v>
      </c>
      <c r="N9" s="109">
        <v>230</v>
      </c>
      <c r="O9" s="109">
        <v>230</v>
      </c>
      <c r="P9" s="109">
        <v>230</v>
      </c>
      <c r="Q9" s="109">
        <v>240</v>
      </c>
      <c r="R9" s="109">
        <v>240</v>
      </c>
      <c r="S9" s="109">
        <v>240</v>
      </c>
      <c r="T9" s="109">
        <v>240</v>
      </c>
      <c r="U9" s="109">
        <v>240</v>
      </c>
      <c r="V9" s="109">
        <v>240</v>
      </c>
      <c r="W9" s="109">
        <v>240</v>
      </c>
      <c r="X9" s="109">
        <v>240</v>
      </c>
      <c r="Y9" s="109">
        <v>240</v>
      </c>
      <c r="Z9" s="109">
        <v>240</v>
      </c>
      <c r="AA9" s="109">
        <v>240</v>
      </c>
      <c r="AB9" s="109">
        <v>240</v>
      </c>
      <c r="AC9" s="109">
        <v>240</v>
      </c>
      <c r="AD9" s="109">
        <v>240</v>
      </c>
      <c r="AE9" s="109">
        <v>240</v>
      </c>
      <c r="AF9" s="109">
        <v>240</v>
      </c>
      <c r="AG9" s="109">
        <v>230</v>
      </c>
      <c r="AH9" s="109">
        <v>230</v>
      </c>
      <c r="AI9" s="109">
        <v>221</v>
      </c>
      <c r="AJ9" s="109">
        <v>221</v>
      </c>
      <c r="AK9" s="109">
        <v>221</v>
      </c>
      <c r="AL9" s="109">
        <v>230</v>
      </c>
      <c r="AM9" s="109">
        <v>230</v>
      </c>
      <c r="AN9" s="109">
        <v>240</v>
      </c>
      <c r="AO9" s="109">
        <v>240</v>
      </c>
      <c r="AP9" s="109">
        <v>240</v>
      </c>
      <c r="AQ9" s="109">
        <v>240</v>
      </c>
      <c r="AR9" s="109">
        <v>240</v>
      </c>
      <c r="AS9" s="109">
        <v>230</v>
      </c>
      <c r="AT9" s="109">
        <v>230</v>
      </c>
    </row>
    <row r="10" spans="1:46" ht="15" customHeight="1">
      <c r="A10" s="2">
        <v>1050</v>
      </c>
      <c r="B10" s="64">
        <v>0.6</v>
      </c>
      <c r="C10" s="64"/>
      <c r="D10" s="64"/>
      <c r="E10" s="109">
        <v>213</v>
      </c>
      <c r="F10" s="109">
        <v>255</v>
      </c>
      <c r="G10" s="109">
        <v>255</v>
      </c>
      <c r="H10" s="109">
        <v>255</v>
      </c>
      <c r="I10" s="109">
        <v>255</v>
      </c>
      <c r="J10" s="109">
        <v>255</v>
      </c>
      <c r="K10" s="109">
        <v>255</v>
      </c>
      <c r="L10" s="109">
        <v>255</v>
      </c>
      <c r="M10" s="109">
        <v>255</v>
      </c>
      <c r="N10" s="109">
        <v>245</v>
      </c>
      <c r="O10" s="109">
        <v>245</v>
      </c>
      <c r="P10" s="109">
        <v>245</v>
      </c>
      <c r="Q10" s="109">
        <v>255</v>
      </c>
      <c r="R10" s="109">
        <v>255</v>
      </c>
      <c r="S10" s="109">
        <v>255</v>
      </c>
      <c r="T10" s="109">
        <v>255</v>
      </c>
      <c r="U10" s="109">
        <v>255</v>
      </c>
      <c r="V10" s="109">
        <v>255</v>
      </c>
      <c r="W10" s="109">
        <v>255</v>
      </c>
      <c r="X10" s="109">
        <v>255</v>
      </c>
      <c r="Y10" s="109">
        <v>255</v>
      </c>
      <c r="Z10" s="109">
        <v>255</v>
      </c>
      <c r="AA10" s="109">
        <v>255</v>
      </c>
      <c r="AB10" s="109">
        <v>255</v>
      </c>
      <c r="AC10" s="109">
        <v>255</v>
      </c>
      <c r="AD10" s="109">
        <v>255</v>
      </c>
      <c r="AE10" s="109">
        <v>255</v>
      </c>
      <c r="AF10" s="109">
        <v>255</v>
      </c>
      <c r="AG10" s="109">
        <v>245</v>
      </c>
      <c r="AH10" s="109">
        <v>245</v>
      </c>
      <c r="AI10" s="109">
        <v>235</v>
      </c>
      <c r="AJ10" s="109">
        <v>235</v>
      </c>
      <c r="AK10" s="109">
        <v>235</v>
      </c>
      <c r="AL10" s="109">
        <v>245</v>
      </c>
      <c r="AM10" s="109">
        <v>245</v>
      </c>
      <c r="AN10" s="109">
        <v>255</v>
      </c>
      <c r="AO10" s="109">
        <v>255</v>
      </c>
      <c r="AP10" s="109">
        <v>255</v>
      </c>
      <c r="AQ10" s="109">
        <v>255</v>
      </c>
      <c r="AR10" s="109">
        <v>255</v>
      </c>
      <c r="AS10" s="109">
        <v>245</v>
      </c>
      <c r="AT10" s="109">
        <v>245</v>
      </c>
    </row>
    <row r="11" spans="1:46" ht="15" customHeight="1">
      <c r="A11" s="2">
        <v>1400</v>
      </c>
      <c r="B11" s="64">
        <v>0.8</v>
      </c>
      <c r="C11" s="64">
        <v>2</v>
      </c>
      <c r="D11" s="64"/>
      <c r="E11" s="109">
        <v>274</v>
      </c>
      <c r="F11" s="109">
        <v>329</v>
      </c>
      <c r="G11" s="109">
        <v>329</v>
      </c>
      <c r="H11" s="109">
        <v>329</v>
      </c>
      <c r="I11" s="109">
        <v>329</v>
      </c>
      <c r="J11" s="109">
        <v>329</v>
      </c>
      <c r="K11" s="109">
        <v>329</v>
      </c>
      <c r="L11" s="109">
        <v>329</v>
      </c>
      <c r="M11" s="109">
        <v>329</v>
      </c>
      <c r="N11" s="109">
        <v>315</v>
      </c>
      <c r="O11" s="109">
        <v>315</v>
      </c>
      <c r="P11" s="109">
        <v>315</v>
      </c>
      <c r="Q11" s="109">
        <v>329</v>
      </c>
      <c r="R11" s="109">
        <v>329</v>
      </c>
      <c r="S11" s="109">
        <v>329</v>
      </c>
      <c r="T11" s="109">
        <v>329</v>
      </c>
      <c r="U11" s="109">
        <v>329</v>
      </c>
      <c r="V11" s="109">
        <v>329</v>
      </c>
      <c r="W11" s="109">
        <v>329</v>
      </c>
      <c r="X11" s="109">
        <v>329</v>
      </c>
      <c r="Y11" s="109">
        <v>329</v>
      </c>
      <c r="Z11" s="109">
        <v>329</v>
      </c>
      <c r="AA11" s="109">
        <v>329</v>
      </c>
      <c r="AB11" s="109">
        <v>329</v>
      </c>
      <c r="AC11" s="109">
        <v>329</v>
      </c>
      <c r="AD11" s="109">
        <v>329</v>
      </c>
      <c r="AE11" s="109">
        <v>329</v>
      </c>
      <c r="AF11" s="109">
        <v>329</v>
      </c>
      <c r="AG11" s="109">
        <v>315</v>
      </c>
      <c r="AH11" s="109">
        <v>315</v>
      </c>
      <c r="AI11" s="109">
        <v>300</v>
      </c>
      <c r="AJ11" s="109">
        <v>300</v>
      </c>
      <c r="AK11" s="109">
        <v>300</v>
      </c>
      <c r="AL11" s="109">
        <v>315</v>
      </c>
      <c r="AM11" s="109">
        <v>315</v>
      </c>
      <c r="AN11" s="109">
        <v>329</v>
      </c>
      <c r="AO11" s="109">
        <v>329</v>
      </c>
      <c r="AP11" s="109">
        <v>329</v>
      </c>
      <c r="AQ11" s="109">
        <v>329</v>
      </c>
      <c r="AR11" s="109">
        <v>329</v>
      </c>
      <c r="AS11" s="109">
        <v>315</v>
      </c>
      <c r="AT11" s="109">
        <v>315</v>
      </c>
    </row>
    <row r="12" spans="1:46" ht="15" customHeight="1">
      <c r="A12" s="2">
        <v>1750</v>
      </c>
      <c r="B12" s="64">
        <v>1</v>
      </c>
      <c r="C12" s="64"/>
      <c r="D12" s="64">
        <v>2</v>
      </c>
      <c r="E12" s="109">
        <v>327</v>
      </c>
      <c r="F12" s="109">
        <v>392</v>
      </c>
      <c r="G12" s="109">
        <v>392</v>
      </c>
      <c r="H12" s="109">
        <v>392</v>
      </c>
      <c r="I12" s="109">
        <v>392</v>
      </c>
      <c r="J12" s="109">
        <v>392</v>
      </c>
      <c r="K12" s="109">
        <v>392</v>
      </c>
      <c r="L12" s="109">
        <v>392</v>
      </c>
      <c r="M12" s="109">
        <v>392</v>
      </c>
      <c r="N12" s="109">
        <v>376</v>
      </c>
      <c r="O12" s="109">
        <v>376</v>
      </c>
      <c r="P12" s="109">
        <v>376</v>
      </c>
      <c r="Q12" s="109">
        <v>392</v>
      </c>
      <c r="R12" s="109">
        <v>392</v>
      </c>
      <c r="S12" s="109">
        <v>392</v>
      </c>
      <c r="T12" s="109">
        <v>392</v>
      </c>
      <c r="U12" s="109">
        <v>392</v>
      </c>
      <c r="V12" s="109">
        <v>392</v>
      </c>
      <c r="W12" s="109">
        <v>392</v>
      </c>
      <c r="X12" s="109">
        <v>392</v>
      </c>
      <c r="Y12" s="109">
        <v>392</v>
      </c>
      <c r="Z12" s="109">
        <v>392</v>
      </c>
      <c r="AA12" s="109">
        <v>392</v>
      </c>
      <c r="AB12" s="109">
        <v>392</v>
      </c>
      <c r="AC12" s="109">
        <v>392</v>
      </c>
      <c r="AD12" s="109">
        <v>392</v>
      </c>
      <c r="AE12" s="109">
        <v>392</v>
      </c>
      <c r="AF12" s="109">
        <v>392</v>
      </c>
      <c r="AG12" s="109">
        <v>376</v>
      </c>
      <c r="AH12" s="109">
        <v>376</v>
      </c>
      <c r="AI12" s="109">
        <v>360</v>
      </c>
      <c r="AJ12" s="109">
        <v>360</v>
      </c>
      <c r="AK12" s="109">
        <v>360</v>
      </c>
      <c r="AL12" s="109">
        <v>376</v>
      </c>
      <c r="AM12" s="109">
        <v>376</v>
      </c>
      <c r="AN12" s="109">
        <v>392</v>
      </c>
      <c r="AO12" s="109">
        <v>392</v>
      </c>
      <c r="AP12" s="109">
        <v>392</v>
      </c>
      <c r="AQ12" s="109">
        <v>392</v>
      </c>
      <c r="AR12" s="109">
        <v>392</v>
      </c>
      <c r="AS12" s="109">
        <v>376</v>
      </c>
      <c r="AT12" s="109">
        <v>376</v>
      </c>
    </row>
    <row r="13" spans="1:46" ht="15" customHeight="1">
      <c r="A13" s="2">
        <v>2100</v>
      </c>
      <c r="B13" s="64">
        <v>1.2</v>
      </c>
      <c r="C13" s="64">
        <v>3</v>
      </c>
      <c r="D13" s="64"/>
      <c r="E13" s="109">
        <v>379</v>
      </c>
      <c r="F13" s="109">
        <v>454</v>
      </c>
      <c r="G13" s="109">
        <v>454</v>
      </c>
      <c r="H13" s="109">
        <v>454</v>
      </c>
      <c r="I13" s="109">
        <v>454</v>
      </c>
      <c r="J13" s="109">
        <v>454</v>
      </c>
      <c r="K13" s="109">
        <v>454</v>
      </c>
      <c r="L13" s="109">
        <v>454</v>
      </c>
      <c r="M13" s="109">
        <v>454</v>
      </c>
      <c r="N13" s="109">
        <v>436</v>
      </c>
      <c r="O13" s="109">
        <v>436</v>
      </c>
      <c r="P13" s="109">
        <v>436</v>
      </c>
      <c r="Q13" s="109">
        <v>454</v>
      </c>
      <c r="R13" s="109">
        <v>454</v>
      </c>
      <c r="S13" s="109">
        <v>454</v>
      </c>
      <c r="T13" s="109">
        <v>454</v>
      </c>
      <c r="U13" s="109">
        <v>454</v>
      </c>
      <c r="V13" s="109">
        <v>454</v>
      </c>
      <c r="W13" s="109">
        <v>454</v>
      </c>
      <c r="X13" s="109">
        <v>454</v>
      </c>
      <c r="Y13" s="109">
        <v>454</v>
      </c>
      <c r="Z13" s="109">
        <v>454</v>
      </c>
      <c r="AA13" s="109">
        <v>454</v>
      </c>
      <c r="AB13" s="109">
        <v>454</v>
      </c>
      <c r="AC13" s="109">
        <v>454</v>
      </c>
      <c r="AD13" s="109">
        <v>454</v>
      </c>
      <c r="AE13" s="109">
        <v>454</v>
      </c>
      <c r="AF13" s="109">
        <v>454</v>
      </c>
      <c r="AG13" s="109">
        <v>436</v>
      </c>
      <c r="AH13" s="109">
        <v>436</v>
      </c>
      <c r="AI13" s="109">
        <v>416</v>
      </c>
      <c r="AJ13" s="109">
        <v>416</v>
      </c>
      <c r="AK13" s="109">
        <v>416</v>
      </c>
      <c r="AL13" s="109">
        <v>436</v>
      </c>
      <c r="AM13" s="109">
        <v>436</v>
      </c>
      <c r="AN13" s="109">
        <v>454</v>
      </c>
      <c r="AO13" s="109">
        <v>454</v>
      </c>
      <c r="AP13" s="109">
        <v>454</v>
      </c>
      <c r="AQ13" s="109">
        <v>454</v>
      </c>
      <c r="AR13" s="109">
        <v>454</v>
      </c>
      <c r="AS13" s="109">
        <v>436</v>
      </c>
      <c r="AT13" s="109">
        <v>436</v>
      </c>
    </row>
    <row r="14" spans="1:46" ht="15" customHeight="1">
      <c r="A14" s="2">
        <v>2625</v>
      </c>
      <c r="B14" s="64">
        <v>1.5</v>
      </c>
      <c r="C14" s="64"/>
      <c r="D14" s="64">
        <v>3</v>
      </c>
      <c r="E14" s="109">
        <v>437</v>
      </c>
      <c r="F14" s="109">
        <v>524</v>
      </c>
      <c r="G14" s="109">
        <v>524</v>
      </c>
      <c r="H14" s="109">
        <v>524</v>
      </c>
      <c r="I14" s="109">
        <v>524</v>
      </c>
      <c r="J14" s="109">
        <v>524</v>
      </c>
      <c r="K14" s="109">
        <v>524</v>
      </c>
      <c r="L14" s="109">
        <v>524</v>
      </c>
      <c r="M14" s="109">
        <v>524</v>
      </c>
      <c r="N14" s="109">
        <v>502</v>
      </c>
      <c r="O14" s="109">
        <v>502</v>
      </c>
      <c r="P14" s="109">
        <v>502</v>
      </c>
      <c r="Q14" s="109">
        <v>524</v>
      </c>
      <c r="R14" s="109">
        <v>524</v>
      </c>
      <c r="S14" s="109">
        <v>524</v>
      </c>
      <c r="T14" s="109">
        <v>524</v>
      </c>
      <c r="U14" s="109">
        <v>524</v>
      </c>
      <c r="V14" s="109">
        <v>524</v>
      </c>
      <c r="W14" s="109">
        <v>524</v>
      </c>
      <c r="X14" s="109">
        <v>524</v>
      </c>
      <c r="Y14" s="109">
        <v>524</v>
      </c>
      <c r="Z14" s="109">
        <v>524</v>
      </c>
      <c r="AA14" s="109">
        <v>524</v>
      </c>
      <c r="AB14" s="109">
        <v>524</v>
      </c>
      <c r="AC14" s="109">
        <v>524</v>
      </c>
      <c r="AD14" s="109">
        <v>524</v>
      </c>
      <c r="AE14" s="109">
        <v>524</v>
      </c>
      <c r="AF14" s="109">
        <v>524</v>
      </c>
      <c r="AG14" s="109">
        <v>502</v>
      </c>
      <c r="AH14" s="109">
        <v>502</v>
      </c>
      <c r="AI14" s="109">
        <v>481</v>
      </c>
      <c r="AJ14" s="109">
        <v>481</v>
      </c>
      <c r="AK14" s="109">
        <v>481</v>
      </c>
      <c r="AL14" s="109">
        <v>502</v>
      </c>
      <c r="AM14" s="109">
        <v>502</v>
      </c>
      <c r="AN14" s="109">
        <v>524</v>
      </c>
      <c r="AO14" s="109">
        <v>524</v>
      </c>
      <c r="AP14" s="109">
        <v>524</v>
      </c>
      <c r="AQ14" s="109">
        <v>524</v>
      </c>
      <c r="AR14" s="109">
        <v>524</v>
      </c>
      <c r="AS14" s="109">
        <v>502</v>
      </c>
      <c r="AT14" s="109">
        <v>502</v>
      </c>
    </row>
    <row r="15" spans="1:46" ht="15" customHeight="1">
      <c r="A15" s="2">
        <v>2800</v>
      </c>
      <c r="B15" s="64">
        <v>1.6</v>
      </c>
      <c r="C15" s="64">
        <v>4</v>
      </c>
      <c r="D15" s="64"/>
      <c r="E15" s="109">
        <v>476</v>
      </c>
      <c r="F15" s="109">
        <v>571</v>
      </c>
      <c r="G15" s="109">
        <v>571</v>
      </c>
      <c r="H15" s="109">
        <v>571</v>
      </c>
      <c r="I15" s="109">
        <v>571</v>
      </c>
      <c r="J15" s="109">
        <v>571</v>
      </c>
      <c r="K15" s="109">
        <v>571</v>
      </c>
      <c r="L15" s="109">
        <v>571</v>
      </c>
      <c r="M15" s="109">
        <v>571</v>
      </c>
      <c r="N15" s="109">
        <v>546</v>
      </c>
      <c r="O15" s="109">
        <v>546</v>
      </c>
      <c r="P15" s="109">
        <v>546</v>
      </c>
      <c r="Q15" s="109">
        <v>571</v>
      </c>
      <c r="R15" s="109">
        <v>571</v>
      </c>
      <c r="S15" s="109">
        <v>571</v>
      </c>
      <c r="T15" s="109">
        <v>571</v>
      </c>
      <c r="U15" s="109">
        <v>571</v>
      </c>
      <c r="V15" s="109">
        <v>571</v>
      </c>
      <c r="W15" s="109">
        <v>571</v>
      </c>
      <c r="X15" s="109">
        <v>571</v>
      </c>
      <c r="Y15" s="109">
        <v>571</v>
      </c>
      <c r="Z15" s="109">
        <v>571</v>
      </c>
      <c r="AA15" s="109">
        <v>571</v>
      </c>
      <c r="AB15" s="109">
        <v>571</v>
      </c>
      <c r="AC15" s="109">
        <v>571</v>
      </c>
      <c r="AD15" s="109">
        <v>571</v>
      </c>
      <c r="AE15" s="109">
        <v>571</v>
      </c>
      <c r="AF15" s="109">
        <v>571</v>
      </c>
      <c r="AG15" s="109">
        <v>546</v>
      </c>
      <c r="AH15" s="109">
        <v>546</v>
      </c>
      <c r="AI15" s="109">
        <v>523</v>
      </c>
      <c r="AJ15" s="109">
        <v>523</v>
      </c>
      <c r="AK15" s="109">
        <v>523</v>
      </c>
      <c r="AL15" s="109">
        <v>546</v>
      </c>
      <c r="AM15" s="109">
        <v>546</v>
      </c>
      <c r="AN15" s="109">
        <v>571</v>
      </c>
      <c r="AO15" s="109">
        <v>571</v>
      </c>
      <c r="AP15" s="109">
        <v>571</v>
      </c>
      <c r="AQ15" s="109">
        <v>571</v>
      </c>
      <c r="AR15" s="109">
        <v>571</v>
      </c>
      <c r="AS15" s="109">
        <v>546</v>
      </c>
      <c r="AT15" s="109">
        <v>546</v>
      </c>
    </row>
    <row r="16" spans="1:46" ht="15" customHeight="1">
      <c r="A16" s="2">
        <v>3500</v>
      </c>
      <c r="B16" s="64">
        <v>2</v>
      </c>
      <c r="C16" s="64">
        <v>5</v>
      </c>
      <c r="D16" s="64">
        <v>4</v>
      </c>
      <c r="E16" s="109">
        <v>557</v>
      </c>
      <c r="F16" s="109">
        <v>669</v>
      </c>
      <c r="G16" s="109">
        <v>669</v>
      </c>
      <c r="H16" s="109">
        <v>669</v>
      </c>
      <c r="I16" s="109">
        <v>669</v>
      </c>
      <c r="J16" s="109">
        <v>669</v>
      </c>
      <c r="K16" s="109">
        <v>669</v>
      </c>
      <c r="L16" s="109">
        <v>669</v>
      </c>
      <c r="M16" s="109">
        <v>669</v>
      </c>
      <c r="N16" s="109">
        <v>641</v>
      </c>
      <c r="O16" s="109">
        <v>641</v>
      </c>
      <c r="P16" s="109">
        <v>641</v>
      </c>
      <c r="Q16" s="109">
        <v>669</v>
      </c>
      <c r="R16" s="109">
        <v>669</v>
      </c>
      <c r="S16" s="109">
        <v>669</v>
      </c>
      <c r="T16" s="109">
        <v>669</v>
      </c>
      <c r="U16" s="109">
        <v>669</v>
      </c>
      <c r="V16" s="109">
        <v>669</v>
      </c>
      <c r="W16" s="109">
        <v>669</v>
      </c>
      <c r="X16" s="109">
        <v>669</v>
      </c>
      <c r="Y16" s="109">
        <v>669</v>
      </c>
      <c r="Z16" s="109">
        <v>669</v>
      </c>
      <c r="AA16" s="109">
        <v>669</v>
      </c>
      <c r="AB16" s="109">
        <v>669</v>
      </c>
      <c r="AC16" s="109">
        <v>669</v>
      </c>
      <c r="AD16" s="109">
        <v>669</v>
      </c>
      <c r="AE16" s="109">
        <v>669</v>
      </c>
      <c r="AF16" s="109">
        <v>669</v>
      </c>
      <c r="AG16" s="109">
        <v>641</v>
      </c>
      <c r="AH16" s="109">
        <v>641</v>
      </c>
      <c r="AI16" s="109">
        <v>614</v>
      </c>
      <c r="AJ16" s="109">
        <v>614</v>
      </c>
      <c r="AK16" s="109">
        <v>614</v>
      </c>
      <c r="AL16" s="109">
        <v>641</v>
      </c>
      <c r="AM16" s="109">
        <v>641</v>
      </c>
      <c r="AN16" s="109">
        <v>669</v>
      </c>
      <c r="AO16" s="109">
        <v>669</v>
      </c>
      <c r="AP16" s="109">
        <v>669</v>
      </c>
      <c r="AQ16" s="109">
        <v>669</v>
      </c>
      <c r="AR16" s="109">
        <v>669</v>
      </c>
      <c r="AS16" s="109">
        <v>641</v>
      </c>
      <c r="AT16" s="109">
        <v>641</v>
      </c>
    </row>
    <row r="17" spans="1:46" ht="15" customHeight="1">
      <c r="A17" s="2">
        <v>4200</v>
      </c>
      <c r="B17" s="2">
        <v>2.4</v>
      </c>
      <c r="C17" s="2">
        <v>6</v>
      </c>
      <c r="D17" s="2"/>
      <c r="E17" s="109">
        <v>594</v>
      </c>
      <c r="F17" s="109">
        <v>706</v>
      </c>
      <c r="G17" s="109">
        <v>706</v>
      </c>
      <c r="H17" s="109">
        <v>705</v>
      </c>
      <c r="I17" s="109">
        <v>705</v>
      </c>
      <c r="J17" s="109">
        <v>705</v>
      </c>
      <c r="K17" s="109">
        <v>704</v>
      </c>
      <c r="L17" s="109">
        <v>704</v>
      </c>
      <c r="M17" s="109">
        <v>705</v>
      </c>
      <c r="N17" s="109">
        <v>677</v>
      </c>
      <c r="O17" s="109">
        <v>677</v>
      </c>
      <c r="P17" s="109">
        <v>676</v>
      </c>
      <c r="Q17" s="109">
        <v>703</v>
      </c>
      <c r="R17" s="109">
        <v>703</v>
      </c>
      <c r="S17" s="109">
        <v>702</v>
      </c>
      <c r="T17" s="109">
        <v>702</v>
      </c>
      <c r="U17" s="109">
        <v>702</v>
      </c>
      <c r="V17" s="109">
        <v>701</v>
      </c>
      <c r="W17" s="109">
        <v>702</v>
      </c>
      <c r="X17" s="109">
        <v>701</v>
      </c>
      <c r="Y17" s="109">
        <v>702</v>
      </c>
      <c r="Z17" s="109">
        <v>701</v>
      </c>
      <c r="AA17" s="109">
        <v>701</v>
      </c>
      <c r="AB17" s="109">
        <v>700</v>
      </c>
      <c r="AC17" s="109">
        <v>700</v>
      </c>
      <c r="AD17" s="109">
        <v>700</v>
      </c>
      <c r="AE17" s="109">
        <v>702</v>
      </c>
      <c r="AF17" s="109">
        <v>701</v>
      </c>
      <c r="AG17" s="109">
        <v>673</v>
      </c>
      <c r="AH17" s="109">
        <v>675</v>
      </c>
      <c r="AI17" s="109">
        <v>649</v>
      </c>
      <c r="AJ17" s="109">
        <v>648</v>
      </c>
      <c r="AK17" s="109">
        <v>648</v>
      </c>
      <c r="AL17" s="109">
        <v>673</v>
      </c>
      <c r="AM17" s="109">
        <v>675</v>
      </c>
      <c r="AN17" s="109">
        <v>700</v>
      </c>
      <c r="AO17" s="109">
        <v>700</v>
      </c>
      <c r="AP17" s="109">
        <v>699</v>
      </c>
      <c r="AQ17" s="109">
        <v>701</v>
      </c>
      <c r="AR17" s="109">
        <v>701</v>
      </c>
      <c r="AS17" s="109">
        <v>673</v>
      </c>
      <c r="AT17" s="109">
        <v>675</v>
      </c>
    </row>
    <row r="18" spans="1:46" ht="15" customHeight="1">
      <c r="A18" s="2">
        <v>4375</v>
      </c>
      <c r="B18" s="2">
        <v>2.5</v>
      </c>
      <c r="C18" s="2"/>
      <c r="D18" s="2">
        <v>5</v>
      </c>
      <c r="E18" s="109">
        <v>631</v>
      </c>
      <c r="F18" s="109">
        <v>742</v>
      </c>
      <c r="G18" s="109">
        <v>742</v>
      </c>
      <c r="H18" s="109">
        <v>740</v>
      </c>
      <c r="I18" s="109">
        <v>740</v>
      </c>
      <c r="J18" s="109">
        <v>740</v>
      </c>
      <c r="K18" s="109">
        <v>738</v>
      </c>
      <c r="L18" s="109">
        <v>738</v>
      </c>
      <c r="M18" s="109">
        <v>740</v>
      </c>
      <c r="N18" s="109">
        <v>712</v>
      </c>
      <c r="O18" s="109">
        <v>712</v>
      </c>
      <c r="P18" s="109">
        <v>710</v>
      </c>
      <c r="Q18" s="109">
        <v>736</v>
      </c>
      <c r="R18" s="109">
        <v>736</v>
      </c>
      <c r="S18" s="109">
        <v>734</v>
      </c>
      <c r="T18" s="109">
        <v>734</v>
      </c>
      <c r="U18" s="109">
        <v>734</v>
      </c>
      <c r="V18" s="109">
        <v>732</v>
      </c>
      <c r="W18" s="109">
        <v>734</v>
      </c>
      <c r="X18" s="109">
        <v>732</v>
      </c>
      <c r="Y18" s="109">
        <v>734</v>
      </c>
      <c r="Z18" s="109">
        <v>732</v>
      </c>
      <c r="AA18" s="109">
        <v>732</v>
      </c>
      <c r="AB18" s="109">
        <v>729</v>
      </c>
      <c r="AC18" s="109">
        <v>729</v>
      </c>
      <c r="AD18" s="109">
        <v>729</v>
      </c>
      <c r="AE18" s="109">
        <v>734</v>
      </c>
      <c r="AF18" s="109">
        <v>732</v>
      </c>
      <c r="AG18" s="109">
        <v>706</v>
      </c>
      <c r="AH18" s="109">
        <v>708</v>
      </c>
      <c r="AI18" s="109">
        <v>684</v>
      </c>
      <c r="AJ18" s="109">
        <v>682</v>
      </c>
      <c r="AK18" s="109">
        <v>682</v>
      </c>
      <c r="AL18" s="109">
        <v>706</v>
      </c>
      <c r="AM18" s="109">
        <v>708</v>
      </c>
      <c r="AN18" s="109">
        <v>729</v>
      </c>
      <c r="AO18" s="109">
        <v>729</v>
      </c>
      <c r="AP18" s="109">
        <v>727</v>
      </c>
      <c r="AQ18" s="109">
        <v>732</v>
      </c>
      <c r="AR18" s="109">
        <v>732</v>
      </c>
      <c r="AS18" s="109">
        <v>706</v>
      </c>
      <c r="AT18" s="109">
        <v>708</v>
      </c>
    </row>
    <row r="19" spans="1:46" ht="15" customHeight="1">
      <c r="A19" s="2">
        <v>4900</v>
      </c>
      <c r="B19" s="2">
        <v>2.8</v>
      </c>
      <c r="C19" s="2">
        <v>7</v>
      </c>
      <c r="D19" s="2"/>
      <c r="E19" s="109">
        <v>667</v>
      </c>
      <c r="F19" s="109">
        <v>779</v>
      </c>
      <c r="G19" s="109">
        <v>779</v>
      </c>
      <c r="H19" s="109">
        <v>776</v>
      </c>
      <c r="I19" s="109">
        <v>776</v>
      </c>
      <c r="J19" s="109">
        <v>776</v>
      </c>
      <c r="K19" s="109">
        <v>772</v>
      </c>
      <c r="L19" s="109">
        <v>772</v>
      </c>
      <c r="M19" s="109">
        <v>776</v>
      </c>
      <c r="N19" s="109">
        <v>748</v>
      </c>
      <c r="O19" s="109">
        <v>748</v>
      </c>
      <c r="P19" s="109">
        <v>745</v>
      </c>
      <c r="Q19" s="109">
        <v>769</v>
      </c>
      <c r="R19" s="109">
        <v>769</v>
      </c>
      <c r="S19" s="109">
        <v>765</v>
      </c>
      <c r="T19" s="109">
        <v>765</v>
      </c>
      <c r="U19" s="109">
        <v>765</v>
      </c>
      <c r="V19" s="109">
        <v>762</v>
      </c>
      <c r="W19" s="109">
        <v>765</v>
      </c>
      <c r="X19" s="109">
        <v>762</v>
      </c>
      <c r="Y19" s="109">
        <v>765</v>
      </c>
      <c r="Z19" s="109">
        <v>762</v>
      </c>
      <c r="AA19" s="109">
        <v>762</v>
      </c>
      <c r="AB19" s="109">
        <v>759</v>
      </c>
      <c r="AC19" s="109">
        <v>759</v>
      </c>
      <c r="AD19" s="109">
        <v>759</v>
      </c>
      <c r="AE19" s="109">
        <v>765</v>
      </c>
      <c r="AF19" s="109">
        <v>762</v>
      </c>
      <c r="AG19" s="109">
        <v>738</v>
      </c>
      <c r="AH19" s="109">
        <v>741</v>
      </c>
      <c r="AI19" s="109">
        <v>719</v>
      </c>
      <c r="AJ19" s="109">
        <v>716</v>
      </c>
      <c r="AK19" s="109">
        <v>716</v>
      </c>
      <c r="AL19" s="109">
        <v>738</v>
      </c>
      <c r="AM19" s="109">
        <v>741</v>
      </c>
      <c r="AN19" s="109">
        <v>759</v>
      </c>
      <c r="AO19" s="109">
        <v>759</v>
      </c>
      <c r="AP19" s="109">
        <v>756</v>
      </c>
      <c r="AQ19" s="109">
        <v>762</v>
      </c>
      <c r="AR19" s="109">
        <v>762</v>
      </c>
      <c r="AS19" s="109">
        <v>738</v>
      </c>
      <c r="AT19" s="109">
        <v>741</v>
      </c>
    </row>
    <row r="20" spans="1:46" ht="15" customHeight="1">
      <c r="A20" s="2">
        <v>5250</v>
      </c>
      <c r="B20" s="2">
        <v>3</v>
      </c>
      <c r="C20" s="2"/>
      <c r="D20" s="2">
        <v>6</v>
      </c>
      <c r="E20" s="109">
        <v>704</v>
      </c>
      <c r="F20" s="109">
        <v>815</v>
      </c>
      <c r="G20" s="109">
        <v>815</v>
      </c>
      <c r="H20" s="109">
        <v>810</v>
      </c>
      <c r="I20" s="109">
        <v>810</v>
      </c>
      <c r="J20" s="109">
        <v>810</v>
      </c>
      <c r="K20" s="109">
        <v>806</v>
      </c>
      <c r="L20" s="109">
        <v>806</v>
      </c>
      <c r="M20" s="109">
        <v>810</v>
      </c>
      <c r="N20" s="109">
        <v>783</v>
      </c>
      <c r="O20" s="109">
        <v>783</v>
      </c>
      <c r="P20" s="109">
        <v>779</v>
      </c>
      <c r="Q20" s="109">
        <v>802</v>
      </c>
      <c r="R20" s="109">
        <v>802</v>
      </c>
      <c r="S20" s="109">
        <v>798</v>
      </c>
      <c r="T20" s="109">
        <v>798</v>
      </c>
      <c r="U20" s="109">
        <v>798</v>
      </c>
      <c r="V20" s="109">
        <v>794</v>
      </c>
      <c r="W20" s="109">
        <v>798</v>
      </c>
      <c r="X20" s="109">
        <v>794</v>
      </c>
      <c r="Y20" s="109">
        <v>798</v>
      </c>
      <c r="Z20" s="109">
        <v>794</v>
      </c>
      <c r="AA20" s="109">
        <v>794</v>
      </c>
      <c r="AB20" s="109">
        <v>789</v>
      </c>
      <c r="AC20" s="109">
        <v>789</v>
      </c>
      <c r="AD20" s="109">
        <v>789</v>
      </c>
      <c r="AE20" s="109">
        <v>798</v>
      </c>
      <c r="AF20" s="109">
        <v>794</v>
      </c>
      <c r="AG20" s="109">
        <v>770</v>
      </c>
      <c r="AH20" s="109">
        <v>775</v>
      </c>
      <c r="AI20" s="109">
        <v>755</v>
      </c>
      <c r="AJ20" s="109">
        <v>751</v>
      </c>
      <c r="AK20" s="109">
        <v>751</v>
      </c>
      <c r="AL20" s="109">
        <v>770</v>
      </c>
      <c r="AM20" s="109">
        <v>775</v>
      </c>
      <c r="AN20" s="109">
        <v>789</v>
      </c>
      <c r="AO20" s="109">
        <v>789</v>
      </c>
      <c r="AP20" s="109">
        <v>785</v>
      </c>
      <c r="AQ20" s="109">
        <v>794</v>
      </c>
      <c r="AR20" s="109">
        <v>794</v>
      </c>
      <c r="AS20" s="109">
        <v>770</v>
      </c>
      <c r="AT20" s="109">
        <v>775</v>
      </c>
    </row>
    <row r="21" spans="1:46" ht="15" customHeight="1">
      <c r="A21" s="2">
        <v>5600</v>
      </c>
      <c r="B21" s="2">
        <v>3.2</v>
      </c>
      <c r="C21" s="2">
        <v>8</v>
      </c>
      <c r="D21" s="2"/>
      <c r="E21" s="109">
        <v>740</v>
      </c>
      <c r="F21" s="109">
        <v>851</v>
      </c>
      <c r="G21" s="109">
        <v>851</v>
      </c>
      <c r="H21" s="109">
        <v>846</v>
      </c>
      <c r="I21" s="109">
        <v>846</v>
      </c>
      <c r="J21" s="109">
        <v>846</v>
      </c>
      <c r="K21" s="109">
        <v>841</v>
      </c>
      <c r="L21" s="109">
        <v>841</v>
      </c>
      <c r="M21" s="109">
        <v>846</v>
      </c>
      <c r="N21" s="109">
        <v>819</v>
      </c>
      <c r="O21" s="109">
        <v>819</v>
      </c>
      <c r="P21" s="109">
        <v>812</v>
      </c>
      <c r="Q21" s="109">
        <v>835</v>
      </c>
      <c r="R21" s="109">
        <v>835</v>
      </c>
      <c r="S21" s="109">
        <v>830</v>
      </c>
      <c r="T21" s="109">
        <v>830</v>
      </c>
      <c r="U21" s="109">
        <v>830</v>
      </c>
      <c r="V21" s="109">
        <v>825</v>
      </c>
      <c r="W21" s="109">
        <v>830</v>
      </c>
      <c r="X21" s="109">
        <v>825</v>
      </c>
      <c r="Y21" s="109">
        <v>830</v>
      </c>
      <c r="Z21" s="109">
        <v>825</v>
      </c>
      <c r="AA21" s="109">
        <v>825</v>
      </c>
      <c r="AB21" s="109">
        <v>820</v>
      </c>
      <c r="AC21" s="109">
        <v>820</v>
      </c>
      <c r="AD21" s="109">
        <v>820</v>
      </c>
      <c r="AE21" s="109">
        <v>830</v>
      </c>
      <c r="AF21" s="109">
        <v>825</v>
      </c>
      <c r="AG21" s="109">
        <v>802</v>
      </c>
      <c r="AH21" s="109">
        <v>807</v>
      </c>
      <c r="AI21" s="109">
        <v>791</v>
      </c>
      <c r="AJ21" s="109">
        <v>785</v>
      </c>
      <c r="AK21" s="109">
        <v>785</v>
      </c>
      <c r="AL21" s="109">
        <v>802</v>
      </c>
      <c r="AM21" s="109">
        <v>807</v>
      </c>
      <c r="AN21" s="109">
        <v>820</v>
      </c>
      <c r="AO21" s="109">
        <v>820</v>
      </c>
      <c r="AP21" s="109">
        <v>814</v>
      </c>
      <c r="AQ21" s="109">
        <v>825</v>
      </c>
      <c r="AR21" s="109">
        <v>825</v>
      </c>
      <c r="AS21" s="109">
        <v>802</v>
      </c>
      <c r="AT21" s="109">
        <v>807</v>
      </c>
    </row>
    <row r="22" spans="1:46" ht="15" customHeight="1">
      <c r="A22" s="2">
        <v>6125</v>
      </c>
      <c r="B22" s="2">
        <v>3.5</v>
      </c>
      <c r="C22" s="2"/>
      <c r="D22" s="2">
        <v>7</v>
      </c>
      <c r="E22" s="109">
        <v>777</v>
      </c>
      <c r="F22" s="109">
        <v>888</v>
      </c>
      <c r="G22" s="109">
        <v>888</v>
      </c>
      <c r="H22" s="109">
        <v>881</v>
      </c>
      <c r="I22" s="109">
        <v>881</v>
      </c>
      <c r="J22" s="109">
        <v>881</v>
      </c>
      <c r="K22" s="109">
        <v>875</v>
      </c>
      <c r="L22" s="109">
        <v>875</v>
      </c>
      <c r="M22" s="109">
        <v>881</v>
      </c>
      <c r="N22" s="109">
        <v>853</v>
      </c>
      <c r="O22" s="109">
        <v>853</v>
      </c>
      <c r="P22" s="109">
        <v>847</v>
      </c>
      <c r="Q22" s="109">
        <v>869</v>
      </c>
      <c r="R22" s="109">
        <v>869</v>
      </c>
      <c r="S22" s="109">
        <v>863</v>
      </c>
      <c r="T22" s="109">
        <v>863</v>
      </c>
      <c r="U22" s="109">
        <v>863</v>
      </c>
      <c r="V22" s="109">
        <v>855</v>
      </c>
      <c r="W22" s="109">
        <v>863</v>
      </c>
      <c r="X22" s="109">
        <v>855</v>
      </c>
      <c r="Y22" s="109">
        <v>863</v>
      </c>
      <c r="Z22" s="109">
        <v>855</v>
      </c>
      <c r="AA22" s="109">
        <v>855</v>
      </c>
      <c r="AB22" s="109">
        <v>849</v>
      </c>
      <c r="AC22" s="109">
        <v>849</v>
      </c>
      <c r="AD22" s="109">
        <v>849</v>
      </c>
      <c r="AE22" s="109">
        <v>863</v>
      </c>
      <c r="AF22" s="109">
        <v>855</v>
      </c>
      <c r="AG22" s="109">
        <v>834</v>
      </c>
      <c r="AH22" s="109">
        <v>841</v>
      </c>
      <c r="AI22" s="109">
        <v>826</v>
      </c>
      <c r="AJ22" s="109">
        <v>820</v>
      </c>
      <c r="AK22" s="109">
        <v>820</v>
      </c>
      <c r="AL22" s="109">
        <v>834</v>
      </c>
      <c r="AM22" s="109">
        <v>841</v>
      </c>
      <c r="AN22" s="109">
        <v>849</v>
      </c>
      <c r="AO22" s="109">
        <v>849</v>
      </c>
      <c r="AP22" s="109">
        <v>843</v>
      </c>
      <c r="AQ22" s="109">
        <v>855</v>
      </c>
      <c r="AR22" s="109">
        <v>855</v>
      </c>
      <c r="AS22" s="109">
        <v>834</v>
      </c>
      <c r="AT22" s="109">
        <v>841</v>
      </c>
    </row>
    <row r="23" spans="1:46" ht="15" customHeight="1">
      <c r="A23" s="2">
        <v>6300</v>
      </c>
      <c r="B23" s="2">
        <v>3.6</v>
      </c>
      <c r="C23" s="2">
        <v>9</v>
      </c>
      <c r="D23" s="2"/>
      <c r="E23" s="109">
        <v>812</v>
      </c>
      <c r="F23" s="109">
        <v>924</v>
      </c>
      <c r="G23" s="109">
        <v>924</v>
      </c>
      <c r="H23" s="109">
        <v>917</v>
      </c>
      <c r="I23" s="109">
        <v>917</v>
      </c>
      <c r="J23" s="109">
        <v>917</v>
      </c>
      <c r="K23" s="109">
        <v>910</v>
      </c>
      <c r="L23" s="109">
        <v>910</v>
      </c>
      <c r="M23" s="109">
        <v>917</v>
      </c>
      <c r="N23" s="109">
        <v>889</v>
      </c>
      <c r="O23" s="109">
        <v>889</v>
      </c>
      <c r="P23" s="109">
        <v>881</v>
      </c>
      <c r="Q23" s="109">
        <v>902</v>
      </c>
      <c r="R23" s="109">
        <v>902</v>
      </c>
      <c r="S23" s="109">
        <v>894</v>
      </c>
      <c r="T23" s="109">
        <v>894</v>
      </c>
      <c r="U23" s="109">
        <v>894</v>
      </c>
      <c r="V23" s="109">
        <v>887</v>
      </c>
      <c r="W23" s="109">
        <v>894</v>
      </c>
      <c r="X23" s="109">
        <v>887</v>
      </c>
      <c r="Y23" s="109">
        <v>894</v>
      </c>
      <c r="Z23" s="109">
        <v>887</v>
      </c>
      <c r="AA23" s="109">
        <v>887</v>
      </c>
      <c r="AB23" s="109">
        <v>879</v>
      </c>
      <c r="AC23" s="109">
        <v>879</v>
      </c>
      <c r="AD23" s="109">
        <v>879</v>
      </c>
      <c r="AE23" s="109">
        <v>894</v>
      </c>
      <c r="AF23" s="109">
        <v>887</v>
      </c>
      <c r="AG23" s="109">
        <v>867</v>
      </c>
      <c r="AH23" s="109">
        <v>874</v>
      </c>
      <c r="AI23" s="109">
        <v>862</v>
      </c>
      <c r="AJ23" s="109">
        <v>853</v>
      </c>
      <c r="AK23" s="109">
        <v>853</v>
      </c>
      <c r="AL23" s="109">
        <v>867</v>
      </c>
      <c r="AM23" s="109">
        <v>874</v>
      </c>
      <c r="AN23" s="109">
        <v>879</v>
      </c>
      <c r="AO23" s="109">
        <v>879</v>
      </c>
      <c r="AP23" s="109">
        <v>872</v>
      </c>
      <c r="AQ23" s="109">
        <v>887</v>
      </c>
      <c r="AR23" s="109">
        <v>887</v>
      </c>
      <c r="AS23" s="109">
        <v>867</v>
      </c>
      <c r="AT23" s="109">
        <v>874</v>
      </c>
    </row>
    <row r="24" spans="1:46" ht="15" customHeight="1">
      <c r="A24" s="2">
        <v>7000</v>
      </c>
      <c r="B24" s="2">
        <v>4</v>
      </c>
      <c r="C24" s="2">
        <v>10</v>
      </c>
      <c r="D24" s="2">
        <v>8</v>
      </c>
      <c r="E24" s="109">
        <v>849</v>
      </c>
      <c r="F24" s="109">
        <v>961</v>
      </c>
      <c r="G24" s="109">
        <v>961</v>
      </c>
      <c r="H24" s="109">
        <v>952</v>
      </c>
      <c r="I24" s="109">
        <v>952</v>
      </c>
      <c r="J24" s="109">
        <v>952</v>
      </c>
      <c r="K24" s="109">
        <v>943</v>
      </c>
      <c r="L24" s="109">
        <v>943</v>
      </c>
      <c r="M24" s="109">
        <v>952</v>
      </c>
      <c r="N24" s="109">
        <v>924</v>
      </c>
      <c r="O24" s="109">
        <v>924</v>
      </c>
      <c r="P24" s="109">
        <v>916</v>
      </c>
      <c r="Q24" s="109">
        <v>935</v>
      </c>
      <c r="R24" s="109">
        <v>935</v>
      </c>
      <c r="S24" s="109">
        <v>926</v>
      </c>
      <c r="T24" s="109">
        <v>926</v>
      </c>
      <c r="U24" s="109">
        <v>926</v>
      </c>
      <c r="V24" s="109">
        <v>918</v>
      </c>
      <c r="W24" s="109">
        <v>926</v>
      </c>
      <c r="X24" s="109">
        <v>918</v>
      </c>
      <c r="Y24" s="109">
        <v>926</v>
      </c>
      <c r="Z24" s="109">
        <v>918</v>
      </c>
      <c r="AA24" s="109">
        <v>918</v>
      </c>
      <c r="AB24" s="109">
        <v>910</v>
      </c>
      <c r="AC24" s="109">
        <v>910</v>
      </c>
      <c r="AD24" s="109">
        <v>910</v>
      </c>
      <c r="AE24" s="109">
        <v>926</v>
      </c>
      <c r="AF24" s="109">
        <v>918</v>
      </c>
      <c r="AG24" s="109">
        <v>898</v>
      </c>
      <c r="AH24" s="109">
        <v>908</v>
      </c>
      <c r="AI24" s="109">
        <v>896</v>
      </c>
      <c r="AJ24" s="109">
        <v>888</v>
      </c>
      <c r="AK24" s="109">
        <v>888</v>
      </c>
      <c r="AL24" s="109">
        <v>898</v>
      </c>
      <c r="AM24" s="109">
        <v>908</v>
      </c>
      <c r="AN24" s="109">
        <v>910</v>
      </c>
      <c r="AO24" s="109">
        <v>910</v>
      </c>
      <c r="AP24" s="109">
        <v>900</v>
      </c>
      <c r="AQ24" s="109">
        <v>918</v>
      </c>
      <c r="AR24" s="109">
        <v>918</v>
      </c>
      <c r="AS24" s="109">
        <v>898</v>
      </c>
      <c r="AT24" s="109">
        <v>908</v>
      </c>
    </row>
    <row r="25" spans="1:46" ht="15" customHeight="1">
      <c r="A25" s="3"/>
      <c r="B25" s="3"/>
      <c r="C25" s="3"/>
      <c r="D25" s="3"/>
    </row>
    <row r="26" spans="1:46" ht="15" customHeight="1">
      <c r="A26" s="4" t="s">
        <v>24</v>
      </c>
      <c r="B26" s="3"/>
      <c r="C26" s="3"/>
      <c r="D26" s="3"/>
    </row>
    <row r="27" spans="1:46" ht="15" customHeight="1">
      <c r="A27" s="3"/>
      <c r="B27" s="3"/>
      <c r="C27" s="3"/>
      <c r="D27" s="3"/>
    </row>
    <row r="28" spans="1:46" ht="15" customHeight="1">
      <c r="A28" s="100" t="s">
        <v>55</v>
      </c>
      <c r="B28" s="101"/>
      <c r="C28" s="6" t="s">
        <v>26</v>
      </c>
      <c r="D28" s="27"/>
      <c r="E28" s="6"/>
      <c r="F28" s="40"/>
      <c r="G28" s="108" t="s">
        <v>37</v>
      </c>
      <c r="H28" s="40"/>
      <c r="I28" s="40"/>
      <c r="J28" s="40"/>
      <c r="K28" s="40"/>
      <c r="L28" s="40"/>
      <c r="M28" s="40"/>
      <c r="N28" s="40"/>
      <c r="O28" s="40"/>
      <c r="P28" s="40"/>
      <c r="Q28" s="40"/>
      <c r="R28" s="108" t="s">
        <v>37</v>
      </c>
      <c r="S28" s="40"/>
      <c r="T28" s="40"/>
      <c r="U28" s="40"/>
      <c r="V28" s="40"/>
      <c r="W28" s="40"/>
      <c r="X28" s="40"/>
      <c r="Y28" s="40"/>
      <c r="Z28" s="40"/>
      <c r="AA28" s="40"/>
      <c r="AB28" s="40"/>
      <c r="AC28" s="108" t="s">
        <v>37</v>
      </c>
      <c r="AD28" s="40"/>
      <c r="AE28" s="40"/>
      <c r="AF28" s="40"/>
      <c r="AG28" s="40"/>
      <c r="AH28" s="40"/>
      <c r="AI28" s="40"/>
      <c r="AJ28" s="40"/>
      <c r="AK28" s="40"/>
      <c r="AL28" s="40"/>
      <c r="AM28" s="40"/>
      <c r="AN28" s="108" t="s">
        <v>37</v>
      </c>
      <c r="AO28" s="40"/>
      <c r="AP28" s="40"/>
      <c r="AQ28" s="40"/>
      <c r="AR28" s="40"/>
      <c r="AS28" s="40"/>
      <c r="AT28" s="27"/>
    </row>
    <row r="29" spans="1:46" ht="15" customHeight="1">
      <c r="A29" s="222" t="s">
        <v>28</v>
      </c>
      <c r="B29" s="223"/>
      <c r="C29" s="6" t="s">
        <v>39</v>
      </c>
      <c r="D29" s="73"/>
      <c r="E29" s="74" t="s">
        <v>43</v>
      </c>
      <c r="F29" s="74" t="s">
        <v>43</v>
      </c>
      <c r="G29" s="74" t="s">
        <v>43</v>
      </c>
      <c r="H29" s="74" t="s">
        <v>43</v>
      </c>
      <c r="I29" s="74" t="s">
        <v>43</v>
      </c>
      <c r="J29" s="74" t="s">
        <v>43</v>
      </c>
      <c r="K29" s="74" t="s">
        <v>43</v>
      </c>
      <c r="L29" s="74" t="s">
        <v>43</v>
      </c>
      <c r="M29" s="74" t="s">
        <v>43</v>
      </c>
      <c r="N29" s="74" t="s">
        <v>43</v>
      </c>
      <c r="O29" s="74" t="s">
        <v>43</v>
      </c>
      <c r="P29" s="74" t="s">
        <v>43</v>
      </c>
      <c r="Q29" s="74" t="s">
        <v>43</v>
      </c>
      <c r="R29" s="74" t="s">
        <v>43</v>
      </c>
      <c r="S29" s="74" t="s">
        <v>43</v>
      </c>
      <c r="T29" s="74" t="s">
        <v>43</v>
      </c>
      <c r="U29" s="74" t="s">
        <v>43</v>
      </c>
      <c r="V29" s="74" t="s">
        <v>43</v>
      </c>
      <c r="W29" s="74" t="s">
        <v>43</v>
      </c>
      <c r="X29" s="74" t="s">
        <v>43</v>
      </c>
      <c r="Y29" s="74" t="s">
        <v>43</v>
      </c>
      <c r="Z29" s="74" t="s">
        <v>43</v>
      </c>
      <c r="AA29" s="74" t="s">
        <v>43</v>
      </c>
      <c r="AB29" s="74" t="s">
        <v>43</v>
      </c>
      <c r="AC29" s="74" t="s">
        <v>43</v>
      </c>
      <c r="AD29" s="74" t="s">
        <v>43</v>
      </c>
      <c r="AE29" s="74" t="s">
        <v>43</v>
      </c>
      <c r="AF29" s="74" t="s">
        <v>43</v>
      </c>
      <c r="AG29" s="74" t="s">
        <v>43</v>
      </c>
      <c r="AH29" s="74" t="s">
        <v>43</v>
      </c>
      <c r="AI29" s="74" t="s">
        <v>43</v>
      </c>
      <c r="AJ29" s="74" t="s">
        <v>43</v>
      </c>
      <c r="AK29" s="74" t="s">
        <v>43</v>
      </c>
      <c r="AL29" s="74" t="s">
        <v>43</v>
      </c>
      <c r="AM29" s="74" t="s">
        <v>43</v>
      </c>
      <c r="AN29" s="74" t="s">
        <v>43</v>
      </c>
      <c r="AO29" s="74" t="s">
        <v>43</v>
      </c>
      <c r="AP29" s="74" t="s">
        <v>43</v>
      </c>
      <c r="AQ29" s="74" t="s">
        <v>43</v>
      </c>
      <c r="AR29" s="74" t="s">
        <v>43</v>
      </c>
      <c r="AS29" s="74" t="s">
        <v>43</v>
      </c>
      <c r="AT29" s="74" t="s">
        <v>43</v>
      </c>
    </row>
    <row r="30" spans="1:46" ht="15" customHeight="1">
      <c r="A30" s="222" t="s">
        <v>32</v>
      </c>
      <c r="B30" s="223"/>
      <c r="C30" s="6" t="s">
        <v>42</v>
      </c>
      <c r="D30" s="73"/>
      <c r="E30" s="74" t="s">
        <v>43</v>
      </c>
      <c r="F30" s="74" t="s">
        <v>43</v>
      </c>
      <c r="G30" s="74" t="s">
        <v>43</v>
      </c>
      <c r="H30" s="74" t="s">
        <v>43</v>
      </c>
      <c r="I30" s="74" t="s">
        <v>43</v>
      </c>
      <c r="J30" s="74" t="s">
        <v>43</v>
      </c>
      <c r="K30" s="74" t="s">
        <v>43</v>
      </c>
      <c r="L30" s="74" t="s">
        <v>43</v>
      </c>
      <c r="M30" s="74" t="s">
        <v>43</v>
      </c>
      <c r="N30" s="74" t="s">
        <v>43</v>
      </c>
      <c r="O30" s="74" t="s">
        <v>43</v>
      </c>
      <c r="P30" s="74" t="s">
        <v>43</v>
      </c>
      <c r="Q30" s="74" t="s">
        <v>43</v>
      </c>
      <c r="R30" s="74" t="s">
        <v>43</v>
      </c>
      <c r="S30" s="74" t="s">
        <v>43</v>
      </c>
      <c r="T30" s="74" t="s">
        <v>43</v>
      </c>
      <c r="U30" s="74" t="s">
        <v>43</v>
      </c>
      <c r="V30" s="74" t="s">
        <v>43</v>
      </c>
      <c r="W30" s="74" t="s">
        <v>43</v>
      </c>
      <c r="X30" s="74" t="s">
        <v>43</v>
      </c>
      <c r="Y30" s="74" t="s">
        <v>43</v>
      </c>
      <c r="Z30" s="74" t="s">
        <v>43</v>
      </c>
      <c r="AA30" s="74" t="s">
        <v>43</v>
      </c>
      <c r="AB30" s="74" t="s">
        <v>43</v>
      </c>
      <c r="AC30" s="74" t="s">
        <v>43</v>
      </c>
      <c r="AD30" s="74" t="s">
        <v>43</v>
      </c>
      <c r="AE30" s="74" t="s">
        <v>43</v>
      </c>
      <c r="AF30" s="74" t="s">
        <v>43</v>
      </c>
      <c r="AG30" s="74" t="s">
        <v>43</v>
      </c>
      <c r="AH30" s="74" t="s">
        <v>43</v>
      </c>
      <c r="AI30" s="74" t="s">
        <v>43</v>
      </c>
      <c r="AJ30" s="74" t="s">
        <v>43</v>
      </c>
      <c r="AK30" s="74" t="s">
        <v>43</v>
      </c>
      <c r="AL30" s="74" t="s">
        <v>43</v>
      </c>
      <c r="AM30" s="74" t="s">
        <v>43</v>
      </c>
      <c r="AN30" s="74" t="s">
        <v>43</v>
      </c>
      <c r="AO30" s="74" t="s">
        <v>43</v>
      </c>
      <c r="AP30" s="74" t="s">
        <v>43</v>
      </c>
      <c r="AQ30" s="74" t="s">
        <v>43</v>
      </c>
      <c r="AR30" s="74" t="s">
        <v>43</v>
      </c>
      <c r="AS30" s="74" t="s">
        <v>43</v>
      </c>
      <c r="AT30" s="74" t="s">
        <v>43</v>
      </c>
    </row>
    <row r="31" spans="1:46" ht="15" customHeight="1">
      <c r="A31" s="227" t="s">
        <v>33</v>
      </c>
      <c r="B31" s="228"/>
      <c r="C31" s="6" t="s">
        <v>42</v>
      </c>
      <c r="D31" s="76"/>
      <c r="E31" s="74" t="s">
        <v>30</v>
      </c>
      <c r="F31" s="74" t="s">
        <v>30</v>
      </c>
      <c r="G31" s="74" t="s">
        <v>30</v>
      </c>
      <c r="H31" s="74" t="s">
        <v>30</v>
      </c>
      <c r="I31" s="74" t="s">
        <v>30</v>
      </c>
      <c r="J31" s="74" t="s">
        <v>30</v>
      </c>
      <c r="K31" s="74" t="s">
        <v>30</v>
      </c>
      <c r="L31" s="74" t="s">
        <v>30</v>
      </c>
      <c r="M31" s="74" t="s">
        <v>30</v>
      </c>
      <c r="N31" s="74" t="s">
        <v>30</v>
      </c>
      <c r="O31" s="74" t="s">
        <v>30</v>
      </c>
      <c r="P31" s="74" t="s">
        <v>30</v>
      </c>
      <c r="Q31" s="74" t="s">
        <v>30</v>
      </c>
      <c r="R31" s="74" t="s">
        <v>30</v>
      </c>
      <c r="S31" s="74" t="s">
        <v>30</v>
      </c>
      <c r="T31" s="74" t="s">
        <v>30</v>
      </c>
      <c r="U31" s="74" t="s">
        <v>30</v>
      </c>
      <c r="V31" s="74" t="s">
        <v>30</v>
      </c>
      <c r="W31" s="74" t="s">
        <v>30</v>
      </c>
      <c r="X31" s="74" t="s">
        <v>30</v>
      </c>
      <c r="Y31" s="74" t="s">
        <v>30</v>
      </c>
      <c r="Z31" s="74" t="s">
        <v>30</v>
      </c>
      <c r="AA31" s="74" t="s">
        <v>30</v>
      </c>
      <c r="AB31" s="74" t="s">
        <v>30</v>
      </c>
      <c r="AC31" s="74" t="s">
        <v>30</v>
      </c>
      <c r="AD31" s="74" t="s">
        <v>30</v>
      </c>
      <c r="AE31" s="74" t="s">
        <v>30</v>
      </c>
      <c r="AF31" s="74" t="s">
        <v>30</v>
      </c>
      <c r="AG31" s="74" t="s">
        <v>30</v>
      </c>
      <c r="AH31" s="74" t="s">
        <v>30</v>
      </c>
      <c r="AI31" s="74" t="s">
        <v>30</v>
      </c>
      <c r="AJ31" s="74" t="s">
        <v>30</v>
      </c>
      <c r="AK31" s="74" t="s">
        <v>30</v>
      </c>
      <c r="AL31" s="74" t="s">
        <v>30</v>
      </c>
      <c r="AM31" s="74" t="s">
        <v>30</v>
      </c>
      <c r="AN31" s="74" t="s">
        <v>30</v>
      </c>
      <c r="AO31" s="74" t="s">
        <v>30</v>
      </c>
      <c r="AP31" s="74" t="s">
        <v>30</v>
      </c>
      <c r="AQ31" s="74" t="s">
        <v>30</v>
      </c>
      <c r="AR31" s="74" t="s">
        <v>30</v>
      </c>
      <c r="AS31" s="74" t="s">
        <v>30</v>
      </c>
      <c r="AT31" s="74" t="s">
        <v>30</v>
      </c>
    </row>
    <row r="33" spans="1:1">
      <c r="A33" s="89" t="s">
        <v>52</v>
      </c>
    </row>
    <row r="34" spans="1:1">
      <c r="A34" s="26" t="s">
        <v>56</v>
      </c>
    </row>
    <row r="35" spans="1:1">
      <c r="A35" s="3"/>
    </row>
  </sheetData>
  <mergeCells count="3">
    <mergeCell ref="A29:B29"/>
    <mergeCell ref="A30:B30"/>
    <mergeCell ref="A31:B31"/>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2C17-E472-4F61-A966-1BF4694CD513}">
  <dimension ref="A1:AY35"/>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51" ht="15" customHeight="1"/>
    <row r="2" spans="1:51" ht="15" customHeight="1">
      <c r="A2" s="9"/>
      <c r="B2" s="7"/>
      <c r="C2" s="7"/>
      <c r="D2" s="7"/>
      <c r="E2" s="7"/>
    </row>
    <row r="3" spans="1:51" ht="20.45" customHeight="1">
      <c r="A3" s="9" t="str">
        <f>Voorblad!A5</f>
        <v>Team Freight Forwarding Logistics</v>
      </c>
      <c r="B3" s="8"/>
      <c r="C3" s="8"/>
      <c r="D3" s="8"/>
      <c r="E3" s="48"/>
    </row>
    <row r="4" spans="1:51" s="51" customFormat="1" ht="15.75">
      <c r="A4" s="62" t="s">
        <v>58</v>
      </c>
      <c r="B4" s="49"/>
      <c r="C4" s="50"/>
      <c r="D4" s="50"/>
      <c r="E4" s="50"/>
    </row>
    <row r="5" spans="1:51" ht="15" customHeight="1">
      <c r="A5" s="7"/>
      <c r="B5" s="7"/>
      <c r="C5" s="7"/>
      <c r="D5" s="7"/>
      <c r="E5" s="26"/>
    </row>
    <row r="6" spans="1:51" ht="15" customHeight="1">
      <c r="A6" s="63" t="s">
        <v>20</v>
      </c>
      <c r="B6" s="63" t="s">
        <v>21</v>
      </c>
      <c r="C6" s="64" t="s">
        <v>22</v>
      </c>
      <c r="D6" s="64" t="s">
        <v>23</v>
      </c>
      <c r="E6" s="110">
        <v>1</v>
      </c>
      <c r="F6" s="110">
        <v>2</v>
      </c>
      <c r="G6" s="110">
        <v>3</v>
      </c>
      <c r="H6" s="110">
        <v>4</v>
      </c>
      <c r="I6" s="110">
        <v>5</v>
      </c>
      <c r="J6" s="110">
        <v>6</v>
      </c>
      <c r="K6" s="110">
        <v>8</v>
      </c>
      <c r="L6" s="110">
        <v>9</v>
      </c>
      <c r="M6" s="64">
        <v>10</v>
      </c>
      <c r="N6" s="64">
        <v>11</v>
      </c>
      <c r="O6" s="64">
        <v>12</v>
      </c>
      <c r="P6" s="64">
        <v>13</v>
      </c>
      <c r="Q6" s="64">
        <v>14</v>
      </c>
      <c r="R6" s="64">
        <v>15</v>
      </c>
      <c r="S6" s="64">
        <v>16</v>
      </c>
      <c r="T6" s="64">
        <v>17</v>
      </c>
      <c r="U6" s="64">
        <v>18</v>
      </c>
      <c r="V6" s="64">
        <v>19</v>
      </c>
      <c r="W6" s="64">
        <v>20</v>
      </c>
      <c r="X6" s="64">
        <v>21</v>
      </c>
      <c r="Y6" s="64">
        <v>22</v>
      </c>
      <c r="Z6" s="64">
        <v>23</v>
      </c>
      <c r="AA6" s="64">
        <v>24</v>
      </c>
      <c r="AB6" s="64">
        <v>25</v>
      </c>
      <c r="AC6" s="64">
        <v>26</v>
      </c>
      <c r="AD6" s="64">
        <v>27</v>
      </c>
      <c r="AE6" s="64">
        <v>28</v>
      </c>
      <c r="AF6" s="64">
        <v>29</v>
      </c>
      <c r="AG6" s="64">
        <v>30</v>
      </c>
      <c r="AH6" s="64">
        <v>31</v>
      </c>
      <c r="AI6" s="64">
        <v>32</v>
      </c>
      <c r="AJ6" s="111">
        <v>33</v>
      </c>
      <c r="AK6" s="64">
        <v>34</v>
      </c>
      <c r="AL6" s="64">
        <v>36</v>
      </c>
      <c r="AM6" s="64">
        <v>37</v>
      </c>
      <c r="AN6" s="64">
        <v>39</v>
      </c>
      <c r="AO6" s="64">
        <v>40</v>
      </c>
      <c r="AP6" s="64">
        <v>41</v>
      </c>
      <c r="AQ6" s="64">
        <v>42</v>
      </c>
      <c r="AR6" s="64">
        <v>43</v>
      </c>
      <c r="AS6" s="64">
        <v>44</v>
      </c>
      <c r="AT6" s="64">
        <v>45</v>
      </c>
      <c r="AU6" s="64">
        <v>46</v>
      </c>
      <c r="AV6" s="64">
        <v>47</v>
      </c>
      <c r="AW6" s="64">
        <v>48</v>
      </c>
      <c r="AX6" s="64">
        <v>49</v>
      </c>
      <c r="AY6" s="2">
        <v>50</v>
      </c>
    </row>
    <row r="7" spans="1:51" ht="15" customHeight="1">
      <c r="A7" s="67">
        <v>300</v>
      </c>
      <c r="B7" s="64">
        <v>0.2</v>
      </c>
      <c r="C7" s="64">
        <v>0.5</v>
      </c>
      <c r="D7" s="64"/>
      <c r="E7" s="68">
        <v>111</v>
      </c>
      <c r="F7" s="68">
        <v>132</v>
      </c>
      <c r="G7" s="68">
        <v>134</v>
      </c>
      <c r="H7" s="68">
        <v>136</v>
      </c>
      <c r="I7" s="68">
        <v>122</v>
      </c>
      <c r="J7" s="68">
        <v>132</v>
      </c>
      <c r="K7" s="68">
        <v>128</v>
      </c>
      <c r="L7" s="68">
        <v>116</v>
      </c>
      <c r="M7" s="68">
        <v>132</v>
      </c>
      <c r="N7" s="68">
        <v>136</v>
      </c>
      <c r="O7" s="68">
        <v>134</v>
      </c>
      <c r="P7" s="68">
        <v>126</v>
      </c>
      <c r="Q7" s="68">
        <v>132</v>
      </c>
      <c r="R7" s="68">
        <v>126</v>
      </c>
      <c r="S7" s="68">
        <v>126</v>
      </c>
      <c r="T7" s="68">
        <v>128</v>
      </c>
      <c r="U7" s="68">
        <v>132</v>
      </c>
      <c r="V7" s="68">
        <v>122</v>
      </c>
      <c r="W7" s="68">
        <v>111</v>
      </c>
      <c r="X7" s="68">
        <v>136</v>
      </c>
      <c r="Y7" s="68">
        <v>122</v>
      </c>
      <c r="Z7" s="68">
        <v>132</v>
      </c>
      <c r="AA7" s="68">
        <v>122</v>
      </c>
      <c r="AB7" s="68">
        <v>122</v>
      </c>
      <c r="AC7" s="68">
        <v>116</v>
      </c>
      <c r="AD7" s="68">
        <v>126</v>
      </c>
      <c r="AE7" s="68">
        <v>122</v>
      </c>
      <c r="AF7" s="68">
        <v>136</v>
      </c>
      <c r="AG7" s="68">
        <v>132</v>
      </c>
      <c r="AH7" s="68">
        <v>116</v>
      </c>
      <c r="AI7" s="68">
        <v>126</v>
      </c>
      <c r="AJ7" s="68">
        <v>122</v>
      </c>
      <c r="AK7" s="68">
        <v>116</v>
      </c>
      <c r="AL7" s="68">
        <v>126</v>
      </c>
      <c r="AM7" s="68">
        <v>122</v>
      </c>
      <c r="AN7" s="68">
        <v>116</v>
      </c>
      <c r="AO7" s="68">
        <v>122</v>
      </c>
      <c r="AP7" s="68">
        <v>136</v>
      </c>
      <c r="AQ7" s="68">
        <v>122</v>
      </c>
      <c r="AR7" s="68">
        <v>128</v>
      </c>
      <c r="AS7" s="68">
        <v>122</v>
      </c>
      <c r="AT7" s="68">
        <v>126</v>
      </c>
      <c r="AU7" s="68">
        <v>128</v>
      </c>
      <c r="AV7" s="68">
        <v>116</v>
      </c>
      <c r="AW7" s="68">
        <v>111</v>
      </c>
      <c r="AX7" s="68">
        <v>122</v>
      </c>
      <c r="AY7" s="68">
        <v>116</v>
      </c>
    </row>
    <row r="8" spans="1:51" ht="15" customHeight="1">
      <c r="A8" s="2">
        <v>700</v>
      </c>
      <c r="B8" s="64">
        <v>0.4</v>
      </c>
      <c r="C8" s="64">
        <v>1</v>
      </c>
      <c r="D8" s="64"/>
      <c r="E8" s="68">
        <v>150</v>
      </c>
      <c r="F8" s="68">
        <v>178</v>
      </c>
      <c r="G8" s="68">
        <v>181</v>
      </c>
      <c r="H8" s="68">
        <v>184</v>
      </c>
      <c r="I8" s="68">
        <v>162</v>
      </c>
      <c r="J8" s="68">
        <v>178</v>
      </c>
      <c r="K8" s="68">
        <v>175</v>
      </c>
      <c r="L8" s="68">
        <v>157</v>
      </c>
      <c r="M8" s="68">
        <v>178</v>
      </c>
      <c r="N8" s="68">
        <v>184</v>
      </c>
      <c r="O8" s="68">
        <v>181</v>
      </c>
      <c r="P8" s="68">
        <v>171</v>
      </c>
      <c r="Q8" s="68">
        <v>178</v>
      </c>
      <c r="R8" s="68">
        <v>171</v>
      </c>
      <c r="S8" s="68">
        <v>171</v>
      </c>
      <c r="T8" s="68">
        <v>175</v>
      </c>
      <c r="U8" s="68">
        <v>178</v>
      </c>
      <c r="V8" s="68">
        <v>162</v>
      </c>
      <c r="W8" s="68">
        <v>150</v>
      </c>
      <c r="X8" s="68">
        <v>184</v>
      </c>
      <c r="Y8" s="68">
        <v>162</v>
      </c>
      <c r="Z8" s="68">
        <v>178</v>
      </c>
      <c r="AA8" s="68">
        <v>162</v>
      </c>
      <c r="AB8" s="68">
        <v>162</v>
      </c>
      <c r="AC8" s="68">
        <v>157</v>
      </c>
      <c r="AD8" s="68">
        <v>171</v>
      </c>
      <c r="AE8" s="68">
        <v>162</v>
      </c>
      <c r="AF8" s="68">
        <v>184</v>
      </c>
      <c r="AG8" s="68">
        <v>178</v>
      </c>
      <c r="AH8" s="68">
        <v>157</v>
      </c>
      <c r="AI8" s="68">
        <v>171</v>
      </c>
      <c r="AJ8" s="68">
        <v>162</v>
      </c>
      <c r="AK8" s="68">
        <v>157</v>
      </c>
      <c r="AL8" s="68">
        <v>171</v>
      </c>
      <c r="AM8" s="68">
        <v>162</v>
      </c>
      <c r="AN8" s="68">
        <v>157</v>
      </c>
      <c r="AO8" s="68">
        <v>162</v>
      </c>
      <c r="AP8" s="68">
        <v>184</v>
      </c>
      <c r="AQ8" s="68">
        <v>162</v>
      </c>
      <c r="AR8" s="68">
        <v>175</v>
      </c>
      <c r="AS8" s="68">
        <v>162</v>
      </c>
      <c r="AT8" s="68">
        <v>171</v>
      </c>
      <c r="AU8" s="68">
        <v>175</v>
      </c>
      <c r="AV8" s="68">
        <v>157</v>
      </c>
      <c r="AW8" s="68">
        <v>150</v>
      </c>
      <c r="AX8" s="68">
        <v>162</v>
      </c>
      <c r="AY8" s="68">
        <v>157</v>
      </c>
    </row>
    <row r="9" spans="1:51" ht="15" customHeight="1">
      <c r="A9" s="2">
        <v>875</v>
      </c>
      <c r="B9" s="64">
        <v>0.5</v>
      </c>
      <c r="C9" s="64"/>
      <c r="D9" s="64">
        <v>1</v>
      </c>
      <c r="E9" s="68">
        <v>164</v>
      </c>
      <c r="F9" s="68">
        <v>192</v>
      </c>
      <c r="G9" s="68">
        <v>196</v>
      </c>
      <c r="H9" s="68">
        <v>198</v>
      </c>
      <c r="I9" s="68">
        <v>177</v>
      </c>
      <c r="J9" s="68">
        <v>192</v>
      </c>
      <c r="K9" s="68">
        <v>189</v>
      </c>
      <c r="L9" s="68">
        <v>171</v>
      </c>
      <c r="M9" s="68">
        <v>192</v>
      </c>
      <c r="N9" s="68">
        <v>198</v>
      </c>
      <c r="O9" s="68">
        <v>196</v>
      </c>
      <c r="P9" s="68">
        <v>185</v>
      </c>
      <c r="Q9" s="68">
        <v>192</v>
      </c>
      <c r="R9" s="68">
        <v>185</v>
      </c>
      <c r="S9" s="68">
        <v>185</v>
      </c>
      <c r="T9" s="68">
        <v>189</v>
      </c>
      <c r="U9" s="68">
        <v>192</v>
      </c>
      <c r="V9" s="68">
        <v>177</v>
      </c>
      <c r="W9" s="68">
        <v>164</v>
      </c>
      <c r="X9" s="68">
        <v>198</v>
      </c>
      <c r="Y9" s="68">
        <v>177</v>
      </c>
      <c r="Z9" s="68">
        <v>192</v>
      </c>
      <c r="AA9" s="68">
        <v>177</v>
      </c>
      <c r="AB9" s="68">
        <v>177</v>
      </c>
      <c r="AC9" s="68">
        <v>171</v>
      </c>
      <c r="AD9" s="68">
        <v>185</v>
      </c>
      <c r="AE9" s="68">
        <v>177</v>
      </c>
      <c r="AF9" s="68">
        <v>198</v>
      </c>
      <c r="AG9" s="68">
        <v>192</v>
      </c>
      <c r="AH9" s="68">
        <v>171</v>
      </c>
      <c r="AI9" s="68">
        <v>185</v>
      </c>
      <c r="AJ9" s="68">
        <v>177</v>
      </c>
      <c r="AK9" s="68">
        <v>171</v>
      </c>
      <c r="AL9" s="68">
        <v>185</v>
      </c>
      <c r="AM9" s="68">
        <v>177</v>
      </c>
      <c r="AN9" s="68">
        <v>171</v>
      </c>
      <c r="AO9" s="68">
        <v>177</v>
      </c>
      <c r="AP9" s="68">
        <v>198</v>
      </c>
      <c r="AQ9" s="68">
        <v>177</v>
      </c>
      <c r="AR9" s="68">
        <v>189</v>
      </c>
      <c r="AS9" s="68">
        <v>177</v>
      </c>
      <c r="AT9" s="68">
        <v>185</v>
      </c>
      <c r="AU9" s="68">
        <v>189</v>
      </c>
      <c r="AV9" s="68">
        <v>171</v>
      </c>
      <c r="AW9" s="68">
        <v>164</v>
      </c>
      <c r="AX9" s="68">
        <v>177</v>
      </c>
      <c r="AY9" s="68">
        <v>171</v>
      </c>
    </row>
    <row r="10" spans="1:51" ht="15" customHeight="1">
      <c r="A10" s="2">
        <v>1050</v>
      </c>
      <c r="B10" s="64">
        <v>0.6</v>
      </c>
      <c r="C10" s="64"/>
      <c r="D10" s="64"/>
      <c r="E10" s="68">
        <v>196</v>
      </c>
      <c r="F10" s="68">
        <v>234</v>
      </c>
      <c r="G10" s="68">
        <v>239</v>
      </c>
      <c r="H10" s="68">
        <v>242</v>
      </c>
      <c r="I10" s="68">
        <v>214</v>
      </c>
      <c r="J10" s="68">
        <v>234</v>
      </c>
      <c r="K10" s="68">
        <v>224</v>
      </c>
      <c r="L10" s="68">
        <v>205</v>
      </c>
      <c r="M10" s="68">
        <v>234</v>
      </c>
      <c r="N10" s="68">
        <v>242</v>
      </c>
      <c r="O10" s="68">
        <v>239</v>
      </c>
      <c r="P10" s="68">
        <v>224</v>
      </c>
      <c r="Q10" s="68">
        <v>234</v>
      </c>
      <c r="R10" s="68">
        <v>224</v>
      </c>
      <c r="S10" s="68">
        <v>224</v>
      </c>
      <c r="T10" s="68">
        <v>224</v>
      </c>
      <c r="U10" s="68">
        <v>234</v>
      </c>
      <c r="V10" s="68">
        <v>214</v>
      </c>
      <c r="W10" s="68">
        <v>196</v>
      </c>
      <c r="X10" s="68">
        <v>242</v>
      </c>
      <c r="Y10" s="68">
        <v>214</v>
      </c>
      <c r="Z10" s="68">
        <v>234</v>
      </c>
      <c r="AA10" s="68">
        <v>214</v>
      </c>
      <c r="AB10" s="68">
        <v>214</v>
      </c>
      <c r="AC10" s="68">
        <v>205</v>
      </c>
      <c r="AD10" s="68">
        <v>224</v>
      </c>
      <c r="AE10" s="68">
        <v>214</v>
      </c>
      <c r="AF10" s="68">
        <v>242</v>
      </c>
      <c r="AG10" s="68">
        <v>234</v>
      </c>
      <c r="AH10" s="68">
        <v>205</v>
      </c>
      <c r="AI10" s="68">
        <v>224</v>
      </c>
      <c r="AJ10" s="68">
        <v>214</v>
      </c>
      <c r="AK10" s="68">
        <v>205</v>
      </c>
      <c r="AL10" s="68">
        <v>224</v>
      </c>
      <c r="AM10" s="68">
        <v>214</v>
      </c>
      <c r="AN10" s="68">
        <v>205</v>
      </c>
      <c r="AO10" s="68">
        <v>214</v>
      </c>
      <c r="AP10" s="68">
        <v>242</v>
      </c>
      <c r="AQ10" s="68">
        <v>214</v>
      </c>
      <c r="AR10" s="68">
        <v>229</v>
      </c>
      <c r="AS10" s="68">
        <v>214</v>
      </c>
      <c r="AT10" s="68">
        <v>224</v>
      </c>
      <c r="AU10" s="68">
        <v>229</v>
      </c>
      <c r="AV10" s="68">
        <v>205</v>
      </c>
      <c r="AW10" s="68">
        <v>196</v>
      </c>
      <c r="AX10" s="68">
        <v>214</v>
      </c>
      <c r="AY10" s="68">
        <v>205</v>
      </c>
    </row>
    <row r="11" spans="1:51" ht="15" customHeight="1">
      <c r="A11" s="2">
        <v>1400</v>
      </c>
      <c r="B11" s="64">
        <v>0.8</v>
      </c>
      <c r="C11" s="64">
        <v>2</v>
      </c>
      <c r="D11" s="64"/>
      <c r="E11" s="68">
        <v>258</v>
      </c>
      <c r="F11" s="68">
        <v>315</v>
      </c>
      <c r="G11" s="68">
        <v>322</v>
      </c>
      <c r="H11" s="68">
        <v>328</v>
      </c>
      <c r="I11" s="68">
        <v>285</v>
      </c>
      <c r="J11" s="68">
        <v>315</v>
      </c>
      <c r="K11" s="68">
        <v>291</v>
      </c>
      <c r="L11" s="68">
        <v>273</v>
      </c>
      <c r="M11" s="68">
        <v>315</v>
      </c>
      <c r="N11" s="68">
        <v>328</v>
      </c>
      <c r="O11" s="68">
        <v>322</v>
      </c>
      <c r="P11" s="68">
        <v>299</v>
      </c>
      <c r="Q11" s="68">
        <v>315</v>
      </c>
      <c r="R11" s="68">
        <v>299</v>
      </c>
      <c r="S11" s="68">
        <v>299</v>
      </c>
      <c r="T11" s="68">
        <v>291</v>
      </c>
      <c r="U11" s="68">
        <v>315</v>
      </c>
      <c r="V11" s="68">
        <v>285</v>
      </c>
      <c r="W11" s="68">
        <v>258</v>
      </c>
      <c r="X11" s="68">
        <v>328</v>
      </c>
      <c r="Y11" s="68">
        <v>285</v>
      </c>
      <c r="Z11" s="68">
        <v>315</v>
      </c>
      <c r="AA11" s="68">
        <v>285</v>
      </c>
      <c r="AB11" s="68">
        <v>285</v>
      </c>
      <c r="AC11" s="68">
        <v>273</v>
      </c>
      <c r="AD11" s="68">
        <v>299</v>
      </c>
      <c r="AE11" s="68">
        <v>285</v>
      </c>
      <c r="AF11" s="68">
        <v>328</v>
      </c>
      <c r="AG11" s="68">
        <v>315</v>
      </c>
      <c r="AH11" s="68">
        <v>273</v>
      </c>
      <c r="AI11" s="68">
        <v>299</v>
      </c>
      <c r="AJ11" s="68">
        <v>285</v>
      </c>
      <c r="AK11" s="68">
        <v>273</v>
      </c>
      <c r="AL11" s="68">
        <v>299</v>
      </c>
      <c r="AM11" s="68">
        <v>285</v>
      </c>
      <c r="AN11" s="68">
        <v>273</v>
      </c>
      <c r="AO11" s="68">
        <v>285</v>
      </c>
      <c r="AP11" s="68">
        <v>328</v>
      </c>
      <c r="AQ11" s="68">
        <v>285</v>
      </c>
      <c r="AR11" s="68">
        <v>308</v>
      </c>
      <c r="AS11" s="68">
        <v>285</v>
      </c>
      <c r="AT11" s="68">
        <v>299</v>
      </c>
      <c r="AU11" s="68">
        <v>308</v>
      </c>
      <c r="AV11" s="68">
        <v>273</v>
      </c>
      <c r="AW11" s="68">
        <v>258</v>
      </c>
      <c r="AX11" s="68">
        <v>285</v>
      </c>
      <c r="AY11" s="68">
        <v>273</v>
      </c>
    </row>
    <row r="12" spans="1:51" ht="15" customHeight="1">
      <c r="A12" s="2">
        <v>1750</v>
      </c>
      <c r="B12" s="64">
        <v>1</v>
      </c>
      <c r="C12" s="64"/>
      <c r="D12" s="64">
        <v>2</v>
      </c>
      <c r="E12" s="68">
        <v>283</v>
      </c>
      <c r="F12" s="68">
        <v>336</v>
      </c>
      <c r="G12" s="68">
        <v>346</v>
      </c>
      <c r="H12" s="68">
        <v>350</v>
      </c>
      <c r="I12" s="68">
        <v>309</v>
      </c>
      <c r="J12" s="68">
        <v>336</v>
      </c>
      <c r="K12" s="68">
        <v>331</v>
      </c>
      <c r="L12" s="68">
        <v>295</v>
      </c>
      <c r="M12" s="68">
        <v>336</v>
      </c>
      <c r="N12" s="68">
        <v>350</v>
      </c>
      <c r="O12" s="68">
        <v>346</v>
      </c>
      <c r="P12" s="68">
        <v>322</v>
      </c>
      <c r="Q12" s="68">
        <v>336</v>
      </c>
      <c r="R12" s="68">
        <v>322</v>
      </c>
      <c r="S12" s="68">
        <v>322</v>
      </c>
      <c r="T12" s="68">
        <v>331</v>
      </c>
      <c r="U12" s="68">
        <v>336</v>
      </c>
      <c r="V12" s="68">
        <v>309</v>
      </c>
      <c r="W12" s="68">
        <v>283</v>
      </c>
      <c r="X12" s="68">
        <v>350</v>
      </c>
      <c r="Y12" s="68">
        <v>309</v>
      </c>
      <c r="Z12" s="68">
        <v>336</v>
      </c>
      <c r="AA12" s="68">
        <v>309</v>
      </c>
      <c r="AB12" s="68">
        <v>309</v>
      </c>
      <c r="AC12" s="68">
        <v>295</v>
      </c>
      <c r="AD12" s="68">
        <v>322</v>
      </c>
      <c r="AE12" s="68">
        <v>309</v>
      </c>
      <c r="AF12" s="68">
        <v>350</v>
      </c>
      <c r="AG12" s="68">
        <v>336</v>
      </c>
      <c r="AH12" s="68">
        <v>295</v>
      </c>
      <c r="AI12" s="68">
        <v>322</v>
      </c>
      <c r="AJ12" s="68">
        <v>309</v>
      </c>
      <c r="AK12" s="68">
        <v>295</v>
      </c>
      <c r="AL12" s="68">
        <v>322</v>
      </c>
      <c r="AM12" s="68">
        <v>309</v>
      </c>
      <c r="AN12" s="68">
        <v>295</v>
      </c>
      <c r="AO12" s="68">
        <v>309</v>
      </c>
      <c r="AP12" s="68">
        <v>350</v>
      </c>
      <c r="AQ12" s="68">
        <v>309</v>
      </c>
      <c r="AR12" s="68">
        <v>331</v>
      </c>
      <c r="AS12" s="68">
        <v>309</v>
      </c>
      <c r="AT12" s="68">
        <v>322</v>
      </c>
      <c r="AU12" s="68">
        <v>331</v>
      </c>
      <c r="AV12" s="68">
        <v>295</v>
      </c>
      <c r="AW12" s="68">
        <v>283</v>
      </c>
      <c r="AX12" s="68">
        <v>309</v>
      </c>
      <c r="AY12" s="68">
        <v>295</v>
      </c>
    </row>
    <row r="13" spans="1:51" ht="15" customHeight="1">
      <c r="A13" s="2">
        <v>2100</v>
      </c>
      <c r="B13" s="64">
        <v>1.2</v>
      </c>
      <c r="C13" s="64">
        <v>3</v>
      </c>
      <c r="D13" s="64"/>
      <c r="E13" s="68">
        <v>366</v>
      </c>
      <c r="F13" s="68">
        <v>449</v>
      </c>
      <c r="G13" s="68">
        <v>459</v>
      </c>
      <c r="H13" s="68">
        <v>468</v>
      </c>
      <c r="I13" s="68">
        <v>405</v>
      </c>
      <c r="J13" s="68">
        <v>449</v>
      </c>
      <c r="K13" s="68">
        <v>407</v>
      </c>
      <c r="L13" s="68">
        <v>388</v>
      </c>
      <c r="M13" s="68">
        <v>449</v>
      </c>
      <c r="N13" s="68">
        <v>468</v>
      </c>
      <c r="O13" s="68">
        <v>459</v>
      </c>
      <c r="P13" s="68">
        <v>427</v>
      </c>
      <c r="Q13" s="68">
        <v>449</v>
      </c>
      <c r="R13" s="68">
        <v>427</v>
      </c>
      <c r="S13" s="68">
        <v>427</v>
      </c>
      <c r="T13" s="68">
        <v>407</v>
      </c>
      <c r="U13" s="68">
        <v>449</v>
      </c>
      <c r="V13" s="68">
        <v>405</v>
      </c>
      <c r="W13" s="68">
        <v>366</v>
      </c>
      <c r="X13" s="68">
        <v>468</v>
      </c>
      <c r="Y13" s="68">
        <v>405</v>
      </c>
      <c r="Z13" s="68">
        <v>449</v>
      </c>
      <c r="AA13" s="68">
        <v>405</v>
      </c>
      <c r="AB13" s="68">
        <v>405</v>
      </c>
      <c r="AC13" s="68">
        <v>388</v>
      </c>
      <c r="AD13" s="68">
        <v>427</v>
      </c>
      <c r="AE13" s="68">
        <v>405</v>
      </c>
      <c r="AF13" s="68">
        <v>468</v>
      </c>
      <c r="AG13" s="68">
        <v>449</v>
      </c>
      <c r="AH13" s="68">
        <v>388</v>
      </c>
      <c r="AI13" s="68">
        <v>427</v>
      </c>
      <c r="AJ13" s="68">
        <v>405</v>
      </c>
      <c r="AK13" s="68">
        <v>388</v>
      </c>
      <c r="AL13" s="68">
        <v>427</v>
      </c>
      <c r="AM13" s="68">
        <v>405</v>
      </c>
      <c r="AN13" s="68">
        <v>388</v>
      </c>
      <c r="AO13" s="68">
        <v>405</v>
      </c>
      <c r="AP13" s="68">
        <v>468</v>
      </c>
      <c r="AQ13" s="68">
        <v>405</v>
      </c>
      <c r="AR13" s="68">
        <v>437</v>
      </c>
      <c r="AS13" s="68">
        <v>405</v>
      </c>
      <c r="AT13" s="68">
        <v>427</v>
      </c>
      <c r="AU13" s="68">
        <v>437</v>
      </c>
      <c r="AV13" s="68">
        <v>388</v>
      </c>
      <c r="AW13" s="68">
        <v>366</v>
      </c>
      <c r="AX13" s="68">
        <v>405</v>
      </c>
      <c r="AY13" s="68">
        <v>388</v>
      </c>
    </row>
    <row r="14" spans="1:51" ht="15" customHeight="1">
      <c r="A14" s="2">
        <v>2625</v>
      </c>
      <c r="B14" s="64">
        <v>1.5</v>
      </c>
      <c r="C14" s="64"/>
      <c r="D14" s="64">
        <v>3</v>
      </c>
      <c r="E14" s="68">
        <v>401</v>
      </c>
      <c r="F14" s="68">
        <v>482</v>
      </c>
      <c r="G14" s="68">
        <v>495</v>
      </c>
      <c r="H14" s="68">
        <v>500</v>
      </c>
      <c r="I14" s="68">
        <v>439</v>
      </c>
      <c r="J14" s="68">
        <v>482</v>
      </c>
      <c r="K14" s="68">
        <v>455</v>
      </c>
      <c r="L14" s="68">
        <v>421</v>
      </c>
      <c r="M14" s="68">
        <v>482</v>
      </c>
      <c r="N14" s="68">
        <v>500</v>
      </c>
      <c r="O14" s="68">
        <v>495</v>
      </c>
      <c r="P14" s="68">
        <v>459</v>
      </c>
      <c r="Q14" s="68">
        <v>482</v>
      </c>
      <c r="R14" s="68">
        <v>459</v>
      </c>
      <c r="S14" s="68">
        <v>459</v>
      </c>
      <c r="T14" s="68">
        <v>455</v>
      </c>
      <c r="U14" s="68">
        <v>482</v>
      </c>
      <c r="V14" s="68">
        <v>439</v>
      </c>
      <c r="W14" s="68">
        <v>401</v>
      </c>
      <c r="X14" s="68">
        <v>500</v>
      </c>
      <c r="Y14" s="68">
        <v>439</v>
      </c>
      <c r="Z14" s="68">
        <v>482</v>
      </c>
      <c r="AA14" s="68">
        <v>439</v>
      </c>
      <c r="AB14" s="68">
        <v>439</v>
      </c>
      <c r="AC14" s="68">
        <v>421</v>
      </c>
      <c r="AD14" s="68">
        <v>459</v>
      </c>
      <c r="AE14" s="68">
        <v>439</v>
      </c>
      <c r="AF14" s="68">
        <v>500</v>
      </c>
      <c r="AG14" s="68">
        <v>482</v>
      </c>
      <c r="AH14" s="68">
        <v>421</v>
      </c>
      <c r="AI14" s="68">
        <v>459</v>
      </c>
      <c r="AJ14" s="68">
        <v>439</v>
      </c>
      <c r="AK14" s="68">
        <v>421</v>
      </c>
      <c r="AL14" s="68">
        <v>459</v>
      </c>
      <c r="AM14" s="68">
        <v>439</v>
      </c>
      <c r="AN14" s="68">
        <v>421</v>
      </c>
      <c r="AO14" s="68">
        <v>439</v>
      </c>
      <c r="AP14" s="68">
        <v>500</v>
      </c>
      <c r="AQ14" s="68">
        <v>439</v>
      </c>
      <c r="AR14" s="68">
        <v>472</v>
      </c>
      <c r="AS14" s="68">
        <v>439</v>
      </c>
      <c r="AT14" s="68">
        <v>459</v>
      </c>
      <c r="AU14" s="68">
        <v>472</v>
      </c>
      <c r="AV14" s="68">
        <v>421</v>
      </c>
      <c r="AW14" s="68">
        <v>401</v>
      </c>
      <c r="AX14" s="68">
        <v>439</v>
      </c>
      <c r="AY14" s="68">
        <v>421</v>
      </c>
    </row>
    <row r="15" spans="1:51" ht="15" customHeight="1">
      <c r="A15" s="2">
        <v>2800</v>
      </c>
      <c r="B15" s="64">
        <v>1.6</v>
      </c>
      <c r="C15" s="64">
        <v>4</v>
      </c>
      <c r="D15" s="64"/>
      <c r="E15" s="68">
        <v>458</v>
      </c>
      <c r="F15" s="68">
        <v>566</v>
      </c>
      <c r="G15" s="68">
        <v>579</v>
      </c>
      <c r="H15" s="68">
        <v>590</v>
      </c>
      <c r="I15" s="68">
        <v>509</v>
      </c>
      <c r="J15" s="68">
        <v>566</v>
      </c>
      <c r="K15" s="68">
        <v>459</v>
      </c>
      <c r="L15" s="68">
        <v>487</v>
      </c>
      <c r="M15" s="68">
        <v>566</v>
      </c>
      <c r="N15" s="68">
        <v>590</v>
      </c>
      <c r="O15" s="68">
        <v>579</v>
      </c>
      <c r="P15" s="68">
        <v>538</v>
      </c>
      <c r="Q15" s="68">
        <v>566</v>
      </c>
      <c r="R15" s="68">
        <v>538</v>
      </c>
      <c r="S15" s="68">
        <v>538</v>
      </c>
      <c r="T15" s="68">
        <v>459</v>
      </c>
      <c r="U15" s="68">
        <v>566</v>
      </c>
      <c r="V15" s="68">
        <v>509</v>
      </c>
      <c r="W15" s="68">
        <v>458</v>
      </c>
      <c r="X15" s="68">
        <v>590</v>
      </c>
      <c r="Y15" s="68">
        <v>509</v>
      </c>
      <c r="Z15" s="68">
        <v>566</v>
      </c>
      <c r="AA15" s="68">
        <v>509</v>
      </c>
      <c r="AB15" s="68">
        <v>509</v>
      </c>
      <c r="AC15" s="68">
        <v>487</v>
      </c>
      <c r="AD15" s="68">
        <v>538</v>
      </c>
      <c r="AE15" s="68">
        <v>509</v>
      </c>
      <c r="AF15" s="68">
        <v>590</v>
      </c>
      <c r="AG15" s="68">
        <v>566</v>
      </c>
      <c r="AH15" s="68">
        <v>487</v>
      </c>
      <c r="AI15" s="68">
        <v>538</v>
      </c>
      <c r="AJ15" s="68">
        <v>509</v>
      </c>
      <c r="AK15" s="68">
        <v>487</v>
      </c>
      <c r="AL15" s="68">
        <v>538</v>
      </c>
      <c r="AM15" s="68">
        <v>509</v>
      </c>
      <c r="AN15" s="68">
        <v>487</v>
      </c>
      <c r="AO15" s="68">
        <v>509</v>
      </c>
      <c r="AP15" s="68">
        <v>590</v>
      </c>
      <c r="AQ15" s="68">
        <v>509</v>
      </c>
      <c r="AR15" s="68">
        <v>551</v>
      </c>
      <c r="AS15" s="68">
        <v>509</v>
      </c>
      <c r="AT15" s="68">
        <v>538</v>
      </c>
      <c r="AU15" s="68">
        <v>551</v>
      </c>
      <c r="AV15" s="68">
        <v>487</v>
      </c>
      <c r="AW15" s="68">
        <v>458</v>
      </c>
      <c r="AX15" s="68">
        <v>509</v>
      </c>
      <c r="AY15" s="68">
        <v>487</v>
      </c>
    </row>
    <row r="16" spans="1:51" ht="15" customHeight="1">
      <c r="A16" s="2">
        <v>3500</v>
      </c>
      <c r="B16" s="64">
        <v>2</v>
      </c>
      <c r="C16" s="64">
        <v>5</v>
      </c>
      <c r="D16" s="64">
        <v>4</v>
      </c>
      <c r="E16" s="68">
        <v>530</v>
      </c>
      <c r="F16" s="68">
        <v>650</v>
      </c>
      <c r="G16" s="68">
        <v>667</v>
      </c>
      <c r="H16" s="68">
        <v>677</v>
      </c>
      <c r="I16" s="68">
        <v>588</v>
      </c>
      <c r="J16" s="68">
        <v>650</v>
      </c>
      <c r="K16" s="68">
        <v>518</v>
      </c>
      <c r="L16" s="68">
        <v>563</v>
      </c>
      <c r="M16" s="68">
        <v>650</v>
      </c>
      <c r="N16" s="68">
        <v>677</v>
      </c>
      <c r="O16" s="68">
        <v>667</v>
      </c>
      <c r="P16" s="68">
        <v>618</v>
      </c>
      <c r="Q16" s="68">
        <v>650</v>
      </c>
      <c r="R16" s="68">
        <v>618</v>
      </c>
      <c r="S16" s="68">
        <v>618</v>
      </c>
      <c r="T16" s="68">
        <v>518</v>
      </c>
      <c r="U16" s="68">
        <v>650</v>
      </c>
      <c r="V16" s="68">
        <v>588</v>
      </c>
      <c r="W16" s="68">
        <v>530</v>
      </c>
      <c r="X16" s="68">
        <v>677</v>
      </c>
      <c r="Y16" s="68">
        <v>588</v>
      </c>
      <c r="Z16" s="68">
        <v>650</v>
      </c>
      <c r="AA16" s="68">
        <v>588</v>
      </c>
      <c r="AB16" s="68">
        <v>588</v>
      </c>
      <c r="AC16" s="68">
        <v>563</v>
      </c>
      <c r="AD16" s="68">
        <v>618</v>
      </c>
      <c r="AE16" s="68">
        <v>588</v>
      </c>
      <c r="AF16" s="68">
        <v>677</v>
      </c>
      <c r="AG16" s="68">
        <v>650</v>
      </c>
      <c r="AH16" s="68">
        <v>563</v>
      </c>
      <c r="AI16" s="68">
        <v>618</v>
      </c>
      <c r="AJ16" s="68">
        <v>588</v>
      </c>
      <c r="AK16" s="68">
        <v>563</v>
      </c>
      <c r="AL16" s="68">
        <v>618</v>
      </c>
      <c r="AM16" s="68">
        <v>588</v>
      </c>
      <c r="AN16" s="68">
        <v>563</v>
      </c>
      <c r="AO16" s="68">
        <v>588</v>
      </c>
      <c r="AP16" s="68">
        <v>677</v>
      </c>
      <c r="AQ16" s="68">
        <v>588</v>
      </c>
      <c r="AR16" s="68">
        <v>636</v>
      </c>
      <c r="AS16" s="68">
        <v>588</v>
      </c>
      <c r="AT16" s="68">
        <v>618</v>
      </c>
      <c r="AU16" s="68">
        <v>636</v>
      </c>
      <c r="AV16" s="68">
        <v>563</v>
      </c>
      <c r="AW16" s="68">
        <v>530</v>
      </c>
      <c r="AX16" s="68">
        <v>588</v>
      </c>
      <c r="AY16" s="68">
        <v>563</v>
      </c>
    </row>
    <row r="17" spans="1:51" ht="15" customHeight="1">
      <c r="A17" s="2">
        <v>4200</v>
      </c>
      <c r="B17" s="2">
        <v>2.4</v>
      </c>
      <c r="C17" s="2">
        <v>6</v>
      </c>
      <c r="D17" s="2"/>
      <c r="E17" s="68">
        <v>556</v>
      </c>
      <c r="F17" s="68">
        <v>678</v>
      </c>
      <c r="G17" s="68">
        <v>704</v>
      </c>
      <c r="H17" s="68">
        <v>794</v>
      </c>
      <c r="I17" s="68">
        <v>661</v>
      </c>
      <c r="J17" s="68">
        <v>794</v>
      </c>
      <c r="K17" s="68">
        <v>611</v>
      </c>
      <c r="L17" s="68">
        <v>590</v>
      </c>
      <c r="M17" s="68">
        <v>794</v>
      </c>
      <c r="N17" s="68">
        <v>802</v>
      </c>
      <c r="O17" s="68">
        <v>698</v>
      </c>
      <c r="P17" s="68">
        <v>725</v>
      </c>
      <c r="Q17" s="68">
        <v>794</v>
      </c>
      <c r="R17" s="68">
        <v>794</v>
      </c>
      <c r="S17" s="68">
        <v>661</v>
      </c>
      <c r="T17" s="68">
        <v>611</v>
      </c>
      <c r="U17" s="68">
        <v>794</v>
      </c>
      <c r="V17" s="68">
        <v>661</v>
      </c>
      <c r="W17" s="68">
        <v>554</v>
      </c>
      <c r="X17" s="68">
        <v>802</v>
      </c>
      <c r="Y17" s="68">
        <v>615</v>
      </c>
      <c r="Z17" s="68">
        <v>794</v>
      </c>
      <c r="AA17" s="68">
        <v>678</v>
      </c>
      <c r="AB17" s="68">
        <v>615</v>
      </c>
      <c r="AC17" s="68">
        <v>590</v>
      </c>
      <c r="AD17" s="68">
        <v>725</v>
      </c>
      <c r="AE17" s="68">
        <v>633</v>
      </c>
      <c r="AF17" s="68">
        <v>794</v>
      </c>
      <c r="AG17" s="68">
        <v>725</v>
      </c>
      <c r="AH17" s="68">
        <v>589</v>
      </c>
      <c r="AI17" s="68">
        <v>751</v>
      </c>
      <c r="AJ17" s="68">
        <v>678</v>
      </c>
      <c r="AK17" s="68">
        <v>661</v>
      </c>
      <c r="AL17" s="68">
        <v>751</v>
      </c>
      <c r="AM17" s="68">
        <v>678</v>
      </c>
      <c r="AN17" s="68">
        <v>661</v>
      </c>
      <c r="AO17" s="68">
        <v>661</v>
      </c>
      <c r="AP17" s="68">
        <v>802</v>
      </c>
      <c r="AQ17" s="68">
        <v>661</v>
      </c>
      <c r="AR17" s="68">
        <v>663</v>
      </c>
      <c r="AS17" s="68">
        <v>661</v>
      </c>
      <c r="AT17" s="68">
        <v>661</v>
      </c>
      <c r="AU17" s="68">
        <v>686</v>
      </c>
      <c r="AV17" s="68">
        <v>661</v>
      </c>
      <c r="AW17" s="68">
        <v>574</v>
      </c>
      <c r="AX17" s="68">
        <v>678</v>
      </c>
      <c r="AY17" s="68">
        <v>590</v>
      </c>
    </row>
    <row r="18" spans="1:51" ht="15" customHeight="1">
      <c r="A18" s="2">
        <v>4375</v>
      </c>
      <c r="B18" s="2">
        <v>2.5</v>
      </c>
      <c r="C18" s="2"/>
      <c r="D18" s="2">
        <v>5</v>
      </c>
      <c r="E18" s="68">
        <v>568</v>
      </c>
      <c r="F18" s="68">
        <v>696</v>
      </c>
      <c r="G18" s="68">
        <v>722</v>
      </c>
      <c r="H18" s="68">
        <v>817</v>
      </c>
      <c r="I18" s="68">
        <v>681</v>
      </c>
      <c r="J18" s="68">
        <v>817</v>
      </c>
      <c r="K18" s="68">
        <v>618</v>
      </c>
      <c r="L18" s="68">
        <v>603</v>
      </c>
      <c r="M18" s="68">
        <v>817</v>
      </c>
      <c r="N18" s="68">
        <v>851</v>
      </c>
      <c r="O18" s="68">
        <v>708</v>
      </c>
      <c r="P18" s="68">
        <v>743</v>
      </c>
      <c r="Q18" s="68">
        <v>817</v>
      </c>
      <c r="R18" s="68">
        <v>817</v>
      </c>
      <c r="S18" s="68">
        <v>681</v>
      </c>
      <c r="T18" s="68">
        <v>618</v>
      </c>
      <c r="U18" s="68">
        <v>817</v>
      </c>
      <c r="V18" s="68">
        <v>681</v>
      </c>
      <c r="W18" s="68">
        <v>565</v>
      </c>
      <c r="X18" s="68">
        <v>851</v>
      </c>
      <c r="Y18" s="68">
        <v>624</v>
      </c>
      <c r="Z18" s="68">
        <v>817</v>
      </c>
      <c r="AA18" s="68">
        <v>696</v>
      </c>
      <c r="AB18" s="68">
        <v>624</v>
      </c>
      <c r="AC18" s="68">
        <v>603</v>
      </c>
      <c r="AD18" s="68">
        <v>743</v>
      </c>
      <c r="AE18" s="68">
        <v>643</v>
      </c>
      <c r="AF18" s="68">
        <v>817</v>
      </c>
      <c r="AG18" s="68">
        <v>743</v>
      </c>
      <c r="AH18" s="68">
        <v>600</v>
      </c>
      <c r="AI18" s="68">
        <v>817</v>
      </c>
      <c r="AJ18" s="68">
        <v>696</v>
      </c>
      <c r="AK18" s="68">
        <v>681</v>
      </c>
      <c r="AL18" s="68">
        <v>817</v>
      </c>
      <c r="AM18" s="68">
        <v>696</v>
      </c>
      <c r="AN18" s="68">
        <v>681</v>
      </c>
      <c r="AO18" s="68">
        <v>681</v>
      </c>
      <c r="AP18" s="68">
        <v>851</v>
      </c>
      <c r="AQ18" s="68">
        <v>681</v>
      </c>
      <c r="AR18" s="68">
        <v>669</v>
      </c>
      <c r="AS18" s="68">
        <v>681</v>
      </c>
      <c r="AT18" s="68">
        <v>681</v>
      </c>
      <c r="AU18" s="68">
        <v>701</v>
      </c>
      <c r="AV18" s="68">
        <v>681</v>
      </c>
      <c r="AW18" s="68">
        <v>588</v>
      </c>
      <c r="AX18" s="68">
        <v>696</v>
      </c>
      <c r="AY18" s="68">
        <v>603</v>
      </c>
    </row>
    <row r="19" spans="1:51" ht="15" customHeight="1">
      <c r="A19" s="2">
        <v>4900</v>
      </c>
      <c r="B19" s="2">
        <v>2.8</v>
      </c>
      <c r="C19" s="2">
        <v>7</v>
      </c>
      <c r="D19" s="2"/>
      <c r="E19" s="68">
        <v>579</v>
      </c>
      <c r="F19" s="68">
        <v>739</v>
      </c>
      <c r="G19" s="68">
        <v>739</v>
      </c>
      <c r="H19" s="68">
        <v>868</v>
      </c>
      <c r="I19" s="68">
        <v>718</v>
      </c>
      <c r="J19" s="68">
        <v>868</v>
      </c>
      <c r="K19" s="68">
        <v>660</v>
      </c>
      <c r="L19" s="68">
        <v>616</v>
      </c>
      <c r="M19" s="68">
        <v>868</v>
      </c>
      <c r="N19" s="68">
        <v>908</v>
      </c>
      <c r="O19" s="68">
        <v>718</v>
      </c>
      <c r="P19" s="68">
        <v>794</v>
      </c>
      <c r="Q19" s="68">
        <v>868</v>
      </c>
      <c r="R19" s="68">
        <v>868</v>
      </c>
      <c r="S19" s="68">
        <v>718</v>
      </c>
      <c r="T19" s="68">
        <v>660</v>
      </c>
      <c r="U19" s="68">
        <v>868</v>
      </c>
      <c r="V19" s="68">
        <v>718</v>
      </c>
      <c r="W19" s="68">
        <v>574</v>
      </c>
      <c r="X19" s="68">
        <v>908</v>
      </c>
      <c r="Y19" s="68">
        <v>635</v>
      </c>
      <c r="Z19" s="68">
        <v>868</v>
      </c>
      <c r="AA19" s="68">
        <v>739</v>
      </c>
      <c r="AB19" s="68">
        <v>635</v>
      </c>
      <c r="AC19" s="68">
        <v>616</v>
      </c>
      <c r="AD19" s="68">
        <v>794</v>
      </c>
      <c r="AE19" s="68">
        <v>661</v>
      </c>
      <c r="AF19" s="68">
        <v>868</v>
      </c>
      <c r="AG19" s="68">
        <v>794</v>
      </c>
      <c r="AH19" s="68">
        <v>611</v>
      </c>
      <c r="AI19" s="68">
        <v>868</v>
      </c>
      <c r="AJ19" s="68">
        <v>739</v>
      </c>
      <c r="AK19" s="68">
        <v>718</v>
      </c>
      <c r="AL19" s="68">
        <v>868</v>
      </c>
      <c r="AM19" s="68">
        <v>739</v>
      </c>
      <c r="AN19" s="68">
        <v>718</v>
      </c>
      <c r="AO19" s="68">
        <v>718</v>
      </c>
      <c r="AP19" s="68">
        <v>908</v>
      </c>
      <c r="AQ19" s="68">
        <v>718</v>
      </c>
      <c r="AR19" s="68">
        <v>678</v>
      </c>
      <c r="AS19" s="68">
        <v>718</v>
      </c>
      <c r="AT19" s="68">
        <v>718</v>
      </c>
      <c r="AU19" s="68">
        <v>718</v>
      </c>
      <c r="AV19" s="68">
        <v>718</v>
      </c>
      <c r="AW19" s="68">
        <v>602</v>
      </c>
      <c r="AX19" s="68">
        <v>739</v>
      </c>
      <c r="AY19" s="68">
        <v>616</v>
      </c>
    </row>
    <row r="20" spans="1:51" ht="15" customHeight="1">
      <c r="A20" s="2">
        <v>5250</v>
      </c>
      <c r="B20" s="2">
        <v>3</v>
      </c>
      <c r="C20" s="2"/>
      <c r="D20" s="2">
        <v>6</v>
      </c>
      <c r="E20" s="68">
        <v>613</v>
      </c>
      <c r="F20" s="68">
        <v>772</v>
      </c>
      <c r="G20" s="68">
        <v>772</v>
      </c>
      <c r="H20" s="68">
        <v>904</v>
      </c>
      <c r="I20" s="68">
        <v>752</v>
      </c>
      <c r="J20" s="68">
        <v>904</v>
      </c>
      <c r="K20" s="68">
        <v>692</v>
      </c>
      <c r="L20" s="68">
        <v>627</v>
      </c>
      <c r="M20" s="68">
        <v>904</v>
      </c>
      <c r="N20" s="68">
        <v>949</v>
      </c>
      <c r="O20" s="68">
        <v>752</v>
      </c>
      <c r="P20" s="68">
        <v>831</v>
      </c>
      <c r="Q20" s="68">
        <v>904</v>
      </c>
      <c r="R20" s="68">
        <v>904</v>
      </c>
      <c r="S20" s="68">
        <v>752</v>
      </c>
      <c r="T20" s="68">
        <v>692</v>
      </c>
      <c r="U20" s="68">
        <v>904</v>
      </c>
      <c r="V20" s="68">
        <v>752</v>
      </c>
      <c r="W20" s="68">
        <v>609</v>
      </c>
      <c r="X20" s="68">
        <v>949</v>
      </c>
      <c r="Y20" s="68">
        <v>645</v>
      </c>
      <c r="Z20" s="68">
        <v>904</v>
      </c>
      <c r="AA20" s="68">
        <v>772</v>
      </c>
      <c r="AB20" s="68">
        <v>645</v>
      </c>
      <c r="AC20" s="68">
        <v>627</v>
      </c>
      <c r="AD20" s="68">
        <v>831</v>
      </c>
      <c r="AE20" s="68">
        <v>689</v>
      </c>
      <c r="AF20" s="68">
        <v>904</v>
      </c>
      <c r="AG20" s="68">
        <v>831</v>
      </c>
      <c r="AH20" s="68">
        <v>622</v>
      </c>
      <c r="AI20" s="68">
        <v>904</v>
      </c>
      <c r="AJ20" s="68">
        <v>772</v>
      </c>
      <c r="AK20" s="68">
        <v>752</v>
      </c>
      <c r="AL20" s="68">
        <v>904</v>
      </c>
      <c r="AM20" s="68">
        <v>772</v>
      </c>
      <c r="AN20" s="68">
        <v>752</v>
      </c>
      <c r="AO20" s="68">
        <v>752</v>
      </c>
      <c r="AP20" s="68">
        <v>949</v>
      </c>
      <c r="AQ20" s="68">
        <v>752</v>
      </c>
      <c r="AR20" s="68">
        <v>685</v>
      </c>
      <c r="AS20" s="68">
        <v>752</v>
      </c>
      <c r="AT20" s="68">
        <v>752</v>
      </c>
      <c r="AU20" s="68">
        <v>752</v>
      </c>
      <c r="AV20" s="68">
        <v>752</v>
      </c>
      <c r="AW20" s="68">
        <v>627</v>
      </c>
      <c r="AX20" s="68">
        <v>772</v>
      </c>
      <c r="AY20" s="68">
        <v>627</v>
      </c>
    </row>
    <row r="21" spans="1:51" ht="15" customHeight="1">
      <c r="A21" s="2">
        <v>5600</v>
      </c>
      <c r="B21" s="2">
        <v>3.2</v>
      </c>
      <c r="C21" s="2">
        <v>8</v>
      </c>
      <c r="D21" s="2"/>
      <c r="E21" s="68">
        <v>633</v>
      </c>
      <c r="F21" s="68">
        <v>800</v>
      </c>
      <c r="G21" s="68">
        <v>800</v>
      </c>
      <c r="H21" s="68">
        <v>939</v>
      </c>
      <c r="I21" s="68">
        <v>778</v>
      </c>
      <c r="J21" s="68">
        <v>939</v>
      </c>
      <c r="K21" s="68">
        <v>706</v>
      </c>
      <c r="L21" s="68">
        <v>656</v>
      </c>
      <c r="M21" s="68">
        <v>939</v>
      </c>
      <c r="N21" s="68">
        <v>988</v>
      </c>
      <c r="O21" s="68">
        <v>778</v>
      </c>
      <c r="P21" s="68">
        <v>865</v>
      </c>
      <c r="Q21" s="68">
        <v>939</v>
      </c>
      <c r="R21" s="68">
        <v>939</v>
      </c>
      <c r="S21" s="68">
        <v>778</v>
      </c>
      <c r="T21" s="68">
        <v>706</v>
      </c>
      <c r="U21" s="68">
        <v>939</v>
      </c>
      <c r="V21" s="68">
        <v>778</v>
      </c>
      <c r="W21" s="68">
        <v>627</v>
      </c>
      <c r="X21" s="68">
        <v>988</v>
      </c>
      <c r="Y21" s="68">
        <v>656</v>
      </c>
      <c r="Z21" s="68">
        <v>939</v>
      </c>
      <c r="AA21" s="68">
        <v>800</v>
      </c>
      <c r="AB21" s="68">
        <v>656</v>
      </c>
      <c r="AC21" s="68">
        <v>656</v>
      </c>
      <c r="AD21" s="68">
        <v>865</v>
      </c>
      <c r="AE21" s="68">
        <v>721</v>
      </c>
      <c r="AF21" s="68">
        <v>939</v>
      </c>
      <c r="AG21" s="68">
        <v>865</v>
      </c>
      <c r="AH21" s="68">
        <v>633</v>
      </c>
      <c r="AI21" s="68">
        <v>939</v>
      </c>
      <c r="AJ21" s="68">
        <v>800</v>
      </c>
      <c r="AK21" s="68">
        <v>778</v>
      </c>
      <c r="AL21" s="68">
        <v>939</v>
      </c>
      <c r="AM21" s="68">
        <v>800</v>
      </c>
      <c r="AN21" s="68">
        <v>778</v>
      </c>
      <c r="AO21" s="68">
        <v>778</v>
      </c>
      <c r="AP21" s="68">
        <v>988</v>
      </c>
      <c r="AQ21" s="68">
        <v>778</v>
      </c>
      <c r="AR21" s="68">
        <v>693</v>
      </c>
      <c r="AS21" s="68">
        <v>778</v>
      </c>
      <c r="AT21" s="68">
        <v>778</v>
      </c>
      <c r="AU21" s="68">
        <v>778</v>
      </c>
      <c r="AV21" s="68">
        <v>778</v>
      </c>
      <c r="AW21" s="68">
        <v>656</v>
      </c>
      <c r="AX21" s="68">
        <v>800</v>
      </c>
      <c r="AY21" s="68">
        <v>656</v>
      </c>
    </row>
    <row r="22" spans="1:51" ht="15" customHeight="1">
      <c r="A22" s="2">
        <v>6125</v>
      </c>
      <c r="B22" s="2">
        <v>3.5</v>
      </c>
      <c r="C22" s="2"/>
      <c r="D22" s="2">
        <v>7</v>
      </c>
      <c r="E22" s="68">
        <v>673</v>
      </c>
      <c r="F22" s="68">
        <v>848</v>
      </c>
      <c r="G22" s="68">
        <v>848</v>
      </c>
      <c r="H22" s="68">
        <v>993</v>
      </c>
      <c r="I22" s="68">
        <v>825</v>
      </c>
      <c r="J22" s="68">
        <v>993</v>
      </c>
      <c r="K22" s="68">
        <v>715</v>
      </c>
      <c r="L22" s="68">
        <v>694</v>
      </c>
      <c r="M22" s="68">
        <v>993</v>
      </c>
      <c r="N22" s="68">
        <v>1049</v>
      </c>
      <c r="O22" s="68">
        <v>825</v>
      </c>
      <c r="P22" s="68">
        <v>919</v>
      </c>
      <c r="Q22" s="68">
        <v>993</v>
      </c>
      <c r="R22" s="68">
        <v>993</v>
      </c>
      <c r="S22" s="68">
        <v>825</v>
      </c>
      <c r="T22" s="68">
        <v>715</v>
      </c>
      <c r="U22" s="68">
        <v>993</v>
      </c>
      <c r="V22" s="68">
        <v>825</v>
      </c>
      <c r="W22" s="68">
        <v>670</v>
      </c>
      <c r="X22" s="68">
        <v>1049</v>
      </c>
      <c r="Y22" s="68">
        <v>694</v>
      </c>
      <c r="Z22" s="68">
        <v>993</v>
      </c>
      <c r="AA22" s="68">
        <v>848</v>
      </c>
      <c r="AB22" s="68">
        <v>694</v>
      </c>
      <c r="AC22" s="68">
        <v>694</v>
      </c>
      <c r="AD22" s="68">
        <v>919</v>
      </c>
      <c r="AE22" s="68">
        <v>766</v>
      </c>
      <c r="AF22" s="68">
        <v>993</v>
      </c>
      <c r="AG22" s="68">
        <v>919</v>
      </c>
      <c r="AH22" s="68">
        <v>673</v>
      </c>
      <c r="AI22" s="68">
        <v>993</v>
      </c>
      <c r="AJ22" s="68">
        <v>848</v>
      </c>
      <c r="AK22" s="68">
        <v>825</v>
      </c>
      <c r="AL22" s="68">
        <v>993</v>
      </c>
      <c r="AM22" s="68">
        <v>848</v>
      </c>
      <c r="AN22" s="68">
        <v>825</v>
      </c>
      <c r="AO22" s="68">
        <v>825</v>
      </c>
      <c r="AP22" s="68">
        <v>1049</v>
      </c>
      <c r="AQ22" s="68">
        <v>825</v>
      </c>
      <c r="AR22" s="68">
        <v>701</v>
      </c>
      <c r="AS22" s="68">
        <v>825</v>
      </c>
      <c r="AT22" s="68">
        <v>825</v>
      </c>
      <c r="AU22" s="68">
        <v>825</v>
      </c>
      <c r="AV22" s="68">
        <v>825</v>
      </c>
      <c r="AW22" s="68">
        <v>694</v>
      </c>
      <c r="AX22" s="68">
        <v>848</v>
      </c>
      <c r="AY22" s="68">
        <v>694</v>
      </c>
    </row>
    <row r="23" spans="1:51" ht="15" customHeight="1">
      <c r="A23" s="2">
        <v>6300</v>
      </c>
      <c r="B23" s="2">
        <v>3.6</v>
      </c>
      <c r="C23" s="2">
        <v>9</v>
      </c>
      <c r="D23" s="2"/>
      <c r="E23" s="68">
        <v>685</v>
      </c>
      <c r="F23" s="68">
        <v>862</v>
      </c>
      <c r="G23" s="68">
        <v>862</v>
      </c>
      <c r="H23" s="68">
        <v>1009</v>
      </c>
      <c r="I23" s="68">
        <v>836</v>
      </c>
      <c r="J23" s="68">
        <v>1009</v>
      </c>
      <c r="K23" s="68">
        <v>726</v>
      </c>
      <c r="L23" s="68">
        <v>708</v>
      </c>
      <c r="M23" s="68">
        <v>1009</v>
      </c>
      <c r="N23" s="68">
        <v>1066</v>
      </c>
      <c r="O23" s="68">
        <v>836</v>
      </c>
      <c r="P23" s="68">
        <v>936</v>
      </c>
      <c r="Q23" s="68">
        <v>1009</v>
      </c>
      <c r="R23" s="68">
        <v>1009</v>
      </c>
      <c r="S23" s="68">
        <v>836</v>
      </c>
      <c r="T23" s="68">
        <v>726</v>
      </c>
      <c r="U23" s="68">
        <v>1009</v>
      </c>
      <c r="V23" s="68">
        <v>836</v>
      </c>
      <c r="W23" s="68">
        <v>682</v>
      </c>
      <c r="X23" s="68">
        <v>1066</v>
      </c>
      <c r="Y23" s="68">
        <v>708</v>
      </c>
      <c r="Z23" s="68">
        <v>1009</v>
      </c>
      <c r="AA23" s="68">
        <v>862</v>
      </c>
      <c r="AB23" s="68">
        <v>708</v>
      </c>
      <c r="AC23" s="68">
        <v>708</v>
      </c>
      <c r="AD23" s="68">
        <v>936</v>
      </c>
      <c r="AE23" s="68">
        <v>783</v>
      </c>
      <c r="AF23" s="68">
        <v>1009</v>
      </c>
      <c r="AG23" s="68">
        <v>936</v>
      </c>
      <c r="AH23" s="68">
        <v>685</v>
      </c>
      <c r="AI23" s="68">
        <v>1009</v>
      </c>
      <c r="AJ23" s="68">
        <v>862</v>
      </c>
      <c r="AK23" s="68">
        <v>836</v>
      </c>
      <c r="AL23" s="68">
        <v>1009</v>
      </c>
      <c r="AM23" s="68">
        <v>862</v>
      </c>
      <c r="AN23" s="68">
        <v>836</v>
      </c>
      <c r="AO23" s="68">
        <v>836</v>
      </c>
      <c r="AP23" s="68">
        <v>1066</v>
      </c>
      <c r="AQ23" s="68">
        <v>836</v>
      </c>
      <c r="AR23" s="68">
        <v>708</v>
      </c>
      <c r="AS23" s="68">
        <v>836</v>
      </c>
      <c r="AT23" s="68">
        <v>836</v>
      </c>
      <c r="AU23" s="68">
        <v>836</v>
      </c>
      <c r="AV23" s="68">
        <v>836</v>
      </c>
      <c r="AW23" s="68">
        <v>708</v>
      </c>
      <c r="AX23" s="68">
        <v>862</v>
      </c>
      <c r="AY23" s="68">
        <v>708</v>
      </c>
    </row>
    <row r="24" spans="1:51" ht="15" customHeight="1">
      <c r="A24" s="2">
        <v>7000</v>
      </c>
      <c r="B24" s="2">
        <v>4</v>
      </c>
      <c r="C24" s="2">
        <v>10</v>
      </c>
      <c r="D24" s="2">
        <v>8</v>
      </c>
      <c r="E24" s="68">
        <v>738</v>
      </c>
      <c r="F24" s="68">
        <v>922</v>
      </c>
      <c r="G24" s="68">
        <v>922</v>
      </c>
      <c r="H24" s="68">
        <v>1081</v>
      </c>
      <c r="I24" s="68">
        <v>896</v>
      </c>
      <c r="J24" s="68">
        <v>1081</v>
      </c>
      <c r="K24" s="68">
        <v>736</v>
      </c>
      <c r="L24" s="68">
        <v>762</v>
      </c>
      <c r="M24" s="68">
        <v>1081</v>
      </c>
      <c r="N24" s="68">
        <v>1145</v>
      </c>
      <c r="O24" s="68">
        <v>896</v>
      </c>
      <c r="P24" s="68">
        <v>1006</v>
      </c>
      <c r="Q24" s="68">
        <v>1081</v>
      </c>
      <c r="R24" s="68">
        <v>1081</v>
      </c>
      <c r="S24" s="68">
        <v>896</v>
      </c>
      <c r="T24" s="68">
        <v>736</v>
      </c>
      <c r="U24" s="68">
        <v>1081</v>
      </c>
      <c r="V24" s="68">
        <v>896</v>
      </c>
      <c r="W24" s="68">
        <v>736</v>
      </c>
      <c r="X24" s="68">
        <v>1145</v>
      </c>
      <c r="Y24" s="68">
        <v>762</v>
      </c>
      <c r="Z24" s="68">
        <v>1081</v>
      </c>
      <c r="AA24" s="68">
        <v>922</v>
      </c>
      <c r="AB24" s="68">
        <v>762</v>
      </c>
      <c r="AC24" s="68">
        <v>762</v>
      </c>
      <c r="AD24" s="68">
        <v>1006</v>
      </c>
      <c r="AE24" s="68">
        <v>845</v>
      </c>
      <c r="AF24" s="68">
        <v>1081</v>
      </c>
      <c r="AG24" s="68">
        <v>1006</v>
      </c>
      <c r="AH24" s="68">
        <v>738</v>
      </c>
      <c r="AI24" s="68">
        <v>1081</v>
      </c>
      <c r="AJ24" s="68">
        <v>922</v>
      </c>
      <c r="AK24" s="68">
        <v>896</v>
      </c>
      <c r="AL24" s="68">
        <v>1081</v>
      </c>
      <c r="AM24" s="68">
        <v>922</v>
      </c>
      <c r="AN24" s="68">
        <v>896</v>
      </c>
      <c r="AO24" s="68">
        <v>896</v>
      </c>
      <c r="AP24" s="68">
        <v>1145</v>
      </c>
      <c r="AQ24" s="68">
        <v>896</v>
      </c>
      <c r="AR24" s="68">
        <v>762</v>
      </c>
      <c r="AS24" s="68">
        <v>896</v>
      </c>
      <c r="AT24" s="68">
        <v>896</v>
      </c>
      <c r="AU24" s="68">
        <v>896</v>
      </c>
      <c r="AV24" s="68">
        <v>896</v>
      </c>
      <c r="AW24" s="68">
        <v>762</v>
      </c>
      <c r="AX24" s="68">
        <v>922</v>
      </c>
      <c r="AY24" s="68">
        <v>762</v>
      </c>
    </row>
    <row r="25" spans="1:51" ht="15" customHeight="1">
      <c r="A25" s="3"/>
      <c r="B25" s="3"/>
      <c r="C25" s="3"/>
      <c r="D25" s="3"/>
    </row>
    <row r="26" spans="1:51" ht="15" customHeight="1">
      <c r="A26" s="4" t="s">
        <v>24</v>
      </c>
      <c r="B26" s="3"/>
      <c r="C26" s="3"/>
      <c r="D26" s="3"/>
    </row>
    <row r="27" spans="1:51" ht="15" customHeight="1">
      <c r="A27" s="3"/>
      <c r="B27" s="3"/>
      <c r="C27" s="3"/>
      <c r="D27" s="3"/>
    </row>
    <row r="28" spans="1:51" ht="15" customHeight="1">
      <c r="A28" s="100" t="s">
        <v>55</v>
      </c>
      <c r="B28" s="101"/>
      <c r="C28" s="6" t="s">
        <v>26</v>
      </c>
      <c r="D28" s="27"/>
      <c r="E28" s="95"/>
      <c r="F28" s="96"/>
      <c r="G28" s="71" t="s">
        <v>27</v>
      </c>
      <c r="H28" s="96"/>
      <c r="I28" s="96"/>
      <c r="J28" s="96"/>
      <c r="K28" s="96"/>
      <c r="L28" s="96"/>
      <c r="M28" s="96"/>
      <c r="N28" s="96"/>
      <c r="O28" s="96"/>
      <c r="P28" s="96"/>
      <c r="Q28" s="96"/>
      <c r="R28" s="96"/>
      <c r="S28" s="96"/>
      <c r="T28" s="71" t="s">
        <v>27</v>
      </c>
      <c r="U28" s="96"/>
      <c r="V28" s="96"/>
      <c r="W28" s="96"/>
      <c r="X28" s="96"/>
      <c r="Y28" s="96"/>
      <c r="Z28" s="96"/>
      <c r="AA28" s="96"/>
      <c r="AB28" s="96"/>
      <c r="AC28" s="96"/>
      <c r="AD28" s="96"/>
      <c r="AE28" s="96"/>
      <c r="AF28" s="96"/>
      <c r="AG28" s="71" t="s">
        <v>27</v>
      </c>
      <c r="AH28" s="96"/>
      <c r="AI28" s="96"/>
      <c r="AJ28" s="96"/>
      <c r="AK28" s="96"/>
      <c r="AL28" s="96"/>
      <c r="AM28" s="96"/>
      <c r="AN28" s="96"/>
      <c r="AO28" s="96"/>
      <c r="AP28" s="71"/>
      <c r="AQ28" s="96"/>
      <c r="AR28" s="96"/>
      <c r="AS28" s="96"/>
      <c r="AT28" s="71" t="s">
        <v>27</v>
      </c>
      <c r="AU28" s="96"/>
      <c r="AV28" s="96"/>
      <c r="AW28" s="96"/>
      <c r="AX28" s="96"/>
      <c r="AY28" s="76"/>
    </row>
    <row r="29" spans="1:51" ht="15" customHeight="1">
      <c r="A29" s="222" t="s">
        <v>28</v>
      </c>
      <c r="B29" s="223"/>
      <c r="C29" s="6" t="s">
        <v>29</v>
      </c>
      <c r="D29" s="73"/>
      <c r="E29" s="74" t="s">
        <v>31</v>
      </c>
      <c r="F29" s="74" t="s">
        <v>43</v>
      </c>
      <c r="G29" s="74" t="s">
        <v>43</v>
      </c>
      <c r="H29" s="74" t="s">
        <v>43</v>
      </c>
      <c r="I29" s="74" t="s">
        <v>43</v>
      </c>
      <c r="J29" s="74" t="s">
        <v>43</v>
      </c>
      <c r="K29" s="74" t="s">
        <v>31</v>
      </c>
      <c r="L29" s="74" t="s">
        <v>43</v>
      </c>
      <c r="M29" s="74" t="s">
        <v>43</v>
      </c>
      <c r="N29" s="74" t="s">
        <v>43</v>
      </c>
      <c r="O29" s="74" t="s">
        <v>43</v>
      </c>
      <c r="P29" s="74" t="s">
        <v>43</v>
      </c>
      <c r="Q29" s="74" t="s">
        <v>43</v>
      </c>
      <c r="R29" s="74" t="s">
        <v>43</v>
      </c>
      <c r="S29" s="74" t="s">
        <v>43</v>
      </c>
      <c r="T29" s="74" t="s">
        <v>43</v>
      </c>
      <c r="U29" s="74" t="s">
        <v>43</v>
      </c>
      <c r="V29" s="74" t="s">
        <v>43</v>
      </c>
      <c r="W29" s="74" t="s">
        <v>31</v>
      </c>
      <c r="X29" s="74" t="s">
        <v>43</v>
      </c>
      <c r="Y29" s="74" t="s">
        <v>43</v>
      </c>
      <c r="Z29" s="74" t="s">
        <v>43</v>
      </c>
      <c r="AA29" s="74" t="s">
        <v>43</v>
      </c>
      <c r="AB29" s="74" t="s">
        <v>43</v>
      </c>
      <c r="AC29" s="74" t="s">
        <v>43</v>
      </c>
      <c r="AD29" s="74" t="s">
        <v>43</v>
      </c>
      <c r="AE29" s="74" t="s">
        <v>31</v>
      </c>
      <c r="AF29" s="74" t="s">
        <v>43</v>
      </c>
      <c r="AG29" s="74" t="s">
        <v>43</v>
      </c>
      <c r="AH29" s="74" t="s">
        <v>31</v>
      </c>
      <c r="AI29" s="74" t="s">
        <v>43</v>
      </c>
      <c r="AJ29" s="74" t="s">
        <v>43</v>
      </c>
      <c r="AK29" s="74" t="s">
        <v>43</v>
      </c>
      <c r="AL29" s="74" t="s">
        <v>43</v>
      </c>
      <c r="AM29" s="74" t="s">
        <v>43</v>
      </c>
      <c r="AN29" s="74" t="s">
        <v>43</v>
      </c>
      <c r="AO29" s="74" t="s">
        <v>43</v>
      </c>
      <c r="AP29" s="74" t="s">
        <v>43</v>
      </c>
      <c r="AQ29" s="74" t="s">
        <v>43</v>
      </c>
      <c r="AR29" s="74" t="s">
        <v>43</v>
      </c>
      <c r="AS29" s="74" t="s">
        <v>43</v>
      </c>
      <c r="AT29" s="74" t="s">
        <v>43</v>
      </c>
      <c r="AU29" s="74" t="s">
        <v>43</v>
      </c>
      <c r="AV29" s="74" t="s">
        <v>43</v>
      </c>
      <c r="AW29" s="74" t="s">
        <v>31</v>
      </c>
      <c r="AX29" s="74" t="s">
        <v>43</v>
      </c>
      <c r="AY29" s="74" t="s">
        <v>43</v>
      </c>
    </row>
    <row r="30" spans="1:51" ht="15" customHeight="1">
      <c r="A30" s="222" t="s">
        <v>32</v>
      </c>
      <c r="B30" s="223"/>
      <c r="C30" s="6" t="s">
        <v>29</v>
      </c>
      <c r="D30" s="73"/>
      <c r="E30" s="74" t="s">
        <v>30</v>
      </c>
      <c r="F30" s="112">
        <v>4</v>
      </c>
      <c r="G30" s="112">
        <v>4</v>
      </c>
      <c r="H30" s="112">
        <v>4</v>
      </c>
      <c r="I30" s="74" t="s">
        <v>31</v>
      </c>
      <c r="J30" s="112">
        <v>4</v>
      </c>
      <c r="K30" s="74" t="s">
        <v>30</v>
      </c>
      <c r="L30" s="74" t="s">
        <v>31</v>
      </c>
      <c r="M30" s="112">
        <v>4</v>
      </c>
      <c r="N30" s="112">
        <v>4</v>
      </c>
      <c r="O30" s="74" t="s">
        <v>31</v>
      </c>
      <c r="P30" s="112">
        <v>4</v>
      </c>
      <c r="Q30" s="112">
        <v>4</v>
      </c>
      <c r="R30" s="112">
        <v>4</v>
      </c>
      <c r="S30" s="112">
        <v>4</v>
      </c>
      <c r="T30" s="74" t="s">
        <v>31</v>
      </c>
      <c r="U30" s="112">
        <v>4</v>
      </c>
      <c r="V30" s="74" t="s">
        <v>31</v>
      </c>
      <c r="W30" s="74" t="s">
        <v>30</v>
      </c>
      <c r="X30" s="112">
        <v>4</v>
      </c>
      <c r="Y30" s="74" t="s">
        <v>31</v>
      </c>
      <c r="Z30" s="112">
        <v>4</v>
      </c>
      <c r="AA30" s="74" t="s">
        <v>31</v>
      </c>
      <c r="AB30" s="74" t="s">
        <v>31</v>
      </c>
      <c r="AC30" s="74" t="s">
        <v>31</v>
      </c>
      <c r="AD30" s="112">
        <v>4</v>
      </c>
      <c r="AE30" s="74" t="s">
        <v>30</v>
      </c>
      <c r="AF30" s="112">
        <v>4</v>
      </c>
      <c r="AG30" s="112">
        <v>4</v>
      </c>
      <c r="AH30" s="74" t="s">
        <v>30</v>
      </c>
      <c r="AI30" s="112">
        <v>4</v>
      </c>
      <c r="AJ30" s="74" t="s">
        <v>31</v>
      </c>
      <c r="AK30" s="74" t="s">
        <v>31</v>
      </c>
      <c r="AL30" s="112">
        <v>4</v>
      </c>
      <c r="AM30" s="112">
        <v>4</v>
      </c>
      <c r="AN30" s="74" t="s">
        <v>31</v>
      </c>
      <c r="AO30" s="74" t="s">
        <v>31</v>
      </c>
      <c r="AP30" s="112">
        <v>4</v>
      </c>
      <c r="AQ30" s="74" t="s">
        <v>31</v>
      </c>
      <c r="AR30" s="74" t="s">
        <v>31</v>
      </c>
      <c r="AS30" s="74" t="s">
        <v>31</v>
      </c>
      <c r="AT30" s="112">
        <v>4</v>
      </c>
      <c r="AU30" s="112">
        <v>4</v>
      </c>
      <c r="AV30" s="74" t="s">
        <v>31</v>
      </c>
      <c r="AW30" s="74" t="s">
        <v>30</v>
      </c>
      <c r="AX30" s="74" t="s">
        <v>31</v>
      </c>
      <c r="AY30" s="74" t="s">
        <v>31</v>
      </c>
    </row>
    <row r="31" spans="1:51" ht="15" customHeight="1">
      <c r="A31" s="227" t="s">
        <v>33</v>
      </c>
      <c r="B31" s="228"/>
      <c r="C31" s="6" t="s">
        <v>29</v>
      </c>
      <c r="D31" s="76"/>
      <c r="E31" s="107">
        <v>2</v>
      </c>
      <c r="F31" s="107">
        <v>3</v>
      </c>
      <c r="G31" s="107">
        <v>3</v>
      </c>
      <c r="H31" s="107">
        <v>3</v>
      </c>
      <c r="I31" s="107">
        <v>3</v>
      </c>
      <c r="J31" s="107">
        <v>3</v>
      </c>
      <c r="K31" s="107">
        <v>2</v>
      </c>
      <c r="L31" s="107">
        <v>3</v>
      </c>
      <c r="M31" s="107">
        <v>3</v>
      </c>
      <c r="N31" s="107">
        <v>3</v>
      </c>
      <c r="O31" s="107">
        <v>3</v>
      </c>
      <c r="P31" s="107">
        <v>3</v>
      </c>
      <c r="Q31" s="107">
        <v>3</v>
      </c>
      <c r="R31" s="107">
        <v>3</v>
      </c>
      <c r="S31" s="107">
        <v>3</v>
      </c>
      <c r="T31" s="107">
        <v>3</v>
      </c>
      <c r="U31" s="107">
        <v>3</v>
      </c>
      <c r="V31" s="107">
        <v>3</v>
      </c>
      <c r="W31" s="107">
        <v>2</v>
      </c>
      <c r="X31" s="107">
        <v>3</v>
      </c>
      <c r="Y31" s="107">
        <v>3</v>
      </c>
      <c r="Z31" s="107">
        <v>3</v>
      </c>
      <c r="AA31" s="107">
        <v>3</v>
      </c>
      <c r="AB31" s="107">
        <v>3</v>
      </c>
      <c r="AC31" s="107">
        <v>3</v>
      </c>
      <c r="AD31" s="107">
        <v>3</v>
      </c>
      <c r="AE31" s="107">
        <v>2</v>
      </c>
      <c r="AF31" s="107">
        <v>3</v>
      </c>
      <c r="AG31" s="107">
        <v>3</v>
      </c>
      <c r="AH31" s="107">
        <v>2</v>
      </c>
      <c r="AI31" s="107">
        <v>3</v>
      </c>
      <c r="AJ31" s="107">
        <v>3</v>
      </c>
      <c r="AK31" s="107">
        <v>3</v>
      </c>
      <c r="AL31" s="107">
        <v>3</v>
      </c>
      <c r="AM31" s="107">
        <v>3</v>
      </c>
      <c r="AN31" s="107">
        <v>3</v>
      </c>
      <c r="AO31" s="107">
        <v>3</v>
      </c>
      <c r="AP31" s="107">
        <v>3</v>
      </c>
      <c r="AQ31" s="107">
        <v>3</v>
      </c>
      <c r="AR31" s="107">
        <v>3</v>
      </c>
      <c r="AS31" s="107">
        <v>3</v>
      </c>
      <c r="AT31" s="107">
        <v>3</v>
      </c>
      <c r="AU31" s="107">
        <v>3</v>
      </c>
      <c r="AV31" s="107">
        <v>3</v>
      </c>
      <c r="AW31" s="107">
        <v>2</v>
      </c>
      <c r="AX31" s="107">
        <v>3</v>
      </c>
      <c r="AY31" s="107">
        <v>3</v>
      </c>
    </row>
    <row r="33" spans="1:1">
      <c r="A33" s="89" t="s">
        <v>52</v>
      </c>
    </row>
    <row r="34" spans="1:1">
      <c r="A34" s="86" t="s">
        <v>59</v>
      </c>
    </row>
    <row r="35" spans="1:1">
      <c r="A35" s="26" t="s">
        <v>60</v>
      </c>
    </row>
  </sheetData>
  <mergeCells count="3">
    <mergeCell ref="A29:B29"/>
    <mergeCell ref="A30:B30"/>
    <mergeCell ref="A31:B31"/>
  </mergeCells>
  <conditionalFormatting sqref="E7:AY24">
    <cfRule type="cellIs" dxfId="26" priority="21" stopIfTrue="1" operator="lessThan">
      <formula>#REF!</formula>
    </cfRule>
    <cfRule type="cellIs" dxfId="25" priority="23" operator="lessThan">
      <formula>#REF!</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3107E-439E-4E9F-B583-6EB2F65950F6}">
  <dimension ref="A1:CY35"/>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103" ht="15" customHeight="1"/>
    <row r="2" spans="1:103" ht="15" customHeight="1">
      <c r="A2" s="9"/>
      <c r="B2" s="7"/>
      <c r="C2" s="7"/>
      <c r="D2" s="7"/>
      <c r="E2" s="7"/>
    </row>
    <row r="3" spans="1:103" ht="20.45" customHeight="1">
      <c r="A3" s="9" t="str">
        <f>Voorblad!A5</f>
        <v>Team Freight Forwarding Logistics</v>
      </c>
      <c r="B3" s="8"/>
      <c r="C3" s="8"/>
      <c r="D3" s="8"/>
      <c r="E3" s="48"/>
    </row>
    <row r="4" spans="1:103" s="51" customFormat="1" ht="15.75">
      <c r="A4" s="62" t="s">
        <v>61</v>
      </c>
      <c r="B4" s="49"/>
      <c r="C4" s="50"/>
      <c r="D4" s="50"/>
      <c r="E4" s="50"/>
    </row>
    <row r="5" spans="1:103" ht="15" customHeight="1">
      <c r="A5" s="7"/>
      <c r="B5" s="7"/>
      <c r="C5" s="7"/>
      <c r="D5" s="7"/>
      <c r="E5" s="26"/>
    </row>
    <row r="6" spans="1:103" ht="15" customHeight="1">
      <c r="A6" s="63" t="s">
        <v>20</v>
      </c>
      <c r="B6" s="63" t="s">
        <v>21</v>
      </c>
      <c r="C6" s="64" t="s">
        <v>22</v>
      </c>
      <c r="D6" s="64" t="s">
        <v>23</v>
      </c>
      <c r="E6" s="94" t="s">
        <v>62</v>
      </c>
      <c r="F6" s="94" t="s">
        <v>63</v>
      </c>
      <c r="G6" s="94" t="s">
        <v>64</v>
      </c>
      <c r="H6" s="94" t="s">
        <v>65</v>
      </c>
      <c r="I6" s="113" t="s">
        <v>66</v>
      </c>
      <c r="J6" s="94" t="s">
        <v>67</v>
      </c>
      <c r="K6" s="94" t="s">
        <v>68</v>
      </c>
      <c r="L6" s="94" t="s">
        <v>69</v>
      </c>
      <c r="M6" s="94" t="s">
        <v>70</v>
      </c>
      <c r="N6" s="94" t="s">
        <v>71</v>
      </c>
      <c r="O6" s="2">
        <v>10</v>
      </c>
      <c r="P6" s="2">
        <v>11</v>
      </c>
      <c r="Q6" s="2">
        <v>12</v>
      </c>
      <c r="R6" s="2">
        <v>13</v>
      </c>
      <c r="S6" s="2">
        <v>14</v>
      </c>
      <c r="T6" s="2">
        <v>15</v>
      </c>
      <c r="U6" s="2">
        <v>16</v>
      </c>
      <c r="V6" s="2">
        <v>17</v>
      </c>
      <c r="W6" s="2">
        <v>18</v>
      </c>
      <c r="X6" s="2">
        <v>19</v>
      </c>
      <c r="Y6" s="2">
        <v>20</v>
      </c>
      <c r="Z6" s="2">
        <v>21</v>
      </c>
      <c r="AA6" s="2">
        <v>23</v>
      </c>
      <c r="AB6" s="2">
        <v>24</v>
      </c>
      <c r="AC6" s="2">
        <v>25</v>
      </c>
      <c r="AD6" s="2">
        <v>26</v>
      </c>
      <c r="AE6" s="2">
        <v>27</v>
      </c>
      <c r="AF6" s="2">
        <v>28</v>
      </c>
      <c r="AG6" s="2">
        <v>29</v>
      </c>
      <c r="AH6" s="2">
        <v>30</v>
      </c>
      <c r="AI6" s="2">
        <v>31</v>
      </c>
      <c r="AJ6" s="2">
        <v>32</v>
      </c>
      <c r="AK6" s="2">
        <v>33</v>
      </c>
      <c r="AL6" s="2">
        <v>34</v>
      </c>
      <c r="AM6" s="2">
        <v>35</v>
      </c>
      <c r="AN6" s="2">
        <v>36</v>
      </c>
      <c r="AO6" s="2">
        <v>37</v>
      </c>
      <c r="AP6" s="2">
        <v>38</v>
      </c>
      <c r="AQ6" s="2">
        <v>39</v>
      </c>
      <c r="AR6" s="2">
        <v>40</v>
      </c>
      <c r="AS6" s="2">
        <v>41</v>
      </c>
      <c r="AT6" s="2">
        <v>42</v>
      </c>
      <c r="AU6" s="2">
        <v>43</v>
      </c>
      <c r="AV6" s="2">
        <v>44</v>
      </c>
      <c r="AW6" s="2">
        <v>45</v>
      </c>
      <c r="AX6" s="2">
        <v>46</v>
      </c>
      <c r="AY6" s="2">
        <v>47</v>
      </c>
      <c r="AZ6" s="2">
        <v>48</v>
      </c>
      <c r="BA6" s="2">
        <v>49</v>
      </c>
      <c r="BB6" s="2">
        <v>50</v>
      </c>
      <c r="BC6" s="2">
        <v>51</v>
      </c>
      <c r="BD6" s="2">
        <v>52</v>
      </c>
      <c r="BE6" s="2">
        <v>53</v>
      </c>
      <c r="BF6" s="2">
        <v>54</v>
      </c>
      <c r="BG6" s="2">
        <v>55</v>
      </c>
      <c r="BH6" s="2">
        <v>56</v>
      </c>
      <c r="BI6" s="2">
        <v>57</v>
      </c>
      <c r="BJ6" s="2">
        <v>58</v>
      </c>
      <c r="BK6" s="2">
        <v>59</v>
      </c>
      <c r="BL6" s="2">
        <v>60</v>
      </c>
      <c r="BM6" s="2">
        <v>61</v>
      </c>
      <c r="BN6" s="2">
        <v>62</v>
      </c>
      <c r="BO6" s="2">
        <v>63</v>
      </c>
      <c r="BP6" s="2">
        <v>64</v>
      </c>
      <c r="BQ6" s="2">
        <v>65</v>
      </c>
      <c r="BR6" s="2">
        <v>66</v>
      </c>
      <c r="BS6" s="2">
        <v>67</v>
      </c>
      <c r="BT6" s="2">
        <v>68</v>
      </c>
      <c r="BU6" s="2">
        <v>69</v>
      </c>
      <c r="BV6" s="2">
        <v>70</v>
      </c>
      <c r="BW6" s="2">
        <v>71</v>
      </c>
      <c r="BX6" s="2">
        <v>72</v>
      </c>
      <c r="BY6" s="2">
        <v>73</v>
      </c>
      <c r="BZ6" s="2">
        <v>74</v>
      </c>
      <c r="CA6" s="2">
        <v>75</v>
      </c>
      <c r="CB6" s="2">
        <v>76</v>
      </c>
      <c r="CC6" s="2">
        <v>77</v>
      </c>
      <c r="CD6" s="2">
        <v>78</v>
      </c>
      <c r="CE6" s="2">
        <v>79</v>
      </c>
      <c r="CF6" s="2">
        <v>80</v>
      </c>
      <c r="CG6" s="2">
        <v>81</v>
      </c>
      <c r="CH6" s="2">
        <v>82</v>
      </c>
      <c r="CI6" s="2">
        <v>83</v>
      </c>
      <c r="CJ6" s="2">
        <v>84</v>
      </c>
      <c r="CK6" s="2">
        <v>85</v>
      </c>
      <c r="CL6" s="2">
        <v>86</v>
      </c>
      <c r="CM6" s="2">
        <v>87</v>
      </c>
      <c r="CN6" s="2">
        <v>88</v>
      </c>
      <c r="CO6" s="2">
        <v>89</v>
      </c>
      <c r="CP6" s="2">
        <v>90</v>
      </c>
      <c r="CQ6" s="2">
        <v>91</v>
      </c>
      <c r="CR6" s="2">
        <v>92</v>
      </c>
      <c r="CS6" s="2">
        <v>93</v>
      </c>
      <c r="CT6" s="2">
        <v>94</v>
      </c>
      <c r="CU6" s="2">
        <v>95</v>
      </c>
      <c r="CV6" s="2">
        <v>96</v>
      </c>
      <c r="CW6" s="2">
        <v>97</v>
      </c>
      <c r="CX6" s="2">
        <v>98</v>
      </c>
      <c r="CY6" s="117">
        <v>99</v>
      </c>
    </row>
    <row r="7" spans="1:103" ht="15" customHeight="1">
      <c r="A7" s="67">
        <v>300</v>
      </c>
      <c r="B7" s="64">
        <v>0.2</v>
      </c>
      <c r="C7" s="64">
        <v>0.5</v>
      </c>
      <c r="D7" s="64"/>
      <c r="E7" s="99">
        <v>161</v>
      </c>
      <c r="F7" s="99">
        <v>161</v>
      </c>
      <c r="G7" s="99">
        <v>161</v>
      </c>
      <c r="H7" s="99">
        <v>161</v>
      </c>
      <c r="I7" s="99">
        <v>161</v>
      </c>
      <c r="J7" s="99">
        <v>161</v>
      </c>
      <c r="K7" s="99">
        <v>161</v>
      </c>
      <c r="L7" s="99">
        <v>161</v>
      </c>
      <c r="M7" s="99">
        <v>161</v>
      </c>
      <c r="N7" s="99">
        <v>161</v>
      </c>
      <c r="O7" s="99">
        <v>172</v>
      </c>
      <c r="P7" s="99">
        <v>172</v>
      </c>
      <c r="Q7" s="99">
        <v>172</v>
      </c>
      <c r="R7" s="99">
        <v>172</v>
      </c>
      <c r="S7" s="99">
        <v>183</v>
      </c>
      <c r="T7" s="99">
        <v>172</v>
      </c>
      <c r="U7" s="99">
        <v>172</v>
      </c>
      <c r="V7" s="99">
        <v>183</v>
      </c>
      <c r="W7" s="99">
        <v>183</v>
      </c>
      <c r="X7" s="99">
        <v>183</v>
      </c>
      <c r="Y7" s="99">
        <v>183</v>
      </c>
      <c r="Z7" s="99">
        <v>183</v>
      </c>
      <c r="AA7" s="99">
        <v>183</v>
      </c>
      <c r="AB7" s="99">
        <v>183</v>
      </c>
      <c r="AC7" s="99">
        <v>183</v>
      </c>
      <c r="AD7" s="99">
        <v>194</v>
      </c>
      <c r="AE7" s="99">
        <v>194</v>
      </c>
      <c r="AF7" s="99">
        <v>194</v>
      </c>
      <c r="AG7" s="99">
        <v>194</v>
      </c>
      <c r="AH7" s="99">
        <v>183</v>
      </c>
      <c r="AI7" s="99">
        <v>183</v>
      </c>
      <c r="AJ7" s="99">
        <v>183</v>
      </c>
      <c r="AK7" s="99">
        <v>194</v>
      </c>
      <c r="AL7" s="99">
        <v>194</v>
      </c>
      <c r="AM7" s="99">
        <v>194</v>
      </c>
      <c r="AN7" s="99">
        <v>194</v>
      </c>
      <c r="AO7" s="99">
        <v>194</v>
      </c>
      <c r="AP7" s="99">
        <v>194</v>
      </c>
      <c r="AQ7" s="99">
        <v>194</v>
      </c>
      <c r="AR7" s="99">
        <v>194</v>
      </c>
      <c r="AS7" s="99">
        <v>194</v>
      </c>
      <c r="AT7" s="99">
        <v>194</v>
      </c>
      <c r="AU7" s="99">
        <v>204</v>
      </c>
      <c r="AV7" s="99">
        <v>204</v>
      </c>
      <c r="AW7" s="99">
        <v>183</v>
      </c>
      <c r="AX7" s="99">
        <v>183</v>
      </c>
      <c r="AY7" s="99">
        <v>183</v>
      </c>
      <c r="AZ7" s="99">
        <v>183</v>
      </c>
      <c r="BA7" s="99">
        <v>183</v>
      </c>
      <c r="BB7" s="99">
        <v>194</v>
      </c>
      <c r="BC7" s="99">
        <v>194</v>
      </c>
      <c r="BD7" s="99">
        <v>194</v>
      </c>
      <c r="BE7" s="99">
        <v>194</v>
      </c>
      <c r="BF7" s="99">
        <v>194</v>
      </c>
      <c r="BG7" s="99">
        <v>194</v>
      </c>
      <c r="BH7" s="99">
        <v>194</v>
      </c>
      <c r="BI7" s="99">
        <v>204</v>
      </c>
      <c r="BJ7" s="99">
        <v>204</v>
      </c>
      <c r="BK7" s="99">
        <v>204</v>
      </c>
      <c r="BL7" s="99">
        <v>204</v>
      </c>
      <c r="BM7" s="99">
        <v>204</v>
      </c>
      <c r="BN7" s="99">
        <v>204</v>
      </c>
      <c r="BO7" s="99">
        <v>204</v>
      </c>
      <c r="BP7" s="99">
        <v>204</v>
      </c>
      <c r="BQ7" s="99">
        <v>204</v>
      </c>
      <c r="BR7" s="99">
        <v>204</v>
      </c>
      <c r="BS7" s="99">
        <v>204</v>
      </c>
      <c r="BT7" s="99">
        <v>204</v>
      </c>
      <c r="BU7" s="99">
        <v>204</v>
      </c>
      <c r="BV7" s="99">
        <v>204</v>
      </c>
      <c r="BW7" s="99">
        <v>204</v>
      </c>
      <c r="BX7" s="99">
        <v>204</v>
      </c>
      <c r="BY7" s="99">
        <v>222</v>
      </c>
      <c r="BZ7" s="99">
        <v>222</v>
      </c>
      <c r="CA7" s="99">
        <v>222</v>
      </c>
      <c r="CB7" s="99">
        <v>222</v>
      </c>
      <c r="CC7" s="99">
        <v>222</v>
      </c>
      <c r="CD7" s="99">
        <v>222</v>
      </c>
      <c r="CE7" s="99">
        <v>222</v>
      </c>
      <c r="CF7" s="99">
        <v>222</v>
      </c>
      <c r="CG7" s="99">
        <v>222</v>
      </c>
      <c r="CH7" s="99">
        <v>222</v>
      </c>
      <c r="CI7" s="99">
        <v>222</v>
      </c>
      <c r="CJ7" s="99">
        <v>222</v>
      </c>
      <c r="CK7" s="99">
        <v>222</v>
      </c>
      <c r="CL7" s="99">
        <v>222</v>
      </c>
      <c r="CM7" s="99">
        <v>222</v>
      </c>
      <c r="CN7" s="99">
        <v>222</v>
      </c>
      <c r="CO7" s="99">
        <v>222</v>
      </c>
      <c r="CP7" s="99">
        <v>222</v>
      </c>
      <c r="CQ7" s="99">
        <v>222</v>
      </c>
      <c r="CR7" s="99">
        <v>222</v>
      </c>
      <c r="CS7" s="99">
        <v>222</v>
      </c>
      <c r="CT7" s="99">
        <v>222</v>
      </c>
      <c r="CU7" s="99">
        <v>222</v>
      </c>
      <c r="CV7" s="99">
        <v>222</v>
      </c>
      <c r="CW7" s="99">
        <v>222</v>
      </c>
      <c r="CX7" s="99">
        <v>222</v>
      </c>
      <c r="CY7" s="99">
        <v>222</v>
      </c>
    </row>
    <row r="8" spans="1:103" ht="15" customHeight="1">
      <c r="A8" s="2">
        <v>700</v>
      </c>
      <c r="B8" s="64">
        <v>0.4</v>
      </c>
      <c r="C8" s="64">
        <v>1</v>
      </c>
      <c r="D8" s="64"/>
      <c r="E8" s="99">
        <v>223</v>
      </c>
      <c r="F8" s="99">
        <v>223</v>
      </c>
      <c r="G8" s="99">
        <v>223</v>
      </c>
      <c r="H8" s="99">
        <v>223</v>
      </c>
      <c r="I8" s="99">
        <v>223</v>
      </c>
      <c r="J8" s="99">
        <v>223</v>
      </c>
      <c r="K8" s="99">
        <v>223</v>
      </c>
      <c r="L8" s="99">
        <v>223</v>
      </c>
      <c r="M8" s="99">
        <v>223</v>
      </c>
      <c r="N8" s="99">
        <v>223</v>
      </c>
      <c r="O8" s="99">
        <v>228</v>
      </c>
      <c r="P8" s="99">
        <v>228</v>
      </c>
      <c r="Q8" s="99">
        <v>228</v>
      </c>
      <c r="R8" s="99">
        <v>228</v>
      </c>
      <c r="S8" s="99">
        <v>244</v>
      </c>
      <c r="T8" s="99">
        <v>228</v>
      </c>
      <c r="U8" s="99">
        <v>228</v>
      </c>
      <c r="V8" s="99">
        <v>244</v>
      </c>
      <c r="W8" s="99">
        <v>244</v>
      </c>
      <c r="X8" s="99">
        <v>244</v>
      </c>
      <c r="Y8" s="99">
        <v>244</v>
      </c>
      <c r="Z8" s="99">
        <v>244</v>
      </c>
      <c r="AA8" s="99">
        <v>244</v>
      </c>
      <c r="AB8" s="99">
        <v>244</v>
      </c>
      <c r="AC8" s="99">
        <v>244</v>
      </c>
      <c r="AD8" s="99">
        <v>249</v>
      </c>
      <c r="AE8" s="99">
        <v>249</v>
      </c>
      <c r="AF8" s="99">
        <v>249</v>
      </c>
      <c r="AG8" s="99">
        <v>249</v>
      </c>
      <c r="AH8" s="99">
        <v>244</v>
      </c>
      <c r="AI8" s="99">
        <v>244</v>
      </c>
      <c r="AJ8" s="99">
        <v>244</v>
      </c>
      <c r="AK8" s="99">
        <v>249</v>
      </c>
      <c r="AL8" s="99">
        <v>249</v>
      </c>
      <c r="AM8" s="99">
        <v>249</v>
      </c>
      <c r="AN8" s="99">
        <v>249</v>
      </c>
      <c r="AO8" s="99">
        <v>249</v>
      </c>
      <c r="AP8" s="99">
        <v>249</v>
      </c>
      <c r="AQ8" s="99">
        <v>249</v>
      </c>
      <c r="AR8" s="99">
        <v>249</v>
      </c>
      <c r="AS8" s="99">
        <v>249</v>
      </c>
      <c r="AT8" s="99">
        <v>249</v>
      </c>
      <c r="AU8" s="99">
        <v>283</v>
      </c>
      <c r="AV8" s="99">
        <v>283</v>
      </c>
      <c r="AW8" s="99">
        <v>244</v>
      </c>
      <c r="AX8" s="99">
        <v>244</v>
      </c>
      <c r="AY8" s="99">
        <v>244</v>
      </c>
      <c r="AZ8" s="99">
        <v>244</v>
      </c>
      <c r="BA8" s="99">
        <v>244</v>
      </c>
      <c r="BB8" s="99">
        <v>249</v>
      </c>
      <c r="BC8" s="99">
        <v>249</v>
      </c>
      <c r="BD8" s="99">
        <v>249</v>
      </c>
      <c r="BE8" s="99">
        <v>249</v>
      </c>
      <c r="BF8" s="99">
        <v>249</v>
      </c>
      <c r="BG8" s="99">
        <v>249</v>
      </c>
      <c r="BH8" s="99">
        <v>249</v>
      </c>
      <c r="BI8" s="99">
        <v>283</v>
      </c>
      <c r="BJ8" s="99">
        <v>283</v>
      </c>
      <c r="BK8" s="99">
        <v>283</v>
      </c>
      <c r="BL8" s="99">
        <v>283</v>
      </c>
      <c r="BM8" s="99">
        <v>283</v>
      </c>
      <c r="BN8" s="99">
        <v>283</v>
      </c>
      <c r="BO8" s="99">
        <v>283</v>
      </c>
      <c r="BP8" s="99">
        <v>283</v>
      </c>
      <c r="BQ8" s="99">
        <v>283</v>
      </c>
      <c r="BR8" s="99">
        <v>283</v>
      </c>
      <c r="BS8" s="99">
        <v>283</v>
      </c>
      <c r="BT8" s="99">
        <v>283</v>
      </c>
      <c r="BU8" s="99">
        <v>283</v>
      </c>
      <c r="BV8" s="99">
        <v>283</v>
      </c>
      <c r="BW8" s="99">
        <v>283</v>
      </c>
      <c r="BX8" s="99">
        <v>283</v>
      </c>
      <c r="BY8" s="99">
        <v>293</v>
      </c>
      <c r="BZ8" s="99">
        <v>293</v>
      </c>
      <c r="CA8" s="99">
        <v>293</v>
      </c>
      <c r="CB8" s="99">
        <v>293</v>
      </c>
      <c r="CC8" s="99">
        <v>293</v>
      </c>
      <c r="CD8" s="99">
        <v>293</v>
      </c>
      <c r="CE8" s="99">
        <v>293</v>
      </c>
      <c r="CF8" s="99">
        <v>293</v>
      </c>
      <c r="CG8" s="99">
        <v>293</v>
      </c>
      <c r="CH8" s="99">
        <v>293</v>
      </c>
      <c r="CI8" s="99">
        <v>293</v>
      </c>
      <c r="CJ8" s="99">
        <v>293</v>
      </c>
      <c r="CK8" s="99">
        <v>293</v>
      </c>
      <c r="CL8" s="99">
        <v>293</v>
      </c>
      <c r="CM8" s="99">
        <v>293</v>
      </c>
      <c r="CN8" s="99">
        <v>293</v>
      </c>
      <c r="CO8" s="99">
        <v>293</v>
      </c>
      <c r="CP8" s="99">
        <v>293</v>
      </c>
      <c r="CQ8" s="99">
        <v>293</v>
      </c>
      <c r="CR8" s="99">
        <v>293</v>
      </c>
      <c r="CS8" s="99">
        <v>293</v>
      </c>
      <c r="CT8" s="99">
        <v>293</v>
      </c>
      <c r="CU8" s="99">
        <v>293</v>
      </c>
      <c r="CV8" s="99">
        <v>293</v>
      </c>
      <c r="CW8" s="99">
        <v>293</v>
      </c>
      <c r="CX8" s="99">
        <v>293</v>
      </c>
      <c r="CY8" s="99">
        <v>293</v>
      </c>
    </row>
    <row r="9" spans="1:103" ht="15" customHeight="1">
      <c r="A9" s="2">
        <v>875</v>
      </c>
      <c r="B9" s="64">
        <v>0.5</v>
      </c>
      <c r="C9" s="64"/>
      <c r="D9" s="64">
        <v>1</v>
      </c>
      <c r="E9" s="99">
        <v>242</v>
      </c>
      <c r="F9" s="99">
        <v>242</v>
      </c>
      <c r="G9" s="99">
        <v>242</v>
      </c>
      <c r="H9" s="99">
        <v>242</v>
      </c>
      <c r="I9" s="99">
        <v>242</v>
      </c>
      <c r="J9" s="99">
        <v>242</v>
      </c>
      <c r="K9" s="99">
        <v>242</v>
      </c>
      <c r="L9" s="99">
        <v>242</v>
      </c>
      <c r="M9" s="99">
        <v>242</v>
      </c>
      <c r="N9" s="99">
        <v>242</v>
      </c>
      <c r="O9" s="99">
        <v>251</v>
      </c>
      <c r="P9" s="99">
        <v>251</v>
      </c>
      <c r="Q9" s="99">
        <v>251</v>
      </c>
      <c r="R9" s="99">
        <v>251</v>
      </c>
      <c r="S9" s="99">
        <v>267</v>
      </c>
      <c r="T9" s="99">
        <v>251</v>
      </c>
      <c r="U9" s="99">
        <v>251</v>
      </c>
      <c r="V9" s="99">
        <v>267</v>
      </c>
      <c r="W9" s="99">
        <v>267</v>
      </c>
      <c r="X9" s="99">
        <v>267</v>
      </c>
      <c r="Y9" s="99">
        <v>267</v>
      </c>
      <c r="Z9" s="99">
        <v>267</v>
      </c>
      <c r="AA9" s="99">
        <v>267</v>
      </c>
      <c r="AB9" s="99">
        <v>267</v>
      </c>
      <c r="AC9" s="99">
        <v>267</v>
      </c>
      <c r="AD9" s="99">
        <v>277</v>
      </c>
      <c r="AE9" s="99">
        <v>277</v>
      </c>
      <c r="AF9" s="99">
        <v>277</v>
      </c>
      <c r="AG9" s="99">
        <v>277</v>
      </c>
      <c r="AH9" s="99">
        <v>267</v>
      </c>
      <c r="AI9" s="99">
        <v>267</v>
      </c>
      <c r="AJ9" s="99">
        <v>267</v>
      </c>
      <c r="AK9" s="99">
        <v>277</v>
      </c>
      <c r="AL9" s="99">
        <v>277</v>
      </c>
      <c r="AM9" s="99">
        <v>277</v>
      </c>
      <c r="AN9" s="99">
        <v>277</v>
      </c>
      <c r="AO9" s="99">
        <v>277</v>
      </c>
      <c r="AP9" s="99">
        <v>277</v>
      </c>
      <c r="AQ9" s="99">
        <v>277</v>
      </c>
      <c r="AR9" s="99">
        <v>277</v>
      </c>
      <c r="AS9" s="99">
        <v>277</v>
      </c>
      <c r="AT9" s="99">
        <v>277</v>
      </c>
      <c r="AU9" s="99">
        <v>310</v>
      </c>
      <c r="AV9" s="99">
        <v>310</v>
      </c>
      <c r="AW9" s="99">
        <v>267</v>
      </c>
      <c r="AX9" s="99">
        <v>267</v>
      </c>
      <c r="AY9" s="99">
        <v>267</v>
      </c>
      <c r="AZ9" s="99">
        <v>267</v>
      </c>
      <c r="BA9" s="99">
        <v>267</v>
      </c>
      <c r="BB9" s="99">
        <v>277</v>
      </c>
      <c r="BC9" s="99">
        <v>277</v>
      </c>
      <c r="BD9" s="99">
        <v>277</v>
      </c>
      <c r="BE9" s="99">
        <v>277</v>
      </c>
      <c r="BF9" s="99">
        <v>277</v>
      </c>
      <c r="BG9" s="99">
        <v>277</v>
      </c>
      <c r="BH9" s="99">
        <v>277</v>
      </c>
      <c r="BI9" s="99">
        <v>310</v>
      </c>
      <c r="BJ9" s="99">
        <v>310</v>
      </c>
      <c r="BK9" s="99">
        <v>310</v>
      </c>
      <c r="BL9" s="99">
        <v>310</v>
      </c>
      <c r="BM9" s="99">
        <v>310</v>
      </c>
      <c r="BN9" s="99">
        <v>310</v>
      </c>
      <c r="BO9" s="99">
        <v>310</v>
      </c>
      <c r="BP9" s="99">
        <v>310</v>
      </c>
      <c r="BQ9" s="99">
        <v>310</v>
      </c>
      <c r="BR9" s="99">
        <v>310</v>
      </c>
      <c r="BS9" s="99">
        <v>310</v>
      </c>
      <c r="BT9" s="99">
        <v>310</v>
      </c>
      <c r="BU9" s="99">
        <v>310</v>
      </c>
      <c r="BV9" s="99">
        <v>310</v>
      </c>
      <c r="BW9" s="99">
        <v>310</v>
      </c>
      <c r="BX9" s="99">
        <v>310</v>
      </c>
      <c r="BY9" s="99">
        <v>321</v>
      </c>
      <c r="BZ9" s="99">
        <v>321</v>
      </c>
      <c r="CA9" s="99">
        <v>321</v>
      </c>
      <c r="CB9" s="99">
        <v>321</v>
      </c>
      <c r="CC9" s="99">
        <v>321</v>
      </c>
      <c r="CD9" s="99">
        <v>321</v>
      </c>
      <c r="CE9" s="99">
        <v>321</v>
      </c>
      <c r="CF9" s="99">
        <v>321</v>
      </c>
      <c r="CG9" s="99">
        <v>321</v>
      </c>
      <c r="CH9" s="99">
        <v>321</v>
      </c>
      <c r="CI9" s="99">
        <v>321</v>
      </c>
      <c r="CJ9" s="99">
        <v>321</v>
      </c>
      <c r="CK9" s="99">
        <v>321</v>
      </c>
      <c r="CL9" s="99">
        <v>321</v>
      </c>
      <c r="CM9" s="99">
        <v>321</v>
      </c>
      <c r="CN9" s="99">
        <v>321</v>
      </c>
      <c r="CO9" s="99">
        <v>321</v>
      </c>
      <c r="CP9" s="99">
        <v>321</v>
      </c>
      <c r="CQ9" s="99">
        <v>321</v>
      </c>
      <c r="CR9" s="99">
        <v>321</v>
      </c>
      <c r="CS9" s="99">
        <v>321</v>
      </c>
      <c r="CT9" s="99">
        <v>321</v>
      </c>
      <c r="CU9" s="99">
        <v>321</v>
      </c>
      <c r="CV9" s="99">
        <v>321</v>
      </c>
      <c r="CW9" s="99">
        <v>321</v>
      </c>
      <c r="CX9" s="99">
        <v>321</v>
      </c>
      <c r="CY9" s="99">
        <v>321</v>
      </c>
    </row>
    <row r="10" spans="1:103" ht="15" customHeight="1">
      <c r="A10" s="2">
        <v>1050</v>
      </c>
      <c r="B10" s="64">
        <v>0.6</v>
      </c>
      <c r="C10" s="64"/>
      <c r="D10" s="64"/>
      <c r="E10" s="99">
        <v>275</v>
      </c>
      <c r="F10" s="99">
        <v>275</v>
      </c>
      <c r="G10" s="99">
        <v>275</v>
      </c>
      <c r="H10" s="99">
        <v>275</v>
      </c>
      <c r="I10" s="99">
        <v>275</v>
      </c>
      <c r="J10" s="99">
        <v>275</v>
      </c>
      <c r="K10" s="99">
        <v>275</v>
      </c>
      <c r="L10" s="99">
        <v>275</v>
      </c>
      <c r="M10" s="99">
        <v>275</v>
      </c>
      <c r="N10" s="99">
        <v>275</v>
      </c>
      <c r="O10" s="99">
        <v>297</v>
      </c>
      <c r="P10" s="99">
        <v>297</v>
      </c>
      <c r="Q10" s="99">
        <v>297</v>
      </c>
      <c r="R10" s="99">
        <v>297</v>
      </c>
      <c r="S10" s="99">
        <v>309</v>
      </c>
      <c r="T10" s="99">
        <v>297</v>
      </c>
      <c r="U10" s="99">
        <v>297</v>
      </c>
      <c r="V10" s="99">
        <v>309</v>
      </c>
      <c r="W10" s="99">
        <v>309</v>
      </c>
      <c r="X10" s="99">
        <v>309</v>
      </c>
      <c r="Y10" s="99">
        <v>309</v>
      </c>
      <c r="Z10" s="99">
        <v>309</v>
      </c>
      <c r="AA10" s="99">
        <v>309</v>
      </c>
      <c r="AB10" s="99">
        <v>309</v>
      </c>
      <c r="AC10" s="99">
        <v>309</v>
      </c>
      <c r="AD10" s="99">
        <v>335</v>
      </c>
      <c r="AE10" s="99">
        <v>335</v>
      </c>
      <c r="AF10" s="99">
        <v>335</v>
      </c>
      <c r="AG10" s="99">
        <v>335</v>
      </c>
      <c r="AH10" s="99">
        <v>309</v>
      </c>
      <c r="AI10" s="99">
        <v>309</v>
      </c>
      <c r="AJ10" s="99">
        <v>309</v>
      </c>
      <c r="AK10" s="99">
        <v>335</v>
      </c>
      <c r="AL10" s="99">
        <v>335</v>
      </c>
      <c r="AM10" s="99">
        <v>335</v>
      </c>
      <c r="AN10" s="99">
        <v>335</v>
      </c>
      <c r="AO10" s="99">
        <v>335</v>
      </c>
      <c r="AP10" s="99">
        <v>335</v>
      </c>
      <c r="AQ10" s="99">
        <v>335</v>
      </c>
      <c r="AR10" s="99">
        <v>335</v>
      </c>
      <c r="AS10" s="99">
        <v>335</v>
      </c>
      <c r="AT10" s="99">
        <v>335</v>
      </c>
      <c r="AU10" s="99">
        <v>363</v>
      </c>
      <c r="AV10" s="99">
        <v>363</v>
      </c>
      <c r="AW10" s="99">
        <v>309</v>
      </c>
      <c r="AX10" s="99">
        <v>309</v>
      </c>
      <c r="AY10" s="99">
        <v>309</v>
      </c>
      <c r="AZ10" s="99">
        <v>309</v>
      </c>
      <c r="BA10" s="99">
        <v>309</v>
      </c>
      <c r="BB10" s="99">
        <v>335</v>
      </c>
      <c r="BC10" s="99">
        <v>335</v>
      </c>
      <c r="BD10" s="99">
        <v>335</v>
      </c>
      <c r="BE10" s="99">
        <v>335</v>
      </c>
      <c r="BF10" s="99">
        <v>335</v>
      </c>
      <c r="BG10" s="99">
        <v>335</v>
      </c>
      <c r="BH10" s="99">
        <v>335</v>
      </c>
      <c r="BI10" s="99">
        <v>363</v>
      </c>
      <c r="BJ10" s="99">
        <v>363</v>
      </c>
      <c r="BK10" s="99">
        <v>363</v>
      </c>
      <c r="BL10" s="99">
        <v>363</v>
      </c>
      <c r="BM10" s="99">
        <v>363</v>
      </c>
      <c r="BN10" s="99">
        <v>363</v>
      </c>
      <c r="BO10" s="99">
        <v>363</v>
      </c>
      <c r="BP10" s="99">
        <v>363</v>
      </c>
      <c r="BQ10" s="99">
        <v>363</v>
      </c>
      <c r="BR10" s="99">
        <v>363</v>
      </c>
      <c r="BS10" s="99">
        <v>363</v>
      </c>
      <c r="BT10" s="99">
        <v>363</v>
      </c>
      <c r="BU10" s="99">
        <v>363</v>
      </c>
      <c r="BV10" s="99">
        <v>363</v>
      </c>
      <c r="BW10" s="99">
        <v>363</v>
      </c>
      <c r="BX10" s="99">
        <v>363</v>
      </c>
      <c r="BY10" s="99">
        <v>380</v>
      </c>
      <c r="BZ10" s="99">
        <v>380</v>
      </c>
      <c r="CA10" s="99">
        <v>380</v>
      </c>
      <c r="CB10" s="99">
        <v>380</v>
      </c>
      <c r="CC10" s="99">
        <v>380</v>
      </c>
      <c r="CD10" s="99">
        <v>380</v>
      </c>
      <c r="CE10" s="99">
        <v>380</v>
      </c>
      <c r="CF10" s="99">
        <v>380</v>
      </c>
      <c r="CG10" s="99">
        <v>380</v>
      </c>
      <c r="CH10" s="99">
        <v>380</v>
      </c>
      <c r="CI10" s="99">
        <v>380</v>
      </c>
      <c r="CJ10" s="99">
        <v>380</v>
      </c>
      <c r="CK10" s="99">
        <v>380</v>
      </c>
      <c r="CL10" s="99">
        <v>380</v>
      </c>
      <c r="CM10" s="99">
        <v>380</v>
      </c>
      <c r="CN10" s="99">
        <v>380</v>
      </c>
      <c r="CO10" s="99">
        <v>380</v>
      </c>
      <c r="CP10" s="99">
        <v>380</v>
      </c>
      <c r="CQ10" s="99">
        <v>380</v>
      </c>
      <c r="CR10" s="99">
        <v>380</v>
      </c>
      <c r="CS10" s="99">
        <v>380</v>
      </c>
      <c r="CT10" s="99">
        <v>380</v>
      </c>
      <c r="CU10" s="99">
        <v>380</v>
      </c>
      <c r="CV10" s="99">
        <v>380</v>
      </c>
      <c r="CW10" s="99">
        <v>380</v>
      </c>
      <c r="CX10" s="99">
        <v>380</v>
      </c>
      <c r="CY10" s="99">
        <v>380</v>
      </c>
    </row>
    <row r="11" spans="1:103" ht="15" customHeight="1">
      <c r="A11" s="2">
        <v>1400</v>
      </c>
      <c r="B11" s="64">
        <v>0.8</v>
      </c>
      <c r="C11" s="64">
        <v>2</v>
      </c>
      <c r="D11" s="64"/>
      <c r="E11" s="99">
        <v>337</v>
      </c>
      <c r="F11" s="99">
        <v>337</v>
      </c>
      <c r="G11" s="99">
        <v>337</v>
      </c>
      <c r="H11" s="99">
        <v>337</v>
      </c>
      <c r="I11" s="99">
        <v>337</v>
      </c>
      <c r="J11" s="99">
        <v>337</v>
      </c>
      <c r="K11" s="99">
        <v>337</v>
      </c>
      <c r="L11" s="99">
        <v>337</v>
      </c>
      <c r="M11" s="99">
        <v>337</v>
      </c>
      <c r="N11" s="99">
        <v>337</v>
      </c>
      <c r="O11" s="99">
        <v>360</v>
      </c>
      <c r="P11" s="99">
        <v>360</v>
      </c>
      <c r="Q11" s="99">
        <v>360</v>
      </c>
      <c r="R11" s="99">
        <v>360</v>
      </c>
      <c r="S11" s="99">
        <v>370</v>
      </c>
      <c r="T11" s="99">
        <v>360</v>
      </c>
      <c r="U11" s="99">
        <v>360</v>
      </c>
      <c r="V11" s="99">
        <v>370</v>
      </c>
      <c r="W11" s="99">
        <v>370</v>
      </c>
      <c r="X11" s="99">
        <v>370</v>
      </c>
      <c r="Y11" s="99">
        <v>370</v>
      </c>
      <c r="Z11" s="99">
        <v>370</v>
      </c>
      <c r="AA11" s="99">
        <v>370</v>
      </c>
      <c r="AB11" s="99">
        <v>370</v>
      </c>
      <c r="AC11" s="99">
        <v>370</v>
      </c>
      <c r="AD11" s="99">
        <v>398</v>
      </c>
      <c r="AE11" s="99">
        <v>398</v>
      </c>
      <c r="AF11" s="99">
        <v>398</v>
      </c>
      <c r="AG11" s="99">
        <v>398</v>
      </c>
      <c r="AH11" s="99">
        <v>370</v>
      </c>
      <c r="AI11" s="99">
        <v>370</v>
      </c>
      <c r="AJ11" s="99">
        <v>370</v>
      </c>
      <c r="AK11" s="99">
        <v>398</v>
      </c>
      <c r="AL11" s="99">
        <v>398</v>
      </c>
      <c r="AM11" s="99">
        <v>398</v>
      </c>
      <c r="AN11" s="99">
        <v>398</v>
      </c>
      <c r="AO11" s="99">
        <v>398</v>
      </c>
      <c r="AP11" s="99">
        <v>398</v>
      </c>
      <c r="AQ11" s="99">
        <v>398</v>
      </c>
      <c r="AR11" s="99">
        <v>398</v>
      </c>
      <c r="AS11" s="99">
        <v>398</v>
      </c>
      <c r="AT11" s="99">
        <v>398</v>
      </c>
      <c r="AU11" s="99">
        <v>425</v>
      </c>
      <c r="AV11" s="99">
        <v>425</v>
      </c>
      <c r="AW11" s="99">
        <v>370</v>
      </c>
      <c r="AX11" s="99">
        <v>370</v>
      </c>
      <c r="AY11" s="99">
        <v>370</v>
      </c>
      <c r="AZ11" s="99">
        <v>370</v>
      </c>
      <c r="BA11" s="99">
        <v>370</v>
      </c>
      <c r="BB11" s="99">
        <v>398</v>
      </c>
      <c r="BC11" s="99">
        <v>398</v>
      </c>
      <c r="BD11" s="99">
        <v>398</v>
      </c>
      <c r="BE11" s="99">
        <v>398</v>
      </c>
      <c r="BF11" s="99">
        <v>398</v>
      </c>
      <c r="BG11" s="99">
        <v>398</v>
      </c>
      <c r="BH11" s="99">
        <v>398</v>
      </c>
      <c r="BI11" s="99">
        <v>425</v>
      </c>
      <c r="BJ11" s="99">
        <v>425</v>
      </c>
      <c r="BK11" s="99">
        <v>425</v>
      </c>
      <c r="BL11" s="99">
        <v>425</v>
      </c>
      <c r="BM11" s="99">
        <v>425</v>
      </c>
      <c r="BN11" s="99">
        <v>425</v>
      </c>
      <c r="BO11" s="99">
        <v>425</v>
      </c>
      <c r="BP11" s="99">
        <v>425</v>
      </c>
      <c r="BQ11" s="99">
        <v>425</v>
      </c>
      <c r="BR11" s="99">
        <v>425</v>
      </c>
      <c r="BS11" s="99">
        <v>425</v>
      </c>
      <c r="BT11" s="99">
        <v>425</v>
      </c>
      <c r="BU11" s="99">
        <v>425</v>
      </c>
      <c r="BV11" s="99">
        <v>425</v>
      </c>
      <c r="BW11" s="99">
        <v>425</v>
      </c>
      <c r="BX11" s="99">
        <v>425</v>
      </c>
      <c r="BY11" s="99">
        <v>443</v>
      </c>
      <c r="BZ11" s="99">
        <v>443</v>
      </c>
      <c r="CA11" s="99">
        <v>443</v>
      </c>
      <c r="CB11" s="99">
        <v>443</v>
      </c>
      <c r="CC11" s="99">
        <v>443</v>
      </c>
      <c r="CD11" s="99">
        <v>443</v>
      </c>
      <c r="CE11" s="99">
        <v>443</v>
      </c>
      <c r="CF11" s="99">
        <v>443</v>
      </c>
      <c r="CG11" s="99">
        <v>443</v>
      </c>
      <c r="CH11" s="99">
        <v>443</v>
      </c>
      <c r="CI11" s="99">
        <v>443</v>
      </c>
      <c r="CJ11" s="99">
        <v>443</v>
      </c>
      <c r="CK11" s="99">
        <v>443</v>
      </c>
      <c r="CL11" s="99">
        <v>443</v>
      </c>
      <c r="CM11" s="99">
        <v>443</v>
      </c>
      <c r="CN11" s="99">
        <v>443</v>
      </c>
      <c r="CO11" s="99">
        <v>443</v>
      </c>
      <c r="CP11" s="99">
        <v>443</v>
      </c>
      <c r="CQ11" s="99">
        <v>443</v>
      </c>
      <c r="CR11" s="99">
        <v>443</v>
      </c>
      <c r="CS11" s="99">
        <v>443</v>
      </c>
      <c r="CT11" s="99">
        <v>443</v>
      </c>
      <c r="CU11" s="99">
        <v>443</v>
      </c>
      <c r="CV11" s="99">
        <v>443</v>
      </c>
      <c r="CW11" s="99">
        <v>443</v>
      </c>
      <c r="CX11" s="99">
        <v>443</v>
      </c>
      <c r="CY11" s="99">
        <v>443</v>
      </c>
    </row>
    <row r="12" spans="1:103" ht="15" customHeight="1">
      <c r="A12" s="2">
        <v>1750</v>
      </c>
      <c r="B12" s="64">
        <v>1</v>
      </c>
      <c r="C12" s="64"/>
      <c r="D12" s="64">
        <v>2</v>
      </c>
      <c r="E12" s="99">
        <v>374</v>
      </c>
      <c r="F12" s="99">
        <v>374</v>
      </c>
      <c r="G12" s="99">
        <v>374</v>
      </c>
      <c r="H12" s="99">
        <v>374</v>
      </c>
      <c r="I12" s="99">
        <v>374</v>
      </c>
      <c r="J12" s="99">
        <v>374</v>
      </c>
      <c r="K12" s="99">
        <v>374</v>
      </c>
      <c r="L12" s="99">
        <v>374</v>
      </c>
      <c r="M12" s="99">
        <v>374</v>
      </c>
      <c r="N12" s="99">
        <v>374</v>
      </c>
      <c r="O12" s="99">
        <v>404</v>
      </c>
      <c r="P12" s="99">
        <v>404</v>
      </c>
      <c r="Q12" s="99">
        <v>404</v>
      </c>
      <c r="R12" s="99">
        <v>404</v>
      </c>
      <c r="S12" s="99">
        <v>417</v>
      </c>
      <c r="T12" s="99">
        <v>404</v>
      </c>
      <c r="U12" s="99">
        <v>404</v>
      </c>
      <c r="V12" s="99">
        <v>417</v>
      </c>
      <c r="W12" s="99">
        <v>417</v>
      </c>
      <c r="X12" s="99">
        <v>417</v>
      </c>
      <c r="Y12" s="99">
        <v>417</v>
      </c>
      <c r="Z12" s="99">
        <v>417</v>
      </c>
      <c r="AA12" s="99">
        <v>417</v>
      </c>
      <c r="AB12" s="99">
        <v>417</v>
      </c>
      <c r="AC12" s="99">
        <v>417</v>
      </c>
      <c r="AD12" s="99">
        <v>448</v>
      </c>
      <c r="AE12" s="99">
        <v>448</v>
      </c>
      <c r="AF12" s="99">
        <v>448</v>
      </c>
      <c r="AG12" s="99">
        <v>448</v>
      </c>
      <c r="AH12" s="99">
        <v>417</v>
      </c>
      <c r="AI12" s="99">
        <v>417</v>
      </c>
      <c r="AJ12" s="99">
        <v>417</v>
      </c>
      <c r="AK12" s="99">
        <v>448</v>
      </c>
      <c r="AL12" s="99">
        <v>448</v>
      </c>
      <c r="AM12" s="99">
        <v>448</v>
      </c>
      <c r="AN12" s="99">
        <v>448</v>
      </c>
      <c r="AO12" s="99">
        <v>448</v>
      </c>
      <c r="AP12" s="99">
        <v>448</v>
      </c>
      <c r="AQ12" s="99">
        <v>448</v>
      </c>
      <c r="AR12" s="99">
        <v>448</v>
      </c>
      <c r="AS12" s="99">
        <v>448</v>
      </c>
      <c r="AT12" s="99">
        <v>448</v>
      </c>
      <c r="AU12" s="99">
        <v>478</v>
      </c>
      <c r="AV12" s="99">
        <v>478</v>
      </c>
      <c r="AW12" s="99">
        <v>417</v>
      </c>
      <c r="AX12" s="99">
        <v>417</v>
      </c>
      <c r="AY12" s="99">
        <v>417</v>
      </c>
      <c r="AZ12" s="99">
        <v>417</v>
      </c>
      <c r="BA12" s="99">
        <v>417</v>
      </c>
      <c r="BB12" s="99">
        <v>448</v>
      </c>
      <c r="BC12" s="99">
        <v>448</v>
      </c>
      <c r="BD12" s="99">
        <v>448</v>
      </c>
      <c r="BE12" s="99">
        <v>448</v>
      </c>
      <c r="BF12" s="99">
        <v>448</v>
      </c>
      <c r="BG12" s="99">
        <v>448</v>
      </c>
      <c r="BH12" s="99">
        <v>448</v>
      </c>
      <c r="BI12" s="99">
        <v>478</v>
      </c>
      <c r="BJ12" s="99">
        <v>478</v>
      </c>
      <c r="BK12" s="99">
        <v>478</v>
      </c>
      <c r="BL12" s="99">
        <v>478</v>
      </c>
      <c r="BM12" s="99">
        <v>478</v>
      </c>
      <c r="BN12" s="99">
        <v>478</v>
      </c>
      <c r="BO12" s="99">
        <v>478</v>
      </c>
      <c r="BP12" s="99">
        <v>478</v>
      </c>
      <c r="BQ12" s="99">
        <v>478</v>
      </c>
      <c r="BR12" s="99">
        <v>478</v>
      </c>
      <c r="BS12" s="99">
        <v>478</v>
      </c>
      <c r="BT12" s="99">
        <v>478</v>
      </c>
      <c r="BU12" s="99">
        <v>478</v>
      </c>
      <c r="BV12" s="99">
        <v>478</v>
      </c>
      <c r="BW12" s="99">
        <v>478</v>
      </c>
      <c r="BX12" s="99">
        <v>478</v>
      </c>
      <c r="BY12" s="99">
        <v>504</v>
      </c>
      <c r="BZ12" s="99">
        <v>504</v>
      </c>
      <c r="CA12" s="99">
        <v>504</v>
      </c>
      <c r="CB12" s="99">
        <v>504</v>
      </c>
      <c r="CC12" s="99">
        <v>504</v>
      </c>
      <c r="CD12" s="99">
        <v>504</v>
      </c>
      <c r="CE12" s="99">
        <v>504</v>
      </c>
      <c r="CF12" s="99">
        <v>504</v>
      </c>
      <c r="CG12" s="99">
        <v>504</v>
      </c>
      <c r="CH12" s="99">
        <v>504</v>
      </c>
      <c r="CI12" s="99">
        <v>504</v>
      </c>
      <c r="CJ12" s="99">
        <v>504</v>
      </c>
      <c r="CK12" s="99">
        <v>504</v>
      </c>
      <c r="CL12" s="99">
        <v>504</v>
      </c>
      <c r="CM12" s="99">
        <v>504</v>
      </c>
      <c r="CN12" s="99">
        <v>504</v>
      </c>
      <c r="CO12" s="99">
        <v>504</v>
      </c>
      <c r="CP12" s="99">
        <v>504</v>
      </c>
      <c r="CQ12" s="99">
        <v>504</v>
      </c>
      <c r="CR12" s="99">
        <v>504</v>
      </c>
      <c r="CS12" s="99">
        <v>504</v>
      </c>
      <c r="CT12" s="99">
        <v>504</v>
      </c>
      <c r="CU12" s="99">
        <v>504</v>
      </c>
      <c r="CV12" s="99">
        <v>504</v>
      </c>
      <c r="CW12" s="99">
        <v>504</v>
      </c>
      <c r="CX12" s="99">
        <v>504</v>
      </c>
      <c r="CY12" s="99">
        <v>504</v>
      </c>
    </row>
    <row r="13" spans="1:103" ht="15" customHeight="1">
      <c r="A13" s="2">
        <v>2100</v>
      </c>
      <c r="B13" s="64">
        <v>1.2</v>
      </c>
      <c r="C13" s="64">
        <v>3</v>
      </c>
      <c r="D13" s="64"/>
      <c r="E13" s="99">
        <v>438</v>
      </c>
      <c r="F13" s="99">
        <v>438</v>
      </c>
      <c r="G13" s="99">
        <v>438</v>
      </c>
      <c r="H13" s="99">
        <v>438</v>
      </c>
      <c r="I13" s="99">
        <v>438</v>
      </c>
      <c r="J13" s="99">
        <v>438</v>
      </c>
      <c r="K13" s="99">
        <v>438</v>
      </c>
      <c r="L13" s="99">
        <v>438</v>
      </c>
      <c r="M13" s="99">
        <v>438</v>
      </c>
      <c r="N13" s="99">
        <v>438</v>
      </c>
      <c r="O13" s="99">
        <v>477</v>
      </c>
      <c r="P13" s="99">
        <v>477</v>
      </c>
      <c r="Q13" s="99">
        <v>477</v>
      </c>
      <c r="R13" s="99">
        <v>477</v>
      </c>
      <c r="S13" s="99">
        <v>493</v>
      </c>
      <c r="T13" s="99">
        <v>477</v>
      </c>
      <c r="U13" s="99">
        <v>477</v>
      </c>
      <c r="V13" s="99">
        <v>493</v>
      </c>
      <c r="W13" s="99">
        <v>493</v>
      </c>
      <c r="X13" s="99">
        <v>493</v>
      </c>
      <c r="Y13" s="99">
        <v>493</v>
      </c>
      <c r="Z13" s="99">
        <v>493</v>
      </c>
      <c r="AA13" s="99">
        <v>493</v>
      </c>
      <c r="AB13" s="99">
        <v>493</v>
      </c>
      <c r="AC13" s="99">
        <v>493</v>
      </c>
      <c r="AD13" s="99">
        <v>526</v>
      </c>
      <c r="AE13" s="99">
        <v>526</v>
      </c>
      <c r="AF13" s="99">
        <v>526</v>
      </c>
      <c r="AG13" s="99">
        <v>526</v>
      </c>
      <c r="AH13" s="99">
        <v>493</v>
      </c>
      <c r="AI13" s="99">
        <v>493</v>
      </c>
      <c r="AJ13" s="99">
        <v>493</v>
      </c>
      <c r="AK13" s="99">
        <v>526</v>
      </c>
      <c r="AL13" s="99">
        <v>526</v>
      </c>
      <c r="AM13" s="99">
        <v>526</v>
      </c>
      <c r="AN13" s="99">
        <v>526</v>
      </c>
      <c r="AO13" s="99">
        <v>526</v>
      </c>
      <c r="AP13" s="99">
        <v>526</v>
      </c>
      <c r="AQ13" s="99">
        <v>526</v>
      </c>
      <c r="AR13" s="99">
        <v>526</v>
      </c>
      <c r="AS13" s="99">
        <v>526</v>
      </c>
      <c r="AT13" s="99">
        <v>526</v>
      </c>
      <c r="AU13" s="99">
        <v>557</v>
      </c>
      <c r="AV13" s="99">
        <v>557</v>
      </c>
      <c r="AW13" s="99">
        <v>493</v>
      </c>
      <c r="AX13" s="99">
        <v>493</v>
      </c>
      <c r="AY13" s="99">
        <v>493</v>
      </c>
      <c r="AZ13" s="99">
        <v>493</v>
      </c>
      <c r="BA13" s="99">
        <v>493</v>
      </c>
      <c r="BB13" s="99">
        <v>526</v>
      </c>
      <c r="BC13" s="99">
        <v>526</v>
      </c>
      <c r="BD13" s="99">
        <v>526</v>
      </c>
      <c r="BE13" s="99">
        <v>526</v>
      </c>
      <c r="BF13" s="99">
        <v>526</v>
      </c>
      <c r="BG13" s="99">
        <v>526</v>
      </c>
      <c r="BH13" s="99">
        <v>526</v>
      </c>
      <c r="BI13" s="99">
        <v>557</v>
      </c>
      <c r="BJ13" s="99">
        <v>557</v>
      </c>
      <c r="BK13" s="99">
        <v>557</v>
      </c>
      <c r="BL13" s="99">
        <v>557</v>
      </c>
      <c r="BM13" s="99">
        <v>557</v>
      </c>
      <c r="BN13" s="99">
        <v>557</v>
      </c>
      <c r="BO13" s="99">
        <v>557</v>
      </c>
      <c r="BP13" s="99">
        <v>557</v>
      </c>
      <c r="BQ13" s="99">
        <v>557</v>
      </c>
      <c r="BR13" s="99">
        <v>557</v>
      </c>
      <c r="BS13" s="99">
        <v>557</v>
      </c>
      <c r="BT13" s="99">
        <v>557</v>
      </c>
      <c r="BU13" s="99">
        <v>557</v>
      </c>
      <c r="BV13" s="99">
        <v>557</v>
      </c>
      <c r="BW13" s="99">
        <v>557</v>
      </c>
      <c r="BX13" s="99">
        <v>557</v>
      </c>
      <c r="BY13" s="99">
        <v>593</v>
      </c>
      <c r="BZ13" s="99">
        <v>593</v>
      </c>
      <c r="CA13" s="99">
        <v>593</v>
      </c>
      <c r="CB13" s="99">
        <v>593</v>
      </c>
      <c r="CC13" s="99">
        <v>593</v>
      </c>
      <c r="CD13" s="99">
        <v>593</v>
      </c>
      <c r="CE13" s="99">
        <v>593</v>
      </c>
      <c r="CF13" s="99">
        <v>593</v>
      </c>
      <c r="CG13" s="99">
        <v>593</v>
      </c>
      <c r="CH13" s="99">
        <v>593</v>
      </c>
      <c r="CI13" s="99">
        <v>593</v>
      </c>
      <c r="CJ13" s="99">
        <v>593</v>
      </c>
      <c r="CK13" s="99">
        <v>593</v>
      </c>
      <c r="CL13" s="99">
        <v>593</v>
      </c>
      <c r="CM13" s="99">
        <v>593</v>
      </c>
      <c r="CN13" s="99">
        <v>593</v>
      </c>
      <c r="CO13" s="99">
        <v>593</v>
      </c>
      <c r="CP13" s="99">
        <v>593</v>
      </c>
      <c r="CQ13" s="99">
        <v>593</v>
      </c>
      <c r="CR13" s="99">
        <v>593</v>
      </c>
      <c r="CS13" s="99">
        <v>593</v>
      </c>
      <c r="CT13" s="99">
        <v>593</v>
      </c>
      <c r="CU13" s="99">
        <v>593</v>
      </c>
      <c r="CV13" s="99">
        <v>593</v>
      </c>
      <c r="CW13" s="99">
        <v>593</v>
      </c>
      <c r="CX13" s="99">
        <v>593</v>
      </c>
      <c r="CY13" s="99">
        <v>593</v>
      </c>
    </row>
    <row r="14" spans="1:103" ht="15" customHeight="1">
      <c r="A14" s="2">
        <v>2625</v>
      </c>
      <c r="B14" s="64">
        <v>1.5</v>
      </c>
      <c r="C14" s="64"/>
      <c r="D14" s="64">
        <v>3</v>
      </c>
      <c r="E14" s="99">
        <v>518</v>
      </c>
      <c r="F14" s="99">
        <v>518</v>
      </c>
      <c r="G14" s="99">
        <v>518</v>
      </c>
      <c r="H14" s="99">
        <v>518</v>
      </c>
      <c r="I14" s="99">
        <v>518</v>
      </c>
      <c r="J14" s="99">
        <v>518</v>
      </c>
      <c r="K14" s="99">
        <v>518</v>
      </c>
      <c r="L14" s="99">
        <v>518</v>
      </c>
      <c r="M14" s="99">
        <v>518</v>
      </c>
      <c r="N14" s="99">
        <v>518</v>
      </c>
      <c r="O14" s="99">
        <v>551</v>
      </c>
      <c r="P14" s="99">
        <v>551</v>
      </c>
      <c r="Q14" s="99">
        <v>551</v>
      </c>
      <c r="R14" s="99">
        <v>551</v>
      </c>
      <c r="S14" s="99">
        <v>568</v>
      </c>
      <c r="T14" s="99">
        <v>551</v>
      </c>
      <c r="U14" s="99">
        <v>551</v>
      </c>
      <c r="V14" s="99">
        <v>568</v>
      </c>
      <c r="W14" s="99">
        <v>568</v>
      </c>
      <c r="X14" s="99">
        <v>568</v>
      </c>
      <c r="Y14" s="99">
        <v>568</v>
      </c>
      <c r="Z14" s="99">
        <v>568</v>
      </c>
      <c r="AA14" s="99">
        <v>568</v>
      </c>
      <c r="AB14" s="99">
        <v>568</v>
      </c>
      <c r="AC14" s="99">
        <v>568</v>
      </c>
      <c r="AD14" s="99">
        <v>600</v>
      </c>
      <c r="AE14" s="99">
        <v>600</v>
      </c>
      <c r="AF14" s="99">
        <v>600</v>
      </c>
      <c r="AG14" s="99">
        <v>600</v>
      </c>
      <c r="AH14" s="99">
        <v>568</v>
      </c>
      <c r="AI14" s="99">
        <v>568</v>
      </c>
      <c r="AJ14" s="99">
        <v>568</v>
      </c>
      <c r="AK14" s="99">
        <v>600</v>
      </c>
      <c r="AL14" s="99">
        <v>600</v>
      </c>
      <c r="AM14" s="99">
        <v>600</v>
      </c>
      <c r="AN14" s="99">
        <v>600</v>
      </c>
      <c r="AO14" s="99">
        <v>600</v>
      </c>
      <c r="AP14" s="99">
        <v>600</v>
      </c>
      <c r="AQ14" s="99">
        <v>600</v>
      </c>
      <c r="AR14" s="99">
        <v>600</v>
      </c>
      <c r="AS14" s="99">
        <v>600</v>
      </c>
      <c r="AT14" s="99">
        <v>600</v>
      </c>
      <c r="AU14" s="99">
        <v>638</v>
      </c>
      <c r="AV14" s="99">
        <v>638</v>
      </c>
      <c r="AW14" s="99">
        <v>568</v>
      </c>
      <c r="AX14" s="99">
        <v>568</v>
      </c>
      <c r="AY14" s="99">
        <v>568</v>
      </c>
      <c r="AZ14" s="99">
        <v>568</v>
      </c>
      <c r="BA14" s="99">
        <v>568</v>
      </c>
      <c r="BB14" s="99">
        <v>600</v>
      </c>
      <c r="BC14" s="99">
        <v>600</v>
      </c>
      <c r="BD14" s="99">
        <v>600</v>
      </c>
      <c r="BE14" s="99">
        <v>600</v>
      </c>
      <c r="BF14" s="99">
        <v>600</v>
      </c>
      <c r="BG14" s="99">
        <v>600</v>
      </c>
      <c r="BH14" s="99">
        <v>600</v>
      </c>
      <c r="BI14" s="99">
        <v>638</v>
      </c>
      <c r="BJ14" s="99">
        <v>638</v>
      </c>
      <c r="BK14" s="99">
        <v>638</v>
      </c>
      <c r="BL14" s="99">
        <v>638</v>
      </c>
      <c r="BM14" s="99">
        <v>638</v>
      </c>
      <c r="BN14" s="99">
        <v>638</v>
      </c>
      <c r="BO14" s="99">
        <v>638</v>
      </c>
      <c r="BP14" s="99">
        <v>638</v>
      </c>
      <c r="BQ14" s="99">
        <v>638</v>
      </c>
      <c r="BR14" s="99">
        <v>638</v>
      </c>
      <c r="BS14" s="99">
        <v>638</v>
      </c>
      <c r="BT14" s="99">
        <v>638</v>
      </c>
      <c r="BU14" s="99">
        <v>638</v>
      </c>
      <c r="BV14" s="99">
        <v>638</v>
      </c>
      <c r="BW14" s="99">
        <v>638</v>
      </c>
      <c r="BX14" s="99">
        <v>638</v>
      </c>
      <c r="BY14" s="99">
        <v>694</v>
      </c>
      <c r="BZ14" s="99">
        <v>694</v>
      </c>
      <c r="CA14" s="99">
        <v>694</v>
      </c>
      <c r="CB14" s="99">
        <v>694</v>
      </c>
      <c r="CC14" s="99">
        <v>694</v>
      </c>
      <c r="CD14" s="99">
        <v>694</v>
      </c>
      <c r="CE14" s="99">
        <v>694</v>
      </c>
      <c r="CF14" s="99">
        <v>694</v>
      </c>
      <c r="CG14" s="99">
        <v>694</v>
      </c>
      <c r="CH14" s="99">
        <v>694</v>
      </c>
      <c r="CI14" s="99">
        <v>694</v>
      </c>
      <c r="CJ14" s="99">
        <v>694</v>
      </c>
      <c r="CK14" s="99">
        <v>694</v>
      </c>
      <c r="CL14" s="99">
        <v>694</v>
      </c>
      <c r="CM14" s="99">
        <v>694</v>
      </c>
      <c r="CN14" s="99">
        <v>694</v>
      </c>
      <c r="CO14" s="99">
        <v>694</v>
      </c>
      <c r="CP14" s="99">
        <v>694</v>
      </c>
      <c r="CQ14" s="99">
        <v>694</v>
      </c>
      <c r="CR14" s="99">
        <v>694</v>
      </c>
      <c r="CS14" s="99">
        <v>694</v>
      </c>
      <c r="CT14" s="99">
        <v>694</v>
      </c>
      <c r="CU14" s="99">
        <v>694</v>
      </c>
      <c r="CV14" s="99">
        <v>694</v>
      </c>
      <c r="CW14" s="99">
        <v>694</v>
      </c>
      <c r="CX14" s="99">
        <v>694</v>
      </c>
      <c r="CY14" s="99">
        <v>694</v>
      </c>
    </row>
    <row r="15" spans="1:103" ht="15" customHeight="1">
      <c r="A15" s="2">
        <v>2800</v>
      </c>
      <c r="B15" s="64">
        <v>1.6</v>
      </c>
      <c r="C15" s="64">
        <v>4</v>
      </c>
      <c r="D15" s="64"/>
      <c r="E15" s="99">
        <v>571</v>
      </c>
      <c r="F15" s="99">
        <v>571</v>
      </c>
      <c r="G15" s="99">
        <v>571</v>
      </c>
      <c r="H15" s="99">
        <v>571</v>
      </c>
      <c r="I15" s="99">
        <v>571</v>
      </c>
      <c r="J15" s="99">
        <v>571</v>
      </c>
      <c r="K15" s="99">
        <v>571</v>
      </c>
      <c r="L15" s="99">
        <v>571</v>
      </c>
      <c r="M15" s="99">
        <v>571</v>
      </c>
      <c r="N15" s="99">
        <v>571</v>
      </c>
      <c r="O15" s="99">
        <v>605</v>
      </c>
      <c r="P15" s="99">
        <v>605</v>
      </c>
      <c r="Q15" s="99">
        <v>605</v>
      </c>
      <c r="R15" s="99">
        <v>605</v>
      </c>
      <c r="S15" s="99">
        <v>620</v>
      </c>
      <c r="T15" s="99">
        <v>605</v>
      </c>
      <c r="U15" s="99">
        <v>605</v>
      </c>
      <c r="V15" s="99">
        <v>620</v>
      </c>
      <c r="W15" s="99">
        <v>620</v>
      </c>
      <c r="X15" s="99">
        <v>620</v>
      </c>
      <c r="Y15" s="99">
        <v>620</v>
      </c>
      <c r="Z15" s="99">
        <v>620</v>
      </c>
      <c r="AA15" s="99">
        <v>620</v>
      </c>
      <c r="AB15" s="99">
        <v>620</v>
      </c>
      <c r="AC15" s="99">
        <v>620</v>
      </c>
      <c r="AD15" s="99">
        <v>654</v>
      </c>
      <c r="AE15" s="99">
        <v>654</v>
      </c>
      <c r="AF15" s="99">
        <v>654</v>
      </c>
      <c r="AG15" s="99">
        <v>654</v>
      </c>
      <c r="AH15" s="99">
        <v>620</v>
      </c>
      <c r="AI15" s="99">
        <v>620</v>
      </c>
      <c r="AJ15" s="99">
        <v>620</v>
      </c>
      <c r="AK15" s="99">
        <v>654</v>
      </c>
      <c r="AL15" s="99">
        <v>654</v>
      </c>
      <c r="AM15" s="99">
        <v>654</v>
      </c>
      <c r="AN15" s="99">
        <v>654</v>
      </c>
      <c r="AO15" s="99">
        <v>654</v>
      </c>
      <c r="AP15" s="99">
        <v>654</v>
      </c>
      <c r="AQ15" s="99">
        <v>654</v>
      </c>
      <c r="AR15" s="99">
        <v>654</v>
      </c>
      <c r="AS15" s="99">
        <v>654</v>
      </c>
      <c r="AT15" s="99">
        <v>654</v>
      </c>
      <c r="AU15" s="99">
        <v>692</v>
      </c>
      <c r="AV15" s="99">
        <v>692</v>
      </c>
      <c r="AW15" s="99">
        <v>620</v>
      </c>
      <c r="AX15" s="99">
        <v>620</v>
      </c>
      <c r="AY15" s="99">
        <v>620</v>
      </c>
      <c r="AZ15" s="99">
        <v>620</v>
      </c>
      <c r="BA15" s="99">
        <v>620</v>
      </c>
      <c r="BB15" s="99">
        <v>654</v>
      </c>
      <c r="BC15" s="99">
        <v>654</v>
      </c>
      <c r="BD15" s="99">
        <v>654</v>
      </c>
      <c r="BE15" s="99">
        <v>654</v>
      </c>
      <c r="BF15" s="99">
        <v>654</v>
      </c>
      <c r="BG15" s="99">
        <v>654</v>
      </c>
      <c r="BH15" s="99">
        <v>654</v>
      </c>
      <c r="BI15" s="99">
        <v>692</v>
      </c>
      <c r="BJ15" s="99">
        <v>692</v>
      </c>
      <c r="BK15" s="99">
        <v>692</v>
      </c>
      <c r="BL15" s="99">
        <v>692</v>
      </c>
      <c r="BM15" s="99">
        <v>692</v>
      </c>
      <c r="BN15" s="99">
        <v>692</v>
      </c>
      <c r="BO15" s="99">
        <v>692</v>
      </c>
      <c r="BP15" s="99">
        <v>692</v>
      </c>
      <c r="BQ15" s="99">
        <v>692</v>
      </c>
      <c r="BR15" s="99">
        <v>692</v>
      </c>
      <c r="BS15" s="99">
        <v>692</v>
      </c>
      <c r="BT15" s="99">
        <v>692</v>
      </c>
      <c r="BU15" s="99">
        <v>692</v>
      </c>
      <c r="BV15" s="99">
        <v>692</v>
      </c>
      <c r="BW15" s="99">
        <v>692</v>
      </c>
      <c r="BX15" s="99">
        <v>692</v>
      </c>
      <c r="BY15" s="99">
        <v>754</v>
      </c>
      <c r="BZ15" s="99">
        <v>754</v>
      </c>
      <c r="CA15" s="99">
        <v>754</v>
      </c>
      <c r="CB15" s="99">
        <v>754</v>
      </c>
      <c r="CC15" s="99">
        <v>754</v>
      </c>
      <c r="CD15" s="99">
        <v>754</v>
      </c>
      <c r="CE15" s="99">
        <v>754</v>
      </c>
      <c r="CF15" s="99">
        <v>754</v>
      </c>
      <c r="CG15" s="99">
        <v>754</v>
      </c>
      <c r="CH15" s="99">
        <v>754</v>
      </c>
      <c r="CI15" s="99">
        <v>754</v>
      </c>
      <c r="CJ15" s="99">
        <v>754</v>
      </c>
      <c r="CK15" s="99">
        <v>754</v>
      </c>
      <c r="CL15" s="99">
        <v>754</v>
      </c>
      <c r="CM15" s="99">
        <v>754</v>
      </c>
      <c r="CN15" s="99">
        <v>754</v>
      </c>
      <c r="CO15" s="99">
        <v>754</v>
      </c>
      <c r="CP15" s="99">
        <v>754</v>
      </c>
      <c r="CQ15" s="99">
        <v>754</v>
      </c>
      <c r="CR15" s="99">
        <v>754</v>
      </c>
      <c r="CS15" s="99">
        <v>754</v>
      </c>
      <c r="CT15" s="99">
        <v>754</v>
      </c>
      <c r="CU15" s="99">
        <v>754</v>
      </c>
      <c r="CV15" s="99">
        <v>754</v>
      </c>
      <c r="CW15" s="99">
        <v>754</v>
      </c>
      <c r="CX15" s="99">
        <v>754</v>
      </c>
      <c r="CY15" s="99">
        <v>754</v>
      </c>
    </row>
    <row r="16" spans="1:103" ht="15" customHeight="1">
      <c r="A16" s="2">
        <v>3500</v>
      </c>
      <c r="B16" s="64">
        <v>2</v>
      </c>
      <c r="C16" s="64">
        <v>5</v>
      </c>
      <c r="D16" s="64">
        <v>4</v>
      </c>
      <c r="E16" s="99">
        <v>671</v>
      </c>
      <c r="F16" s="99">
        <v>671</v>
      </c>
      <c r="G16" s="99">
        <v>671</v>
      </c>
      <c r="H16" s="99">
        <v>671</v>
      </c>
      <c r="I16" s="99">
        <v>671</v>
      </c>
      <c r="J16" s="99">
        <v>671</v>
      </c>
      <c r="K16" s="99">
        <v>671</v>
      </c>
      <c r="L16" s="99">
        <v>671</v>
      </c>
      <c r="M16" s="99">
        <v>671</v>
      </c>
      <c r="N16" s="99">
        <v>671</v>
      </c>
      <c r="O16" s="99">
        <v>694</v>
      </c>
      <c r="P16" s="99">
        <v>694</v>
      </c>
      <c r="Q16" s="99">
        <v>694</v>
      </c>
      <c r="R16" s="99">
        <v>694</v>
      </c>
      <c r="S16" s="99">
        <v>738</v>
      </c>
      <c r="T16" s="99">
        <v>694</v>
      </c>
      <c r="U16" s="99">
        <v>694</v>
      </c>
      <c r="V16" s="99">
        <v>738</v>
      </c>
      <c r="W16" s="99">
        <v>738</v>
      </c>
      <c r="X16" s="99">
        <v>738</v>
      </c>
      <c r="Y16" s="99">
        <v>738</v>
      </c>
      <c r="Z16" s="99">
        <v>738</v>
      </c>
      <c r="AA16" s="99">
        <v>738</v>
      </c>
      <c r="AB16" s="99">
        <v>738</v>
      </c>
      <c r="AC16" s="99">
        <v>738</v>
      </c>
      <c r="AD16" s="99">
        <v>759</v>
      </c>
      <c r="AE16" s="99">
        <v>759</v>
      </c>
      <c r="AF16" s="99">
        <v>759</v>
      </c>
      <c r="AG16" s="99">
        <v>759</v>
      </c>
      <c r="AH16" s="99">
        <v>738</v>
      </c>
      <c r="AI16" s="99">
        <v>738</v>
      </c>
      <c r="AJ16" s="99">
        <v>738</v>
      </c>
      <c r="AK16" s="99">
        <v>759</v>
      </c>
      <c r="AL16" s="99">
        <v>759</v>
      </c>
      <c r="AM16" s="99">
        <v>759</v>
      </c>
      <c r="AN16" s="99">
        <v>759</v>
      </c>
      <c r="AO16" s="99">
        <v>759</v>
      </c>
      <c r="AP16" s="99">
        <v>759</v>
      </c>
      <c r="AQ16" s="99">
        <v>759</v>
      </c>
      <c r="AR16" s="99">
        <v>759</v>
      </c>
      <c r="AS16" s="99">
        <v>759</v>
      </c>
      <c r="AT16" s="99">
        <v>759</v>
      </c>
      <c r="AU16" s="99">
        <v>803</v>
      </c>
      <c r="AV16" s="99">
        <v>803</v>
      </c>
      <c r="AW16" s="99">
        <v>738</v>
      </c>
      <c r="AX16" s="99">
        <v>738</v>
      </c>
      <c r="AY16" s="99">
        <v>738</v>
      </c>
      <c r="AZ16" s="99">
        <v>738</v>
      </c>
      <c r="BA16" s="99">
        <v>738</v>
      </c>
      <c r="BB16" s="99">
        <v>759</v>
      </c>
      <c r="BC16" s="99">
        <v>759</v>
      </c>
      <c r="BD16" s="99">
        <v>759</v>
      </c>
      <c r="BE16" s="99">
        <v>759</v>
      </c>
      <c r="BF16" s="99">
        <v>759</v>
      </c>
      <c r="BG16" s="99">
        <v>759</v>
      </c>
      <c r="BH16" s="99">
        <v>759</v>
      </c>
      <c r="BI16" s="99">
        <v>803</v>
      </c>
      <c r="BJ16" s="99">
        <v>803</v>
      </c>
      <c r="BK16" s="99">
        <v>803</v>
      </c>
      <c r="BL16" s="99">
        <v>803</v>
      </c>
      <c r="BM16" s="99">
        <v>803</v>
      </c>
      <c r="BN16" s="99">
        <v>803</v>
      </c>
      <c r="BO16" s="99">
        <v>803</v>
      </c>
      <c r="BP16" s="99">
        <v>803</v>
      </c>
      <c r="BQ16" s="99">
        <v>803</v>
      </c>
      <c r="BR16" s="99">
        <v>803</v>
      </c>
      <c r="BS16" s="99">
        <v>803</v>
      </c>
      <c r="BT16" s="99">
        <v>803</v>
      </c>
      <c r="BU16" s="99">
        <v>803</v>
      </c>
      <c r="BV16" s="99">
        <v>803</v>
      </c>
      <c r="BW16" s="99">
        <v>803</v>
      </c>
      <c r="BX16" s="99">
        <v>803</v>
      </c>
      <c r="BY16" s="99">
        <v>893</v>
      </c>
      <c r="BZ16" s="99">
        <v>893</v>
      </c>
      <c r="CA16" s="99">
        <v>893</v>
      </c>
      <c r="CB16" s="99">
        <v>893</v>
      </c>
      <c r="CC16" s="99">
        <v>893</v>
      </c>
      <c r="CD16" s="99">
        <v>893</v>
      </c>
      <c r="CE16" s="99">
        <v>893</v>
      </c>
      <c r="CF16" s="99">
        <v>893</v>
      </c>
      <c r="CG16" s="99">
        <v>893</v>
      </c>
      <c r="CH16" s="99">
        <v>893</v>
      </c>
      <c r="CI16" s="99">
        <v>893</v>
      </c>
      <c r="CJ16" s="99">
        <v>893</v>
      </c>
      <c r="CK16" s="99">
        <v>893</v>
      </c>
      <c r="CL16" s="99">
        <v>893</v>
      </c>
      <c r="CM16" s="99">
        <v>893</v>
      </c>
      <c r="CN16" s="99">
        <v>893</v>
      </c>
      <c r="CO16" s="99">
        <v>893</v>
      </c>
      <c r="CP16" s="99">
        <v>893</v>
      </c>
      <c r="CQ16" s="99">
        <v>893</v>
      </c>
      <c r="CR16" s="99">
        <v>893</v>
      </c>
      <c r="CS16" s="99">
        <v>893</v>
      </c>
      <c r="CT16" s="99">
        <v>893</v>
      </c>
      <c r="CU16" s="99">
        <v>893</v>
      </c>
      <c r="CV16" s="99">
        <v>893</v>
      </c>
      <c r="CW16" s="99">
        <v>893</v>
      </c>
      <c r="CX16" s="99">
        <v>893</v>
      </c>
      <c r="CY16" s="99">
        <v>893</v>
      </c>
    </row>
    <row r="17" spans="1:103" ht="15" customHeight="1">
      <c r="A17" s="2">
        <v>4200</v>
      </c>
      <c r="B17" s="2">
        <v>2.4</v>
      </c>
      <c r="C17" s="2">
        <v>6</v>
      </c>
      <c r="D17" s="2"/>
      <c r="E17" s="99">
        <v>743</v>
      </c>
      <c r="F17" s="99">
        <v>743</v>
      </c>
      <c r="G17" s="99">
        <v>743</v>
      </c>
      <c r="H17" s="99">
        <v>743</v>
      </c>
      <c r="I17" s="99">
        <v>743</v>
      </c>
      <c r="J17" s="99">
        <v>743</v>
      </c>
      <c r="K17" s="99">
        <v>743</v>
      </c>
      <c r="L17" s="99">
        <v>743</v>
      </c>
      <c r="M17" s="99">
        <v>743</v>
      </c>
      <c r="N17" s="99">
        <v>743</v>
      </c>
      <c r="O17" s="99">
        <v>776</v>
      </c>
      <c r="P17" s="99">
        <v>776</v>
      </c>
      <c r="Q17" s="99">
        <v>776</v>
      </c>
      <c r="R17" s="99">
        <v>776</v>
      </c>
      <c r="S17" s="99">
        <v>818</v>
      </c>
      <c r="T17" s="99">
        <v>776</v>
      </c>
      <c r="U17" s="99">
        <v>776</v>
      </c>
      <c r="V17" s="99">
        <v>818</v>
      </c>
      <c r="W17" s="99">
        <v>818</v>
      </c>
      <c r="X17" s="99">
        <v>818</v>
      </c>
      <c r="Y17" s="99">
        <v>818</v>
      </c>
      <c r="Z17" s="99">
        <v>818</v>
      </c>
      <c r="AA17" s="99">
        <v>818</v>
      </c>
      <c r="AB17" s="99">
        <v>818</v>
      </c>
      <c r="AC17" s="99">
        <v>818</v>
      </c>
      <c r="AD17" s="99">
        <v>827</v>
      </c>
      <c r="AE17" s="99">
        <v>827</v>
      </c>
      <c r="AF17" s="99">
        <v>827</v>
      </c>
      <c r="AG17" s="99">
        <v>827</v>
      </c>
      <c r="AH17" s="99">
        <v>818</v>
      </c>
      <c r="AI17" s="99">
        <v>818</v>
      </c>
      <c r="AJ17" s="99">
        <v>818</v>
      </c>
      <c r="AK17" s="99">
        <v>827</v>
      </c>
      <c r="AL17" s="99">
        <v>827</v>
      </c>
      <c r="AM17" s="99">
        <v>827</v>
      </c>
      <c r="AN17" s="99">
        <v>827</v>
      </c>
      <c r="AO17" s="99">
        <v>827</v>
      </c>
      <c r="AP17" s="99">
        <v>827</v>
      </c>
      <c r="AQ17" s="99">
        <v>827</v>
      </c>
      <c r="AR17" s="99">
        <v>827</v>
      </c>
      <c r="AS17" s="99">
        <v>827</v>
      </c>
      <c r="AT17" s="99">
        <v>827</v>
      </c>
      <c r="AU17" s="99">
        <v>890</v>
      </c>
      <c r="AV17" s="99">
        <v>890</v>
      </c>
      <c r="AW17" s="99">
        <v>818</v>
      </c>
      <c r="AX17" s="99">
        <v>818</v>
      </c>
      <c r="AY17" s="99">
        <v>818</v>
      </c>
      <c r="AZ17" s="99">
        <v>818</v>
      </c>
      <c r="BA17" s="99">
        <v>818</v>
      </c>
      <c r="BB17" s="99">
        <v>827</v>
      </c>
      <c r="BC17" s="99">
        <v>827</v>
      </c>
      <c r="BD17" s="99">
        <v>827</v>
      </c>
      <c r="BE17" s="99">
        <v>827</v>
      </c>
      <c r="BF17" s="99">
        <v>827</v>
      </c>
      <c r="BG17" s="99">
        <v>827</v>
      </c>
      <c r="BH17" s="99">
        <v>827</v>
      </c>
      <c r="BI17" s="99">
        <v>890</v>
      </c>
      <c r="BJ17" s="99">
        <v>890</v>
      </c>
      <c r="BK17" s="99">
        <v>890</v>
      </c>
      <c r="BL17" s="99">
        <v>890</v>
      </c>
      <c r="BM17" s="99">
        <v>890</v>
      </c>
      <c r="BN17" s="99">
        <v>890</v>
      </c>
      <c r="BO17" s="99">
        <v>890</v>
      </c>
      <c r="BP17" s="99">
        <v>890</v>
      </c>
      <c r="BQ17" s="99">
        <v>890</v>
      </c>
      <c r="BR17" s="99">
        <v>890</v>
      </c>
      <c r="BS17" s="99">
        <v>890</v>
      </c>
      <c r="BT17" s="99">
        <v>890</v>
      </c>
      <c r="BU17" s="99">
        <v>890</v>
      </c>
      <c r="BV17" s="99">
        <v>890</v>
      </c>
      <c r="BW17" s="99">
        <v>890</v>
      </c>
      <c r="BX17" s="99">
        <v>890</v>
      </c>
      <c r="BY17" s="99">
        <v>993</v>
      </c>
      <c r="BZ17" s="99">
        <v>993</v>
      </c>
      <c r="CA17" s="99">
        <v>993</v>
      </c>
      <c r="CB17" s="99">
        <v>993</v>
      </c>
      <c r="CC17" s="99">
        <v>993</v>
      </c>
      <c r="CD17" s="99">
        <v>993</v>
      </c>
      <c r="CE17" s="99">
        <v>993</v>
      </c>
      <c r="CF17" s="99">
        <v>993</v>
      </c>
      <c r="CG17" s="99">
        <v>993</v>
      </c>
      <c r="CH17" s="99">
        <v>993</v>
      </c>
      <c r="CI17" s="99">
        <v>993</v>
      </c>
      <c r="CJ17" s="99">
        <v>993</v>
      </c>
      <c r="CK17" s="99">
        <v>993</v>
      </c>
      <c r="CL17" s="99">
        <v>993</v>
      </c>
      <c r="CM17" s="99">
        <v>993</v>
      </c>
      <c r="CN17" s="99">
        <v>993</v>
      </c>
      <c r="CO17" s="99">
        <v>993</v>
      </c>
      <c r="CP17" s="99">
        <v>993</v>
      </c>
      <c r="CQ17" s="99">
        <v>993</v>
      </c>
      <c r="CR17" s="99">
        <v>993</v>
      </c>
      <c r="CS17" s="99">
        <v>993</v>
      </c>
      <c r="CT17" s="99">
        <v>993</v>
      </c>
      <c r="CU17" s="99">
        <v>993</v>
      </c>
      <c r="CV17" s="99">
        <v>993</v>
      </c>
      <c r="CW17" s="99">
        <v>993</v>
      </c>
      <c r="CX17" s="99">
        <v>993</v>
      </c>
      <c r="CY17" s="99">
        <v>993</v>
      </c>
    </row>
    <row r="18" spans="1:103" ht="15" customHeight="1">
      <c r="A18" s="2">
        <v>4375</v>
      </c>
      <c r="B18" s="2">
        <v>2.5</v>
      </c>
      <c r="C18" s="2"/>
      <c r="D18" s="2">
        <v>5</v>
      </c>
      <c r="E18" s="99">
        <v>769</v>
      </c>
      <c r="F18" s="99">
        <v>769</v>
      </c>
      <c r="G18" s="99">
        <v>769</v>
      </c>
      <c r="H18" s="99">
        <v>769</v>
      </c>
      <c r="I18" s="99">
        <v>769</v>
      </c>
      <c r="J18" s="99">
        <v>769</v>
      </c>
      <c r="K18" s="99">
        <v>769</v>
      </c>
      <c r="L18" s="99">
        <v>769</v>
      </c>
      <c r="M18" s="99">
        <v>769</v>
      </c>
      <c r="N18" s="99">
        <v>769</v>
      </c>
      <c r="O18" s="99">
        <v>798</v>
      </c>
      <c r="P18" s="99">
        <v>798</v>
      </c>
      <c r="Q18" s="99">
        <v>798</v>
      </c>
      <c r="R18" s="99">
        <v>798</v>
      </c>
      <c r="S18" s="99">
        <v>840</v>
      </c>
      <c r="T18" s="99">
        <v>798</v>
      </c>
      <c r="U18" s="99">
        <v>798</v>
      </c>
      <c r="V18" s="99">
        <v>840</v>
      </c>
      <c r="W18" s="99">
        <v>840</v>
      </c>
      <c r="X18" s="99">
        <v>840</v>
      </c>
      <c r="Y18" s="99">
        <v>840</v>
      </c>
      <c r="Z18" s="99">
        <v>840</v>
      </c>
      <c r="AA18" s="99">
        <v>840</v>
      </c>
      <c r="AB18" s="99">
        <v>840</v>
      </c>
      <c r="AC18" s="99">
        <v>840</v>
      </c>
      <c r="AD18" s="99">
        <v>853</v>
      </c>
      <c r="AE18" s="99">
        <v>853</v>
      </c>
      <c r="AF18" s="99">
        <v>853</v>
      </c>
      <c r="AG18" s="99">
        <v>853</v>
      </c>
      <c r="AH18" s="99">
        <v>840</v>
      </c>
      <c r="AI18" s="99">
        <v>840</v>
      </c>
      <c r="AJ18" s="99">
        <v>840</v>
      </c>
      <c r="AK18" s="99">
        <v>853</v>
      </c>
      <c r="AL18" s="99">
        <v>853</v>
      </c>
      <c r="AM18" s="99">
        <v>853</v>
      </c>
      <c r="AN18" s="99">
        <v>853</v>
      </c>
      <c r="AO18" s="99">
        <v>853</v>
      </c>
      <c r="AP18" s="99">
        <v>853</v>
      </c>
      <c r="AQ18" s="99">
        <v>853</v>
      </c>
      <c r="AR18" s="99">
        <v>853</v>
      </c>
      <c r="AS18" s="99">
        <v>853</v>
      </c>
      <c r="AT18" s="99">
        <v>853</v>
      </c>
      <c r="AU18" s="99">
        <v>913</v>
      </c>
      <c r="AV18" s="99">
        <v>913</v>
      </c>
      <c r="AW18" s="99">
        <v>840</v>
      </c>
      <c r="AX18" s="99">
        <v>840</v>
      </c>
      <c r="AY18" s="99">
        <v>840</v>
      </c>
      <c r="AZ18" s="99">
        <v>840</v>
      </c>
      <c r="BA18" s="99">
        <v>840</v>
      </c>
      <c r="BB18" s="99">
        <v>853</v>
      </c>
      <c r="BC18" s="99">
        <v>853</v>
      </c>
      <c r="BD18" s="99">
        <v>853</v>
      </c>
      <c r="BE18" s="99">
        <v>853</v>
      </c>
      <c r="BF18" s="99">
        <v>853</v>
      </c>
      <c r="BG18" s="99">
        <v>853</v>
      </c>
      <c r="BH18" s="99">
        <v>853</v>
      </c>
      <c r="BI18" s="99">
        <v>913</v>
      </c>
      <c r="BJ18" s="99">
        <v>913</v>
      </c>
      <c r="BK18" s="99">
        <v>913</v>
      </c>
      <c r="BL18" s="99">
        <v>913</v>
      </c>
      <c r="BM18" s="99">
        <v>913</v>
      </c>
      <c r="BN18" s="99">
        <v>913</v>
      </c>
      <c r="BO18" s="99">
        <v>913</v>
      </c>
      <c r="BP18" s="99">
        <v>913</v>
      </c>
      <c r="BQ18" s="99">
        <v>913</v>
      </c>
      <c r="BR18" s="99">
        <v>913</v>
      </c>
      <c r="BS18" s="99">
        <v>913</v>
      </c>
      <c r="BT18" s="99">
        <v>913</v>
      </c>
      <c r="BU18" s="99">
        <v>913</v>
      </c>
      <c r="BV18" s="99">
        <v>913</v>
      </c>
      <c r="BW18" s="99">
        <v>913</v>
      </c>
      <c r="BX18" s="99">
        <v>913</v>
      </c>
      <c r="BY18" s="99">
        <v>1025</v>
      </c>
      <c r="BZ18" s="99">
        <v>1025</v>
      </c>
      <c r="CA18" s="99">
        <v>1025</v>
      </c>
      <c r="CB18" s="99">
        <v>1025</v>
      </c>
      <c r="CC18" s="99">
        <v>1025</v>
      </c>
      <c r="CD18" s="99">
        <v>1025</v>
      </c>
      <c r="CE18" s="99">
        <v>1025</v>
      </c>
      <c r="CF18" s="99">
        <v>1025</v>
      </c>
      <c r="CG18" s="99">
        <v>1025</v>
      </c>
      <c r="CH18" s="99">
        <v>1025</v>
      </c>
      <c r="CI18" s="99">
        <v>1025</v>
      </c>
      <c r="CJ18" s="99">
        <v>1025</v>
      </c>
      <c r="CK18" s="99">
        <v>1025</v>
      </c>
      <c r="CL18" s="99">
        <v>1025</v>
      </c>
      <c r="CM18" s="99">
        <v>1025</v>
      </c>
      <c r="CN18" s="99">
        <v>1025</v>
      </c>
      <c r="CO18" s="99">
        <v>1025</v>
      </c>
      <c r="CP18" s="99">
        <v>1025</v>
      </c>
      <c r="CQ18" s="99">
        <v>1025</v>
      </c>
      <c r="CR18" s="99">
        <v>1025</v>
      </c>
      <c r="CS18" s="99">
        <v>1025</v>
      </c>
      <c r="CT18" s="99">
        <v>1025</v>
      </c>
      <c r="CU18" s="99">
        <v>1025</v>
      </c>
      <c r="CV18" s="99">
        <v>1025</v>
      </c>
      <c r="CW18" s="99">
        <v>1025</v>
      </c>
      <c r="CX18" s="99">
        <v>1025</v>
      </c>
      <c r="CY18" s="99">
        <v>1025</v>
      </c>
    </row>
    <row r="19" spans="1:103" ht="15" customHeight="1">
      <c r="A19" s="2">
        <v>4900</v>
      </c>
      <c r="B19" s="2">
        <v>2.8</v>
      </c>
      <c r="C19" s="2">
        <v>7</v>
      </c>
      <c r="D19" s="2"/>
      <c r="E19" s="99">
        <v>792</v>
      </c>
      <c r="F19" s="99">
        <v>792</v>
      </c>
      <c r="G19" s="99">
        <v>792</v>
      </c>
      <c r="H19" s="99">
        <v>792</v>
      </c>
      <c r="I19" s="99">
        <v>792</v>
      </c>
      <c r="J19" s="99">
        <v>792</v>
      </c>
      <c r="K19" s="99">
        <v>792</v>
      </c>
      <c r="L19" s="99">
        <v>792</v>
      </c>
      <c r="M19" s="99">
        <v>792</v>
      </c>
      <c r="N19" s="99">
        <v>792</v>
      </c>
      <c r="O19" s="99">
        <v>812</v>
      </c>
      <c r="P19" s="99">
        <v>812</v>
      </c>
      <c r="Q19" s="99">
        <v>812</v>
      </c>
      <c r="R19" s="99">
        <v>812</v>
      </c>
      <c r="S19" s="99">
        <v>854</v>
      </c>
      <c r="T19" s="99">
        <v>812</v>
      </c>
      <c r="U19" s="99">
        <v>812</v>
      </c>
      <c r="V19" s="99">
        <v>854</v>
      </c>
      <c r="W19" s="99">
        <v>854</v>
      </c>
      <c r="X19" s="99">
        <v>854</v>
      </c>
      <c r="Y19" s="99">
        <v>854</v>
      </c>
      <c r="Z19" s="99">
        <v>854</v>
      </c>
      <c r="AA19" s="99">
        <v>854</v>
      </c>
      <c r="AB19" s="99">
        <v>854</v>
      </c>
      <c r="AC19" s="99">
        <v>854</v>
      </c>
      <c r="AD19" s="99">
        <v>880</v>
      </c>
      <c r="AE19" s="99">
        <v>880</v>
      </c>
      <c r="AF19" s="99">
        <v>880</v>
      </c>
      <c r="AG19" s="99">
        <v>880</v>
      </c>
      <c r="AH19" s="99">
        <v>854</v>
      </c>
      <c r="AI19" s="99">
        <v>854</v>
      </c>
      <c r="AJ19" s="99">
        <v>854</v>
      </c>
      <c r="AK19" s="99">
        <v>880</v>
      </c>
      <c r="AL19" s="99">
        <v>880</v>
      </c>
      <c r="AM19" s="99">
        <v>880</v>
      </c>
      <c r="AN19" s="99">
        <v>880</v>
      </c>
      <c r="AO19" s="99">
        <v>880</v>
      </c>
      <c r="AP19" s="99">
        <v>880</v>
      </c>
      <c r="AQ19" s="99">
        <v>880</v>
      </c>
      <c r="AR19" s="99">
        <v>880</v>
      </c>
      <c r="AS19" s="99">
        <v>880</v>
      </c>
      <c r="AT19" s="99">
        <v>880</v>
      </c>
      <c r="AU19" s="99">
        <v>927</v>
      </c>
      <c r="AV19" s="99">
        <v>927</v>
      </c>
      <c r="AW19" s="99">
        <v>854</v>
      </c>
      <c r="AX19" s="99">
        <v>854</v>
      </c>
      <c r="AY19" s="99">
        <v>854</v>
      </c>
      <c r="AZ19" s="99">
        <v>854</v>
      </c>
      <c r="BA19" s="99">
        <v>854</v>
      </c>
      <c r="BB19" s="99">
        <v>880</v>
      </c>
      <c r="BC19" s="99">
        <v>880</v>
      </c>
      <c r="BD19" s="99">
        <v>880</v>
      </c>
      <c r="BE19" s="99">
        <v>880</v>
      </c>
      <c r="BF19" s="99">
        <v>880</v>
      </c>
      <c r="BG19" s="99">
        <v>880</v>
      </c>
      <c r="BH19" s="99">
        <v>880</v>
      </c>
      <c r="BI19" s="99">
        <v>927</v>
      </c>
      <c r="BJ19" s="99">
        <v>927</v>
      </c>
      <c r="BK19" s="99">
        <v>927</v>
      </c>
      <c r="BL19" s="99">
        <v>927</v>
      </c>
      <c r="BM19" s="99">
        <v>927</v>
      </c>
      <c r="BN19" s="99">
        <v>927</v>
      </c>
      <c r="BO19" s="99">
        <v>927</v>
      </c>
      <c r="BP19" s="99">
        <v>927</v>
      </c>
      <c r="BQ19" s="99">
        <v>927</v>
      </c>
      <c r="BR19" s="99">
        <v>927</v>
      </c>
      <c r="BS19" s="99">
        <v>927</v>
      </c>
      <c r="BT19" s="99">
        <v>927</v>
      </c>
      <c r="BU19" s="99">
        <v>927</v>
      </c>
      <c r="BV19" s="99">
        <v>927</v>
      </c>
      <c r="BW19" s="99">
        <v>927</v>
      </c>
      <c r="BX19" s="99">
        <v>927</v>
      </c>
      <c r="BY19" s="99">
        <v>1067</v>
      </c>
      <c r="BZ19" s="99">
        <v>1067</v>
      </c>
      <c r="CA19" s="99">
        <v>1067</v>
      </c>
      <c r="CB19" s="99">
        <v>1067</v>
      </c>
      <c r="CC19" s="99">
        <v>1067</v>
      </c>
      <c r="CD19" s="99">
        <v>1067</v>
      </c>
      <c r="CE19" s="99">
        <v>1067</v>
      </c>
      <c r="CF19" s="99">
        <v>1067</v>
      </c>
      <c r="CG19" s="99">
        <v>1067</v>
      </c>
      <c r="CH19" s="99">
        <v>1067</v>
      </c>
      <c r="CI19" s="99">
        <v>1067</v>
      </c>
      <c r="CJ19" s="99">
        <v>1067</v>
      </c>
      <c r="CK19" s="99">
        <v>1067</v>
      </c>
      <c r="CL19" s="99">
        <v>1067</v>
      </c>
      <c r="CM19" s="99">
        <v>1067</v>
      </c>
      <c r="CN19" s="99">
        <v>1067</v>
      </c>
      <c r="CO19" s="99">
        <v>1067</v>
      </c>
      <c r="CP19" s="99">
        <v>1067</v>
      </c>
      <c r="CQ19" s="99">
        <v>1067</v>
      </c>
      <c r="CR19" s="99">
        <v>1067</v>
      </c>
      <c r="CS19" s="99">
        <v>1067</v>
      </c>
      <c r="CT19" s="99">
        <v>1067</v>
      </c>
      <c r="CU19" s="99">
        <v>1067</v>
      </c>
      <c r="CV19" s="99">
        <v>1067</v>
      </c>
      <c r="CW19" s="99">
        <v>1067</v>
      </c>
      <c r="CX19" s="99">
        <v>1067</v>
      </c>
      <c r="CY19" s="99">
        <v>1067</v>
      </c>
    </row>
    <row r="20" spans="1:103" ht="15" customHeight="1">
      <c r="A20" s="2">
        <v>5250</v>
      </c>
      <c r="B20" s="2">
        <v>3</v>
      </c>
      <c r="C20" s="2"/>
      <c r="D20" s="2">
        <v>6</v>
      </c>
      <c r="E20" s="99">
        <v>832</v>
      </c>
      <c r="F20" s="99">
        <v>832</v>
      </c>
      <c r="G20" s="99">
        <v>832</v>
      </c>
      <c r="H20" s="99">
        <v>832</v>
      </c>
      <c r="I20" s="99">
        <v>832</v>
      </c>
      <c r="J20" s="99">
        <v>832</v>
      </c>
      <c r="K20" s="99">
        <v>832</v>
      </c>
      <c r="L20" s="99">
        <v>832</v>
      </c>
      <c r="M20" s="99">
        <v>832</v>
      </c>
      <c r="N20" s="99">
        <v>832</v>
      </c>
      <c r="O20" s="99">
        <v>864</v>
      </c>
      <c r="P20" s="99">
        <v>864</v>
      </c>
      <c r="Q20" s="99">
        <v>864</v>
      </c>
      <c r="R20" s="99">
        <v>864</v>
      </c>
      <c r="S20" s="99">
        <v>899</v>
      </c>
      <c r="T20" s="99">
        <v>864</v>
      </c>
      <c r="U20" s="99">
        <v>864</v>
      </c>
      <c r="V20" s="99">
        <v>899</v>
      </c>
      <c r="W20" s="99">
        <v>899</v>
      </c>
      <c r="X20" s="99">
        <v>899</v>
      </c>
      <c r="Y20" s="99">
        <v>899</v>
      </c>
      <c r="Z20" s="99">
        <v>899</v>
      </c>
      <c r="AA20" s="99">
        <v>899</v>
      </c>
      <c r="AB20" s="99">
        <v>899</v>
      </c>
      <c r="AC20" s="99">
        <v>899</v>
      </c>
      <c r="AD20" s="99">
        <v>923</v>
      </c>
      <c r="AE20" s="99">
        <v>923</v>
      </c>
      <c r="AF20" s="99">
        <v>923</v>
      </c>
      <c r="AG20" s="99">
        <v>923</v>
      </c>
      <c r="AH20" s="99">
        <v>899</v>
      </c>
      <c r="AI20" s="99">
        <v>899</v>
      </c>
      <c r="AJ20" s="99">
        <v>899</v>
      </c>
      <c r="AK20" s="99">
        <v>923</v>
      </c>
      <c r="AL20" s="99">
        <v>923</v>
      </c>
      <c r="AM20" s="99">
        <v>923</v>
      </c>
      <c r="AN20" s="99">
        <v>923</v>
      </c>
      <c r="AO20" s="99">
        <v>923</v>
      </c>
      <c r="AP20" s="99">
        <v>923</v>
      </c>
      <c r="AQ20" s="99">
        <v>923</v>
      </c>
      <c r="AR20" s="99">
        <v>923</v>
      </c>
      <c r="AS20" s="99">
        <v>923</v>
      </c>
      <c r="AT20" s="99">
        <v>923</v>
      </c>
      <c r="AU20" s="99">
        <v>979</v>
      </c>
      <c r="AV20" s="99">
        <v>979</v>
      </c>
      <c r="AW20" s="99">
        <v>899</v>
      </c>
      <c r="AX20" s="99">
        <v>899</v>
      </c>
      <c r="AY20" s="99">
        <v>899</v>
      </c>
      <c r="AZ20" s="99">
        <v>899</v>
      </c>
      <c r="BA20" s="99">
        <v>899</v>
      </c>
      <c r="BB20" s="99">
        <v>923</v>
      </c>
      <c r="BC20" s="99">
        <v>923</v>
      </c>
      <c r="BD20" s="99">
        <v>923</v>
      </c>
      <c r="BE20" s="99">
        <v>923</v>
      </c>
      <c r="BF20" s="99">
        <v>923</v>
      </c>
      <c r="BG20" s="99">
        <v>923</v>
      </c>
      <c r="BH20" s="99">
        <v>923</v>
      </c>
      <c r="BI20" s="99">
        <v>979</v>
      </c>
      <c r="BJ20" s="99">
        <v>979</v>
      </c>
      <c r="BK20" s="99">
        <v>979</v>
      </c>
      <c r="BL20" s="99">
        <v>979</v>
      </c>
      <c r="BM20" s="99">
        <v>979</v>
      </c>
      <c r="BN20" s="99">
        <v>979</v>
      </c>
      <c r="BO20" s="99">
        <v>979</v>
      </c>
      <c r="BP20" s="99">
        <v>979</v>
      </c>
      <c r="BQ20" s="99">
        <v>979</v>
      </c>
      <c r="BR20" s="99">
        <v>979</v>
      </c>
      <c r="BS20" s="99">
        <v>979</v>
      </c>
      <c r="BT20" s="99">
        <v>979</v>
      </c>
      <c r="BU20" s="99">
        <v>979</v>
      </c>
      <c r="BV20" s="99">
        <v>979</v>
      </c>
      <c r="BW20" s="99">
        <v>979</v>
      </c>
      <c r="BX20" s="99">
        <v>979</v>
      </c>
      <c r="BY20" s="99">
        <v>1132</v>
      </c>
      <c r="BZ20" s="99">
        <v>1132</v>
      </c>
      <c r="CA20" s="99">
        <v>1132</v>
      </c>
      <c r="CB20" s="99">
        <v>1132</v>
      </c>
      <c r="CC20" s="99">
        <v>1132</v>
      </c>
      <c r="CD20" s="99">
        <v>1132</v>
      </c>
      <c r="CE20" s="99">
        <v>1132</v>
      </c>
      <c r="CF20" s="99">
        <v>1132</v>
      </c>
      <c r="CG20" s="99">
        <v>1132</v>
      </c>
      <c r="CH20" s="99">
        <v>1132</v>
      </c>
      <c r="CI20" s="99">
        <v>1132</v>
      </c>
      <c r="CJ20" s="99">
        <v>1132</v>
      </c>
      <c r="CK20" s="99">
        <v>1132</v>
      </c>
      <c r="CL20" s="99">
        <v>1132</v>
      </c>
      <c r="CM20" s="99">
        <v>1132</v>
      </c>
      <c r="CN20" s="99">
        <v>1132</v>
      </c>
      <c r="CO20" s="99">
        <v>1132</v>
      </c>
      <c r="CP20" s="99">
        <v>1132</v>
      </c>
      <c r="CQ20" s="99">
        <v>1132</v>
      </c>
      <c r="CR20" s="99">
        <v>1132</v>
      </c>
      <c r="CS20" s="99">
        <v>1132</v>
      </c>
      <c r="CT20" s="99">
        <v>1132</v>
      </c>
      <c r="CU20" s="99">
        <v>1132</v>
      </c>
      <c r="CV20" s="99">
        <v>1132</v>
      </c>
      <c r="CW20" s="99">
        <v>1132</v>
      </c>
      <c r="CX20" s="99">
        <v>1132</v>
      </c>
      <c r="CY20" s="99">
        <v>1132</v>
      </c>
    </row>
    <row r="21" spans="1:103" ht="15" customHeight="1">
      <c r="A21" s="2">
        <v>5600</v>
      </c>
      <c r="B21" s="2">
        <v>3.2</v>
      </c>
      <c r="C21" s="2">
        <v>8</v>
      </c>
      <c r="D21" s="2"/>
      <c r="E21" s="99">
        <v>872</v>
      </c>
      <c r="F21" s="99">
        <v>872</v>
      </c>
      <c r="G21" s="99">
        <v>872</v>
      </c>
      <c r="H21" s="99">
        <v>872</v>
      </c>
      <c r="I21" s="99">
        <v>872</v>
      </c>
      <c r="J21" s="99">
        <v>872</v>
      </c>
      <c r="K21" s="99">
        <v>872</v>
      </c>
      <c r="L21" s="99">
        <v>872</v>
      </c>
      <c r="M21" s="99">
        <v>872</v>
      </c>
      <c r="N21" s="99">
        <v>872</v>
      </c>
      <c r="O21" s="99">
        <v>913</v>
      </c>
      <c r="P21" s="99">
        <v>913</v>
      </c>
      <c r="Q21" s="99">
        <v>913</v>
      </c>
      <c r="R21" s="99">
        <v>913</v>
      </c>
      <c r="S21" s="99">
        <v>946</v>
      </c>
      <c r="T21" s="99">
        <v>913</v>
      </c>
      <c r="U21" s="99">
        <v>913</v>
      </c>
      <c r="V21" s="99">
        <v>946</v>
      </c>
      <c r="W21" s="99">
        <v>946</v>
      </c>
      <c r="X21" s="99">
        <v>946</v>
      </c>
      <c r="Y21" s="99">
        <v>946</v>
      </c>
      <c r="Z21" s="99">
        <v>946</v>
      </c>
      <c r="AA21" s="99">
        <v>946</v>
      </c>
      <c r="AB21" s="99">
        <v>946</v>
      </c>
      <c r="AC21" s="99">
        <v>946</v>
      </c>
      <c r="AD21" s="99">
        <v>966</v>
      </c>
      <c r="AE21" s="99">
        <v>966</v>
      </c>
      <c r="AF21" s="99">
        <v>966</v>
      </c>
      <c r="AG21" s="99">
        <v>966</v>
      </c>
      <c r="AH21" s="99">
        <v>946</v>
      </c>
      <c r="AI21" s="99">
        <v>946</v>
      </c>
      <c r="AJ21" s="99">
        <v>946</v>
      </c>
      <c r="AK21" s="99">
        <v>966</v>
      </c>
      <c r="AL21" s="99">
        <v>966</v>
      </c>
      <c r="AM21" s="99">
        <v>966</v>
      </c>
      <c r="AN21" s="99">
        <v>966</v>
      </c>
      <c r="AO21" s="99">
        <v>966</v>
      </c>
      <c r="AP21" s="99">
        <v>966</v>
      </c>
      <c r="AQ21" s="99">
        <v>966</v>
      </c>
      <c r="AR21" s="99">
        <v>966</v>
      </c>
      <c r="AS21" s="99">
        <v>966</v>
      </c>
      <c r="AT21" s="99">
        <v>966</v>
      </c>
      <c r="AU21" s="99">
        <v>1029</v>
      </c>
      <c r="AV21" s="99">
        <v>1029</v>
      </c>
      <c r="AW21" s="99">
        <v>946</v>
      </c>
      <c r="AX21" s="99">
        <v>946</v>
      </c>
      <c r="AY21" s="99">
        <v>946</v>
      </c>
      <c r="AZ21" s="99">
        <v>946</v>
      </c>
      <c r="BA21" s="99">
        <v>946</v>
      </c>
      <c r="BB21" s="99">
        <v>966</v>
      </c>
      <c r="BC21" s="99">
        <v>966</v>
      </c>
      <c r="BD21" s="99">
        <v>966</v>
      </c>
      <c r="BE21" s="99">
        <v>966</v>
      </c>
      <c r="BF21" s="99">
        <v>966</v>
      </c>
      <c r="BG21" s="99">
        <v>966</v>
      </c>
      <c r="BH21" s="99">
        <v>966</v>
      </c>
      <c r="BI21" s="99">
        <v>1029</v>
      </c>
      <c r="BJ21" s="99">
        <v>1029</v>
      </c>
      <c r="BK21" s="99">
        <v>1029</v>
      </c>
      <c r="BL21" s="99">
        <v>1029</v>
      </c>
      <c r="BM21" s="99">
        <v>1029</v>
      </c>
      <c r="BN21" s="99">
        <v>1029</v>
      </c>
      <c r="BO21" s="99">
        <v>1029</v>
      </c>
      <c r="BP21" s="99">
        <v>1029</v>
      </c>
      <c r="BQ21" s="99">
        <v>1029</v>
      </c>
      <c r="BR21" s="99">
        <v>1029</v>
      </c>
      <c r="BS21" s="99">
        <v>1029</v>
      </c>
      <c r="BT21" s="99">
        <v>1029</v>
      </c>
      <c r="BU21" s="99">
        <v>1029</v>
      </c>
      <c r="BV21" s="99">
        <v>1029</v>
      </c>
      <c r="BW21" s="99">
        <v>1029</v>
      </c>
      <c r="BX21" s="99">
        <v>1029</v>
      </c>
      <c r="BY21" s="99">
        <v>1195</v>
      </c>
      <c r="BZ21" s="99">
        <v>1195</v>
      </c>
      <c r="CA21" s="99">
        <v>1195</v>
      </c>
      <c r="CB21" s="99">
        <v>1195</v>
      </c>
      <c r="CC21" s="99">
        <v>1195</v>
      </c>
      <c r="CD21" s="99">
        <v>1195</v>
      </c>
      <c r="CE21" s="99">
        <v>1195</v>
      </c>
      <c r="CF21" s="99">
        <v>1195</v>
      </c>
      <c r="CG21" s="99">
        <v>1195</v>
      </c>
      <c r="CH21" s="99">
        <v>1195</v>
      </c>
      <c r="CI21" s="99">
        <v>1195</v>
      </c>
      <c r="CJ21" s="99">
        <v>1195</v>
      </c>
      <c r="CK21" s="99">
        <v>1195</v>
      </c>
      <c r="CL21" s="99">
        <v>1195</v>
      </c>
      <c r="CM21" s="99">
        <v>1195</v>
      </c>
      <c r="CN21" s="99">
        <v>1195</v>
      </c>
      <c r="CO21" s="99">
        <v>1195</v>
      </c>
      <c r="CP21" s="99">
        <v>1195</v>
      </c>
      <c r="CQ21" s="99">
        <v>1195</v>
      </c>
      <c r="CR21" s="99">
        <v>1195</v>
      </c>
      <c r="CS21" s="99">
        <v>1195</v>
      </c>
      <c r="CT21" s="99">
        <v>1195</v>
      </c>
      <c r="CU21" s="99">
        <v>1195</v>
      </c>
      <c r="CV21" s="99">
        <v>1195</v>
      </c>
      <c r="CW21" s="99">
        <v>1195</v>
      </c>
      <c r="CX21" s="99">
        <v>1195</v>
      </c>
      <c r="CY21" s="99">
        <v>1195</v>
      </c>
    </row>
    <row r="22" spans="1:103" ht="15" customHeight="1">
      <c r="A22" s="2">
        <v>6125</v>
      </c>
      <c r="B22" s="2">
        <v>3.5</v>
      </c>
      <c r="C22" s="2"/>
      <c r="D22" s="2">
        <v>7</v>
      </c>
      <c r="E22" s="99">
        <v>948</v>
      </c>
      <c r="F22" s="99">
        <v>948</v>
      </c>
      <c r="G22" s="99">
        <v>948</v>
      </c>
      <c r="H22" s="99">
        <v>948</v>
      </c>
      <c r="I22" s="99">
        <v>948</v>
      </c>
      <c r="J22" s="99">
        <v>948</v>
      </c>
      <c r="K22" s="99">
        <v>948</v>
      </c>
      <c r="L22" s="99">
        <v>948</v>
      </c>
      <c r="M22" s="99">
        <v>948</v>
      </c>
      <c r="N22" s="99">
        <v>948</v>
      </c>
      <c r="O22" s="99">
        <v>973</v>
      </c>
      <c r="P22" s="99">
        <v>973</v>
      </c>
      <c r="Q22" s="99">
        <v>973</v>
      </c>
      <c r="R22" s="99">
        <v>973</v>
      </c>
      <c r="S22" s="99">
        <v>1029</v>
      </c>
      <c r="T22" s="99">
        <v>973</v>
      </c>
      <c r="U22" s="99">
        <v>973</v>
      </c>
      <c r="V22" s="99">
        <v>1029</v>
      </c>
      <c r="W22" s="99">
        <v>1029</v>
      </c>
      <c r="X22" s="99">
        <v>1029</v>
      </c>
      <c r="Y22" s="99">
        <v>1029</v>
      </c>
      <c r="Z22" s="99">
        <v>1029</v>
      </c>
      <c r="AA22" s="99">
        <v>1029</v>
      </c>
      <c r="AB22" s="99">
        <v>1029</v>
      </c>
      <c r="AC22" s="99">
        <v>1029</v>
      </c>
      <c r="AD22" s="99">
        <v>1051</v>
      </c>
      <c r="AE22" s="99">
        <v>1051</v>
      </c>
      <c r="AF22" s="99">
        <v>1051</v>
      </c>
      <c r="AG22" s="99">
        <v>1051</v>
      </c>
      <c r="AH22" s="99">
        <v>1029</v>
      </c>
      <c r="AI22" s="99">
        <v>1029</v>
      </c>
      <c r="AJ22" s="99">
        <v>1029</v>
      </c>
      <c r="AK22" s="99">
        <v>1051</v>
      </c>
      <c r="AL22" s="99">
        <v>1051</v>
      </c>
      <c r="AM22" s="99">
        <v>1051</v>
      </c>
      <c r="AN22" s="99">
        <v>1051</v>
      </c>
      <c r="AO22" s="99">
        <v>1051</v>
      </c>
      <c r="AP22" s="99">
        <v>1051</v>
      </c>
      <c r="AQ22" s="99">
        <v>1051</v>
      </c>
      <c r="AR22" s="99">
        <v>1051</v>
      </c>
      <c r="AS22" s="99">
        <v>1051</v>
      </c>
      <c r="AT22" s="99">
        <v>1051</v>
      </c>
      <c r="AU22" s="99">
        <v>1122</v>
      </c>
      <c r="AV22" s="99">
        <v>1122</v>
      </c>
      <c r="AW22" s="99">
        <v>1029</v>
      </c>
      <c r="AX22" s="99">
        <v>1029</v>
      </c>
      <c r="AY22" s="99">
        <v>1029</v>
      </c>
      <c r="AZ22" s="99">
        <v>1029</v>
      </c>
      <c r="BA22" s="99">
        <v>1029</v>
      </c>
      <c r="BB22" s="99">
        <v>1051</v>
      </c>
      <c r="BC22" s="99">
        <v>1051</v>
      </c>
      <c r="BD22" s="99">
        <v>1051</v>
      </c>
      <c r="BE22" s="99">
        <v>1051</v>
      </c>
      <c r="BF22" s="99">
        <v>1051</v>
      </c>
      <c r="BG22" s="99">
        <v>1051</v>
      </c>
      <c r="BH22" s="99">
        <v>1051</v>
      </c>
      <c r="BI22" s="99">
        <v>1122</v>
      </c>
      <c r="BJ22" s="99">
        <v>1122</v>
      </c>
      <c r="BK22" s="99">
        <v>1122</v>
      </c>
      <c r="BL22" s="99">
        <v>1122</v>
      </c>
      <c r="BM22" s="99">
        <v>1122</v>
      </c>
      <c r="BN22" s="99">
        <v>1122</v>
      </c>
      <c r="BO22" s="99">
        <v>1122</v>
      </c>
      <c r="BP22" s="99">
        <v>1122</v>
      </c>
      <c r="BQ22" s="99">
        <v>1122</v>
      </c>
      <c r="BR22" s="99">
        <v>1122</v>
      </c>
      <c r="BS22" s="99">
        <v>1122</v>
      </c>
      <c r="BT22" s="99">
        <v>1122</v>
      </c>
      <c r="BU22" s="99">
        <v>1122</v>
      </c>
      <c r="BV22" s="99">
        <v>1122</v>
      </c>
      <c r="BW22" s="99">
        <v>1122</v>
      </c>
      <c r="BX22" s="99">
        <v>1122</v>
      </c>
      <c r="BY22" s="99">
        <v>1292</v>
      </c>
      <c r="BZ22" s="99">
        <v>1292</v>
      </c>
      <c r="CA22" s="99">
        <v>1292</v>
      </c>
      <c r="CB22" s="99">
        <v>1292</v>
      </c>
      <c r="CC22" s="99">
        <v>1292</v>
      </c>
      <c r="CD22" s="99">
        <v>1292</v>
      </c>
      <c r="CE22" s="99">
        <v>1292</v>
      </c>
      <c r="CF22" s="99">
        <v>1292</v>
      </c>
      <c r="CG22" s="99">
        <v>1292</v>
      </c>
      <c r="CH22" s="99">
        <v>1292</v>
      </c>
      <c r="CI22" s="99">
        <v>1292</v>
      </c>
      <c r="CJ22" s="99">
        <v>1292</v>
      </c>
      <c r="CK22" s="99">
        <v>1292</v>
      </c>
      <c r="CL22" s="99">
        <v>1292</v>
      </c>
      <c r="CM22" s="99">
        <v>1292</v>
      </c>
      <c r="CN22" s="99">
        <v>1292</v>
      </c>
      <c r="CO22" s="99">
        <v>1292</v>
      </c>
      <c r="CP22" s="99">
        <v>1292</v>
      </c>
      <c r="CQ22" s="99">
        <v>1292</v>
      </c>
      <c r="CR22" s="99">
        <v>1292</v>
      </c>
      <c r="CS22" s="99">
        <v>1292</v>
      </c>
      <c r="CT22" s="99">
        <v>1292</v>
      </c>
      <c r="CU22" s="99">
        <v>1292</v>
      </c>
      <c r="CV22" s="99">
        <v>1292</v>
      </c>
      <c r="CW22" s="99">
        <v>1292</v>
      </c>
      <c r="CX22" s="99">
        <v>1292</v>
      </c>
      <c r="CY22" s="99">
        <v>1292</v>
      </c>
    </row>
    <row r="23" spans="1:103" ht="15" customHeight="1">
      <c r="A23" s="2">
        <v>6300</v>
      </c>
      <c r="B23" s="2">
        <v>3.6</v>
      </c>
      <c r="C23" s="2">
        <v>9</v>
      </c>
      <c r="D23" s="2"/>
      <c r="E23" s="99">
        <v>973</v>
      </c>
      <c r="F23" s="99">
        <v>973</v>
      </c>
      <c r="G23" s="99">
        <v>973</v>
      </c>
      <c r="H23" s="99">
        <v>973</v>
      </c>
      <c r="I23" s="99">
        <v>973</v>
      </c>
      <c r="J23" s="99">
        <v>973</v>
      </c>
      <c r="K23" s="99">
        <v>973</v>
      </c>
      <c r="L23" s="99">
        <v>973</v>
      </c>
      <c r="M23" s="99">
        <v>973</v>
      </c>
      <c r="N23" s="99">
        <v>973</v>
      </c>
      <c r="O23" s="99">
        <v>994</v>
      </c>
      <c r="P23" s="99">
        <v>994</v>
      </c>
      <c r="Q23" s="99">
        <v>994</v>
      </c>
      <c r="R23" s="99">
        <v>994</v>
      </c>
      <c r="S23" s="99">
        <v>1057</v>
      </c>
      <c r="T23" s="99">
        <v>994</v>
      </c>
      <c r="U23" s="99">
        <v>994</v>
      </c>
      <c r="V23" s="99">
        <v>1057</v>
      </c>
      <c r="W23" s="99">
        <v>1057</v>
      </c>
      <c r="X23" s="99">
        <v>1057</v>
      </c>
      <c r="Y23" s="99">
        <v>1057</v>
      </c>
      <c r="Z23" s="99">
        <v>1057</v>
      </c>
      <c r="AA23" s="99">
        <v>1057</v>
      </c>
      <c r="AB23" s="99">
        <v>1057</v>
      </c>
      <c r="AC23" s="99">
        <v>1057</v>
      </c>
      <c r="AD23" s="99">
        <v>1079</v>
      </c>
      <c r="AE23" s="99">
        <v>1079</v>
      </c>
      <c r="AF23" s="99">
        <v>1079</v>
      </c>
      <c r="AG23" s="99">
        <v>1079</v>
      </c>
      <c r="AH23" s="99">
        <v>1057</v>
      </c>
      <c r="AI23" s="99">
        <v>1057</v>
      </c>
      <c r="AJ23" s="99">
        <v>1057</v>
      </c>
      <c r="AK23" s="99">
        <v>1079</v>
      </c>
      <c r="AL23" s="99">
        <v>1079</v>
      </c>
      <c r="AM23" s="99">
        <v>1079</v>
      </c>
      <c r="AN23" s="99">
        <v>1079</v>
      </c>
      <c r="AO23" s="99">
        <v>1079</v>
      </c>
      <c r="AP23" s="99">
        <v>1079</v>
      </c>
      <c r="AQ23" s="99">
        <v>1079</v>
      </c>
      <c r="AR23" s="99">
        <v>1079</v>
      </c>
      <c r="AS23" s="99">
        <v>1079</v>
      </c>
      <c r="AT23" s="99">
        <v>1079</v>
      </c>
      <c r="AU23" s="99">
        <v>1151</v>
      </c>
      <c r="AV23" s="99">
        <v>1151</v>
      </c>
      <c r="AW23" s="99">
        <v>1057</v>
      </c>
      <c r="AX23" s="99">
        <v>1057</v>
      </c>
      <c r="AY23" s="99">
        <v>1057</v>
      </c>
      <c r="AZ23" s="99">
        <v>1057</v>
      </c>
      <c r="BA23" s="99">
        <v>1057</v>
      </c>
      <c r="BB23" s="99">
        <v>1079</v>
      </c>
      <c r="BC23" s="99">
        <v>1079</v>
      </c>
      <c r="BD23" s="99">
        <v>1079</v>
      </c>
      <c r="BE23" s="99">
        <v>1079</v>
      </c>
      <c r="BF23" s="99">
        <v>1079</v>
      </c>
      <c r="BG23" s="99">
        <v>1079</v>
      </c>
      <c r="BH23" s="99">
        <v>1079</v>
      </c>
      <c r="BI23" s="99">
        <v>1151</v>
      </c>
      <c r="BJ23" s="99">
        <v>1151</v>
      </c>
      <c r="BK23" s="99">
        <v>1151</v>
      </c>
      <c r="BL23" s="99">
        <v>1151</v>
      </c>
      <c r="BM23" s="99">
        <v>1151</v>
      </c>
      <c r="BN23" s="99">
        <v>1151</v>
      </c>
      <c r="BO23" s="99">
        <v>1151</v>
      </c>
      <c r="BP23" s="99">
        <v>1151</v>
      </c>
      <c r="BQ23" s="99">
        <v>1151</v>
      </c>
      <c r="BR23" s="99">
        <v>1151</v>
      </c>
      <c r="BS23" s="99">
        <v>1151</v>
      </c>
      <c r="BT23" s="99">
        <v>1151</v>
      </c>
      <c r="BU23" s="99">
        <v>1151</v>
      </c>
      <c r="BV23" s="99">
        <v>1151</v>
      </c>
      <c r="BW23" s="99">
        <v>1151</v>
      </c>
      <c r="BX23" s="99">
        <v>1151</v>
      </c>
      <c r="BY23" s="99">
        <v>1323</v>
      </c>
      <c r="BZ23" s="99">
        <v>1323</v>
      </c>
      <c r="CA23" s="99">
        <v>1323</v>
      </c>
      <c r="CB23" s="99">
        <v>1323</v>
      </c>
      <c r="CC23" s="99">
        <v>1323</v>
      </c>
      <c r="CD23" s="99">
        <v>1323</v>
      </c>
      <c r="CE23" s="99">
        <v>1323</v>
      </c>
      <c r="CF23" s="99">
        <v>1323</v>
      </c>
      <c r="CG23" s="99">
        <v>1323</v>
      </c>
      <c r="CH23" s="99">
        <v>1323</v>
      </c>
      <c r="CI23" s="99">
        <v>1323</v>
      </c>
      <c r="CJ23" s="99">
        <v>1323</v>
      </c>
      <c r="CK23" s="99">
        <v>1323</v>
      </c>
      <c r="CL23" s="99">
        <v>1323</v>
      </c>
      <c r="CM23" s="99">
        <v>1323</v>
      </c>
      <c r="CN23" s="99">
        <v>1323</v>
      </c>
      <c r="CO23" s="99">
        <v>1323</v>
      </c>
      <c r="CP23" s="99">
        <v>1323</v>
      </c>
      <c r="CQ23" s="99">
        <v>1323</v>
      </c>
      <c r="CR23" s="99">
        <v>1323</v>
      </c>
      <c r="CS23" s="99">
        <v>1323</v>
      </c>
      <c r="CT23" s="99">
        <v>1323</v>
      </c>
      <c r="CU23" s="99">
        <v>1323</v>
      </c>
      <c r="CV23" s="99">
        <v>1323</v>
      </c>
      <c r="CW23" s="99">
        <v>1323</v>
      </c>
      <c r="CX23" s="99">
        <v>1323</v>
      </c>
      <c r="CY23" s="99">
        <v>1323</v>
      </c>
    </row>
    <row r="24" spans="1:103" ht="15" customHeight="1">
      <c r="A24" s="2">
        <v>7000</v>
      </c>
      <c r="B24" s="2">
        <v>4</v>
      </c>
      <c r="C24" s="2">
        <v>10</v>
      </c>
      <c r="D24" s="2">
        <v>8</v>
      </c>
      <c r="E24" s="99">
        <v>1085</v>
      </c>
      <c r="F24" s="99">
        <v>1085</v>
      </c>
      <c r="G24" s="99">
        <v>1085</v>
      </c>
      <c r="H24" s="99">
        <v>1085</v>
      </c>
      <c r="I24" s="99">
        <v>1085</v>
      </c>
      <c r="J24" s="99">
        <v>1085</v>
      </c>
      <c r="K24" s="99">
        <v>1085</v>
      </c>
      <c r="L24" s="99">
        <v>1085</v>
      </c>
      <c r="M24" s="99">
        <v>1085</v>
      </c>
      <c r="N24" s="99">
        <v>1085</v>
      </c>
      <c r="O24" s="99">
        <v>1106</v>
      </c>
      <c r="P24" s="99">
        <v>1106</v>
      </c>
      <c r="Q24" s="99">
        <v>1106</v>
      </c>
      <c r="R24" s="99">
        <v>1106</v>
      </c>
      <c r="S24" s="99">
        <v>1137</v>
      </c>
      <c r="T24" s="99">
        <v>1106</v>
      </c>
      <c r="U24" s="99">
        <v>1106</v>
      </c>
      <c r="V24" s="99">
        <v>1137</v>
      </c>
      <c r="W24" s="99">
        <v>1137</v>
      </c>
      <c r="X24" s="99">
        <v>1137</v>
      </c>
      <c r="Y24" s="99">
        <v>1137</v>
      </c>
      <c r="Z24" s="99">
        <v>1137</v>
      </c>
      <c r="AA24" s="99">
        <v>1137</v>
      </c>
      <c r="AB24" s="99">
        <v>1137</v>
      </c>
      <c r="AC24" s="99">
        <v>1137</v>
      </c>
      <c r="AD24" s="99">
        <v>1179</v>
      </c>
      <c r="AE24" s="99">
        <v>1179</v>
      </c>
      <c r="AF24" s="99">
        <v>1179</v>
      </c>
      <c r="AG24" s="99">
        <v>1179</v>
      </c>
      <c r="AH24" s="99">
        <v>1137</v>
      </c>
      <c r="AI24" s="99">
        <v>1137</v>
      </c>
      <c r="AJ24" s="99">
        <v>1137</v>
      </c>
      <c r="AK24" s="99">
        <v>1179</v>
      </c>
      <c r="AL24" s="99">
        <v>1179</v>
      </c>
      <c r="AM24" s="99">
        <v>1179</v>
      </c>
      <c r="AN24" s="99">
        <v>1179</v>
      </c>
      <c r="AO24" s="99">
        <v>1179</v>
      </c>
      <c r="AP24" s="99">
        <v>1179</v>
      </c>
      <c r="AQ24" s="99">
        <v>1179</v>
      </c>
      <c r="AR24" s="99">
        <v>1179</v>
      </c>
      <c r="AS24" s="99">
        <v>1179</v>
      </c>
      <c r="AT24" s="99">
        <v>1179</v>
      </c>
      <c r="AU24" s="99">
        <v>1242</v>
      </c>
      <c r="AV24" s="99">
        <v>1242</v>
      </c>
      <c r="AW24" s="99">
        <v>1137</v>
      </c>
      <c r="AX24" s="99">
        <v>1137</v>
      </c>
      <c r="AY24" s="99">
        <v>1137</v>
      </c>
      <c r="AZ24" s="99">
        <v>1137</v>
      </c>
      <c r="BA24" s="99">
        <v>1137</v>
      </c>
      <c r="BB24" s="99">
        <v>1179</v>
      </c>
      <c r="BC24" s="99">
        <v>1179</v>
      </c>
      <c r="BD24" s="99">
        <v>1179</v>
      </c>
      <c r="BE24" s="99">
        <v>1179</v>
      </c>
      <c r="BF24" s="99">
        <v>1179</v>
      </c>
      <c r="BG24" s="99">
        <v>1179</v>
      </c>
      <c r="BH24" s="99">
        <v>1179</v>
      </c>
      <c r="BI24" s="99">
        <v>1242</v>
      </c>
      <c r="BJ24" s="99">
        <v>1242</v>
      </c>
      <c r="BK24" s="99">
        <v>1242</v>
      </c>
      <c r="BL24" s="99">
        <v>1242</v>
      </c>
      <c r="BM24" s="99">
        <v>1242</v>
      </c>
      <c r="BN24" s="99">
        <v>1242</v>
      </c>
      <c r="BO24" s="99">
        <v>1242</v>
      </c>
      <c r="BP24" s="99">
        <v>1242</v>
      </c>
      <c r="BQ24" s="99">
        <v>1242</v>
      </c>
      <c r="BR24" s="99">
        <v>1242</v>
      </c>
      <c r="BS24" s="99">
        <v>1242</v>
      </c>
      <c r="BT24" s="99">
        <v>1242</v>
      </c>
      <c r="BU24" s="99">
        <v>1242</v>
      </c>
      <c r="BV24" s="99">
        <v>1242</v>
      </c>
      <c r="BW24" s="99">
        <v>1242</v>
      </c>
      <c r="BX24" s="99">
        <v>1242</v>
      </c>
      <c r="BY24" s="99">
        <v>1451</v>
      </c>
      <c r="BZ24" s="99">
        <v>1451</v>
      </c>
      <c r="CA24" s="99">
        <v>1451</v>
      </c>
      <c r="CB24" s="99">
        <v>1451</v>
      </c>
      <c r="CC24" s="99">
        <v>1451</v>
      </c>
      <c r="CD24" s="99">
        <v>1451</v>
      </c>
      <c r="CE24" s="99">
        <v>1451</v>
      </c>
      <c r="CF24" s="99">
        <v>1451</v>
      </c>
      <c r="CG24" s="99">
        <v>1451</v>
      </c>
      <c r="CH24" s="99">
        <v>1451</v>
      </c>
      <c r="CI24" s="99">
        <v>1451</v>
      </c>
      <c r="CJ24" s="99">
        <v>1451</v>
      </c>
      <c r="CK24" s="99">
        <v>1451</v>
      </c>
      <c r="CL24" s="99">
        <v>1451</v>
      </c>
      <c r="CM24" s="99">
        <v>1451</v>
      </c>
      <c r="CN24" s="99">
        <v>1451</v>
      </c>
      <c r="CO24" s="99">
        <v>1451</v>
      </c>
      <c r="CP24" s="99">
        <v>1451</v>
      </c>
      <c r="CQ24" s="99">
        <v>1451</v>
      </c>
      <c r="CR24" s="99">
        <v>1451</v>
      </c>
      <c r="CS24" s="99">
        <v>1451</v>
      </c>
      <c r="CT24" s="99">
        <v>1451</v>
      </c>
      <c r="CU24" s="99">
        <v>1451</v>
      </c>
      <c r="CV24" s="99">
        <v>1451</v>
      </c>
      <c r="CW24" s="99">
        <v>1451</v>
      </c>
      <c r="CX24" s="99">
        <v>1451</v>
      </c>
      <c r="CY24" s="99">
        <v>1451</v>
      </c>
    </row>
    <row r="25" spans="1:103" ht="15" customHeight="1">
      <c r="A25" s="3"/>
      <c r="B25" s="3"/>
      <c r="C25" s="3"/>
      <c r="D25" s="3"/>
    </row>
    <row r="26" spans="1:103" ht="15" customHeight="1">
      <c r="A26" s="4" t="s">
        <v>24</v>
      </c>
      <c r="B26" s="3"/>
      <c r="C26" s="3"/>
      <c r="D26" s="3"/>
    </row>
    <row r="27" spans="1:103" ht="15" customHeight="1">
      <c r="A27" s="3"/>
      <c r="B27" s="3"/>
      <c r="C27" s="3"/>
      <c r="D27" s="3"/>
    </row>
    <row r="28" spans="1:103" ht="15" customHeight="1">
      <c r="A28" s="100" t="s">
        <v>55</v>
      </c>
      <c r="B28" s="101"/>
      <c r="C28" s="6" t="s">
        <v>26</v>
      </c>
      <c r="D28" s="40"/>
      <c r="E28" s="95"/>
      <c r="F28" s="96"/>
      <c r="G28" s="71" t="s">
        <v>27</v>
      </c>
      <c r="H28" s="96"/>
      <c r="I28" s="96"/>
      <c r="J28" s="96"/>
      <c r="K28" s="96"/>
      <c r="L28" s="96"/>
      <c r="M28" s="96"/>
      <c r="N28" s="96"/>
      <c r="O28" s="96"/>
      <c r="P28" s="96"/>
      <c r="Q28" s="96"/>
      <c r="R28" s="96"/>
      <c r="S28" s="96"/>
      <c r="T28" s="71" t="s">
        <v>27</v>
      </c>
      <c r="U28" s="96"/>
      <c r="V28" s="96"/>
      <c r="W28" s="96"/>
      <c r="X28" s="96"/>
      <c r="Y28" s="96"/>
      <c r="Z28" s="96"/>
      <c r="AA28" s="96"/>
      <c r="AB28" s="96"/>
      <c r="AC28" s="96"/>
      <c r="AD28" s="96"/>
      <c r="AE28" s="96"/>
      <c r="AF28" s="71" t="s">
        <v>27</v>
      </c>
      <c r="AG28" s="96"/>
      <c r="AH28" s="96"/>
      <c r="AI28" s="96"/>
      <c r="AJ28" s="96"/>
      <c r="AK28" s="96"/>
      <c r="AL28" s="96"/>
      <c r="AM28" s="96"/>
      <c r="AN28" s="96"/>
      <c r="AO28" s="70"/>
      <c r="AP28" s="96"/>
      <c r="AQ28" s="96"/>
      <c r="AR28" s="96"/>
      <c r="AS28" s="71" t="s">
        <v>27</v>
      </c>
      <c r="AT28" s="71"/>
      <c r="AU28" s="96"/>
      <c r="AV28" s="96"/>
      <c r="AW28" s="96"/>
      <c r="AX28" s="96"/>
      <c r="AY28" s="96"/>
      <c r="AZ28" s="96"/>
      <c r="BA28" s="96"/>
      <c r="BB28" s="96"/>
      <c r="BC28" s="96"/>
      <c r="BD28" s="96"/>
      <c r="BE28" s="71"/>
      <c r="BF28" s="71" t="s">
        <v>27</v>
      </c>
      <c r="BG28" s="96"/>
      <c r="BH28" s="96"/>
      <c r="BI28" s="96"/>
      <c r="BJ28" s="96"/>
      <c r="BK28" s="96"/>
      <c r="BL28" s="96"/>
      <c r="BM28" s="96"/>
      <c r="BN28" s="96"/>
      <c r="BO28" s="96"/>
      <c r="BP28" s="96"/>
      <c r="BQ28" s="96"/>
      <c r="BR28" s="96"/>
      <c r="BS28" s="71" t="s">
        <v>27</v>
      </c>
      <c r="BT28" s="71" t="s">
        <v>27</v>
      </c>
      <c r="BU28" s="71" t="s">
        <v>27</v>
      </c>
      <c r="BV28" s="96"/>
      <c r="BW28" s="96"/>
      <c r="BX28" s="96"/>
      <c r="BY28" s="96"/>
      <c r="BZ28" s="96"/>
      <c r="CA28" s="96"/>
      <c r="CB28" s="96"/>
      <c r="CC28" s="96"/>
      <c r="CD28" s="96"/>
      <c r="CE28" s="96"/>
      <c r="CF28" s="96"/>
      <c r="CG28" s="96"/>
      <c r="CH28" s="71" t="s">
        <v>27</v>
      </c>
      <c r="CI28" s="96"/>
      <c r="CJ28" s="96"/>
      <c r="CK28" s="96"/>
      <c r="CL28" s="96"/>
      <c r="CM28" s="96"/>
      <c r="CN28" s="96"/>
      <c r="CO28" s="70"/>
      <c r="CP28" s="70"/>
      <c r="CQ28" s="70"/>
      <c r="CR28" s="70"/>
      <c r="CS28" s="70"/>
      <c r="CT28" s="70"/>
      <c r="CU28" s="71" t="s">
        <v>27</v>
      </c>
      <c r="CV28" s="70"/>
      <c r="CW28" s="70"/>
      <c r="CX28" s="70"/>
      <c r="CY28" s="118"/>
    </row>
    <row r="29" spans="1:103" ht="15" customHeight="1">
      <c r="A29" s="222" t="s">
        <v>28</v>
      </c>
      <c r="B29" s="223"/>
      <c r="C29" s="104" t="s">
        <v>49</v>
      </c>
      <c r="D29" s="114"/>
      <c r="E29" s="112">
        <v>5</v>
      </c>
      <c r="F29" s="112">
        <v>5</v>
      </c>
      <c r="G29" s="112">
        <v>5</v>
      </c>
      <c r="H29" s="112">
        <v>5</v>
      </c>
      <c r="I29" s="112">
        <v>5</v>
      </c>
      <c r="J29" s="112">
        <v>5</v>
      </c>
      <c r="K29" s="112">
        <v>5</v>
      </c>
      <c r="L29" s="112">
        <v>5</v>
      </c>
      <c r="M29" s="112">
        <v>5</v>
      </c>
      <c r="N29" s="112">
        <v>5</v>
      </c>
      <c r="O29" s="112">
        <v>6</v>
      </c>
      <c r="P29" s="112">
        <v>6</v>
      </c>
      <c r="Q29" s="112">
        <v>6</v>
      </c>
      <c r="R29" s="112">
        <v>6</v>
      </c>
      <c r="S29" s="112">
        <v>6</v>
      </c>
      <c r="T29" s="112">
        <v>6</v>
      </c>
      <c r="U29" s="112">
        <v>6</v>
      </c>
      <c r="V29" s="112">
        <v>6</v>
      </c>
      <c r="W29" s="112">
        <v>6</v>
      </c>
      <c r="X29" s="112">
        <v>6</v>
      </c>
      <c r="Y29" s="112">
        <v>6</v>
      </c>
      <c r="Z29" s="112">
        <v>6</v>
      </c>
      <c r="AA29" s="112">
        <v>6</v>
      </c>
      <c r="AB29" s="112">
        <v>6</v>
      </c>
      <c r="AC29" s="112">
        <v>6</v>
      </c>
      <c r="AD29" s="112">
        <v>6</v>
      </c>
      <c r="AE29" s="112">
        <v>6</v>
      </c>
      <c r="AF29" s="112">
        <v>6</v>
      </c>
      <c r="AG29" s="112">
        <v>6</v>
      </c>
      <c r="AH29" s="112">
        <v>6</v>
      </c>
      <c r="AI29" s="112">
        <v>6</v>
      </c>
      <c r="AJ29" s="112">
        <v>6</v>
      </c>
      <c r="AK29" s="112">
        <v>6</v>
      </c>
      <c r="AL29" s="112">
        <v>6</v>
      </c>
      <c r="AM29" s="112">
        <v>6</v>
      </c>
      <c r="AN29" s="112">
        <v>6</v>
      </c>
      <c r="AO29" s="112">
        <v>6</v>
      </c>
      <c r="AP29" s="112">
        <v>6</v>
      </c>
      <c r="AQ29" s="112">
        <v>6</v>
      </c>
      <c r="AR29" s="112">
        <v>6</v>
      </c>
      <c r="AS29" s="112">
        <v>7</v>
      </c>
      <c r="AT29" s="112">
        <v>7</v>
      </c>
      <c r="AU29" s="112">
        <v>7</v>
      </c>
      <c r="AV29" s="112">
        <v>7</v>
      </c>
      <c r="AW29" s="112">
        <v>6</v>
      </c>
      <c r="AX29" s="112">
        <v>6</v>
      </c>
      <c r="AY29" s="112">
        <v>6</v>
      </c>
      <c r="AZ29" s="112">
        <v>6</v>
      </c>
      <c r="BA29" s="112">
        <v>6</v>
      </c>
      <c r="BB29" s="112">
        <v>6</v>
      </c>
      <c r="BC29" s="112">
        <v>6</v>
      </c>
      <c r="BD29" s="112">
        <v>6</v>
      </c>
      <c r="BE29" s="112">
        <v>6</v>
      </c>
      <c r="BF29" s="112">
        <v>6</v>
      </c>
      <c r="BG29" s="112">
        <v>6</v>
      </c>
      <c r="BH29" s="112">
        <v>6</v>
      </c>
      <c r="BI29" s="112">
        <v>7</v>
      </c>
      <c r="BJ29" s="112">
        <v>7</v>
      </c>
      <c r="BK29" s="112">
        <v>7</v>
      </c>
      <c r="BL29" s="112">
        <v>7</v>
      </c>
      <c r="BM29" s="112">
        <v>7</v>
      </c>
      <c r="BN29" s="112">
        <v>7</v>
      </c>
      <c r="BO29" s="112">
        <v>7</v>
      </c>
      <c r="BP29" s="112">
        <v>7</v>
      </c>
      <c r="BQ29" s="112">
        <v>7</v>
      </c>
      <c r="BR29" s="112">
        <v>7</v>
      </c>
      <c r="BS29" s="112">
        <v>7</v>
      </c>
      <c r="BT29" s="112">
        <v>7</v>
      </c>
      <c r="BU29" s="112">
        <v>7</v>
      </c>
      <c r="BV29" s="112">
        <v>7</v>
      </c>
      <c r="BW29" s="112">
        <v>7</v>
      </c>
      <c r="BX29" s="112">
        <v>7</v>
      </c>
      <c r="BY29" s="112">
        <v>7</v>
      </c>
      <c r="BZ29" s="112">
        <v>7</v>
      </c>
      <c r="CA29" s="112">
        <v>7</v>
      </c>
      <c r="CB29" s="112">
        <v>7</v>
      </c>
      <c r="CC29" s="112">
        <v>7</v>
      </c>
      <c r="CD29" s="112">
        <v>7</v>
      </c>
      <c r="CE29" s="112">
        <v>7</v>
      </c>
      <c r="CF29" s="112">
        <v>7</v>
      </c>
      <c r="CG29" s="112">
        <v>7</v>
      </c>
      <c r="CH29" s="112">
        <v>7</v>
      </c>
      <c r="CI29" s="112">
        <v>7</v>
      </c>
      <c r="CJ29" s="112">
        <v>7</v>
      </c>
      <c r="CK29" s="112">
        <v>7</v>
      </c>
      <c r="CL29" s="112">
        <v>7</v>
      </c>
      <c r="CM29" s="112">
        <v>7</v>
      </c>
      <c r="CN29" s="112">
        <v>7</v>
      </c>
      <c r="CO29" s="112">
        <v>7</v>
      </c>
      <c r="CP29" s="112">
        <v>7</v>
      </c>
      <c r="CQ29" s="112">
        <v>7</v>
      </c>
      <c r="CR29" s="112">
        <v>7</v>
      </c>
      <c r="CS29" s="112">
        <v>7</v>
      </c>
      <c r="CT29" s="112">
        <v>7</v>
      </c>
      <c r="CU29" s="112">
        <v>7</v>
      </c>
      <c r="CV29" s="112">
        <v>7</v>
      </c>
      <c r="CW29" s="112">
        <v>7</v>
      </c>
      <c r="CX29" s="116" t="s">
        <v>72</v>
      </c>
      <c r="CY29" s="116" t="s">
        <v>72</v>
      </c>
    </row>
    <row r="30" spans="1:103" ht="15" customHeight="1">
      <c r="A30" s="222" t="s">
        <v>32</v>
      </c>
      <c r="B30" s="223"/>
      <c r="C30" s="104" t="s">
        <v>49</v>
      </c>
      <c r="D30" s="73"/>
      <c r="E30" s="75">
        <v>5</v>
      </c>
      <c r="F30" s="75">
        <v>5</v>
      </c>
      <c r="G30" s="75">
        <v>5</v>
      </c>
      <c r="H30" s="75">
        <v>5</v>
      </c>
      <c r="I30" s="75">
        <v>5</v>
      </c>
      <c r="J30" s="75">
        <v>5</v>
      </c>
      <c r="K30" s="75">
        <v>5</v>
      </c>
      <c r="L30" s="75">
        <v>5</v>
      </c>
      <c r="M30" s="75">
        <v>5</v>
      </c>
      <c r="N30" s="75">
        <v>5</v>
      </c>
      <c r="O30" s="75">
        <v>6</v>
      </c>
      <c r="P30" s="75">
        <v>6</v>
      </c>
      <c r="Q30" s="75">
        <v>6</v>
      </c>
      <c r="R30" s="75">
        <v>6</v>
      </c>
      <c r="S30" s="75">
        <v>6</v>
      </c>
      <c r="T30" s="75">
        <v>6</v>
      </c>
      <c r="U30" s="75">
        <v>6</v>
      </c>
      <c r="V30" s="75">
        <v>6</v>
      </c>
      <c r="W30" s="75">
        <v>6</v>
      </c>
      <c r="X30" s="75">
        <v>6</v>
      </c>
      <c r="Y30" s="75">
        <v>6</v>
      </c>
      <c r="Z30" s="75">
        <v>6</v>
      </c>
      <c r="AA30" s="75">
        <v>6</v>
      </c>
      <c r="AB30" s="75">
        <v>6</v>
      </c>
      <c r="AC30" s="75">
        <v>6</v>
      </c>
      <c r="AD30" s="75">
        <v>6</v>
      </c>
      <c r="AE30" s="75">
        <v>6</v>
      </c>
      <c r="AF30" s="75">
        <v>6</v>
      </c>
      <c r="AG30" s="75">
        <v>6</v>
      </c>
      <c r="AH30" s="75">
        <v>6</v>
      </c>
      <c r="AI30" s="75">
        <v>6</v>
      </c>
      <c r="AJ30" s="75">
        <v>6</v>
      </c>
      <c r="AK30" s="75">
        <v>6</v>
      </c>
      <c r="AL30" s="75">
        <v>6</v>
      </c>
      <c r="AM30" s="75">
        <v>6</v>
      </c>
      <c r="AN30" s="75">
        <v>6</v>
      </c>
      <c r="AO30" s="75">
        <v>6</v>
      </c>
      <c r="AP30" s="75">
        <v>6</v>
      </c>
      <c r="AQ30" s="75">
        <v>6</v>
      </c>
      <c r="AR30" s="75">
        <v>6</v>
      </c>
      <c r="AS30" s="115" t="s">
        <v>73</v>
      </c>
      <c r="AT30" s="115" t="s">
        <v>73</v>
      </c>
      <c r="AU30" s="115" t="s">
        <v>73</v>
      </c>
      <c r="AV30" s="115" t="s">
        <v>73</v>
      </c>
      <c r="AW30" s="75">
        <v>6</v>
      </c>
      <c r="AX30" s="75">
        <v>6</v>
      </c>
      <c r="AY30" s="75">
        <v>6</v>
      </c>
      <c r="AZ30" s="75">
        <v>6</v>
      </c>
      <c r="BA30" s="75">
        <v>6</v>
      </c>
      <c r="BB30" s="75">
        <v>6</v>
      </c>
      <c r="BC30" s="75">
        <v>6</v>
      </c>
      <c r="BD30" s="75">
        <v>6</v>
      </c>
      <c r="BE30" s="75">
        <v>6</v>
      </c>
      <c r="BF30" s="75">
        <v>6</v>
      </c>
      <c r="BG30" s="75">
        <v>6</v>
      </c>
      <c r="BH30" s="75">
        <v>6</v>
      </c>
      <c r="BI30" s="115" t="s">
        <v>73</v>
      </c>
      <c r="BJ30" s="115" t="s">
        <v>73</v>
      </c>
      <c r="BK30" s="115" t="s">
        <v>73</v>
      </c>
      <c r="BL30" s="115" t="s">
        <v>73</v>
      </c>
      <c r="BM30" s="115" t="s">
        <v>73</v>
      </c>
      <c r="BN30" s="115" t="s">
        <v>73</v>
      </c>
      <c r="BO30" s="115" t="s">
        <v>73</v>
      </c>
      <c r="BP30" s="115" t="s">
        <v>73</v>
      </c>
      <c r="BQ30" s="115" t="s">
        <v>73</v>
      </c>
      <c r="BR30" s="115" t="s">
        <v>73</v>
      </c>
      <c r="BS30" s="115" t="s">
        <v>73</v>
      </c>
      <c r="BT30" s="115" t="s">
        <v>73</v>
      </c>
      <c r="BU30" s="115" t="s">
        <v>73</v>
      </c>
      <c r="BV30" s="115" t="s">
        <v>73</v>
      </c>
      <c r="BW30" s="115" t="s">
        <v>73</v>
      </c>
      <c r="BX30" s="115" t="s">
        <v>73</v>
      </c>
      <c r="BY30" s="115" t="s">
        <v>73</v>
      </c>
      <c r="BZ30" s="115" t="s">
        <v>73</v>
      </c>
      <c r="CA30" s="115" t="s">
        <v>73</v>
      </c>
      <c r="CB30" s="115" t="s">
        <v>73</v>
      </c>
      <c r="CC30" s="115" t="s">
        <v>73</v>
      </c>
      <c r="CD30" s="115" t="s">
        <v>73</v>
      </c>
      <c r="CE30" s="115" t="s">
        <v>73</v>
      </c>
      <c r="CF30" s="115" t="s">
        <v>73</v>
      </c>
      <c r="CG30" s="115" t="s">
        <v>73</v>
      </c>
      <c r="CH30" s="115" t="s">
        <v>73</v>
      </c>
      <c r="CI30" s="115" t="s">
        <v>73</v>
      </c>
      <c r="CJ30" s="115" t="s">
        <v>73</v>
      </c>
      <c r="CK30" s="115" t="s">
        <v>73</v>
      </c>
      <c r="CL30" s="115" t="s">
        <v>73</v>
      </c>
      <c r="CM30" s="115" t="s">
        <v>73</v>
      </c>
      <c r="CN30" s="115" t="s">
        <v>73</v>
      </c>
      <c r="CO30" s="115" t="s">
        <v>73</v>
      </c>
      <c r="CP30" s="115" t="s">
        <v>73</v>
      </c>
      <c r="CQ30" s="115" t="s">
        <v>73</v>
      </c>
      <c r="CR30" s="115" t="s">
        <v>73</v>
      </c>
      <c r="CS30" s="115" t="s">
        <v>73</v>
      </c>
      <c r="CT30" s="115" t="s">
        <v>73</v>
      </c>
      <c r="CU30" s="115" t="s">
        <v>73</v>
      </c>
      <c r="CV30" s="115" t="s">
        <v>73</v>
      </c>
      <c r="CW30" s="115" t="s">
        <v>73</v>
      </c>
      <c r="CX30" s="116" t="s">
        <v>72</v>
      </c>
      <c r="CY30" s="116" t="s">
        <v>72</v>
      </c>
    </row>
    <row r="31" spans="1:103" ht="15" customHeight="1">
      <c r="A31" s="227" t="s">
        <v>33</v>
      </c>
      <c r="B31" s="228"/>
      <c r="C31" s="6" t="s">
        <v>29</v>
      </c>
      <c r="D31" s="76"/>
      <c r="E31" s="115" t="s">
        <v>31</v>
      </c>
      <c r="F31" s="115" t="s">
        <v>31</v>
      </c>
      <c r="G31" s="115" t="s">
        <v>31</v>
      </c>
      <c r="H31" s="115" t="s">
        <v>31</v>
      </c>
      <c r="I31" s="115" t="s">
        <v>31</v>
      </c>
      <c r="J31" s="115" t="s">
        <v>31</v>
      </c>
      <c r="K31" s="115" t="s">
        <v>31</v>
      </c>
      <c r="L31" s="115" t="s">
        <v>31</v>
      </c>
      <c r="M31" s="115" t="s">
        <v>31</v>
      </c>
      <c r="N31" s="115" t="s">
        <v>31</v>
      </c>
      <c r="O31" s="115" t="s">
        <v>43</v>
      </c>
      <c r="P31" s="115" t="s">
        <v>43</v>
      </c>
      <c r="Q31" s="115" t="s">
        <v>43</v>
      </c>
      <c r="R31" s="115" t="s">
        <v>43</v>
      </c>
      <c r="S31" s="115" t="s">
        <v>43</v>
      </c>
      <c r="T31" s="115" t="s">
        <v>43</v>
      </c>
      <c r="U31" s="115" t="s">
        <v>43</v>
      </c>
      <c r="V31" s="115" t="s">
        <v>43</v>
      </c>
      <c r="W31" s="115" t="s">
        <v>43</v>
      </c>
      <c r="X31" s="115" t="s">
        <v>43</v>
      </c>
      <c r="Y31" s="115" t="s">
        <v>43</v>
      </c>
      <c r="Z31" s="115" t="s">
        <v>43</v>
      </c>
      <c r="AA31" s="115" t="s">
        <v>43</v>
      </c>
      <c r="AB31" s="115" t="s">
        <v>43</v>
      </c>
      <c r="AC31" s="115" t="s">
        <v>43</v>
      </c>
      <c r="AD31" s="115" t="s">
        <v>43</v>
      </c>
      <c r="AE31" s="115" t="s">
        <v>43</v>
      </c>
      <c r="AF31" s="115" t="s">
        <v>43</v>
      </c>
      <c r="AG31" s="115" t="s">
        <v>43</v>
      </c>
      <c r="AH31" s="115" t="s">
        <v>43</v>
      </c>
      <c r="AI31" s="115" t="s">
        <v>43</v>
      </c>
      <c r="AJ31" s="115" t="s">
        <v>43</v>
      </c>
      <c r="AK31" s="115" t="s">
        <v>43</v>
      </c>
      <c r="AL31" s="115" t="s">
        <v>43</v>
      </c>
      <c r="AM31" s="115" t="s">
        <v>43</v>
      </c>
      <c r="AN31" s="115" t="s">
        <v>43</v>
      </c>
      <c r="AO31" s="115" t="s">
        <v>43</v>
      </c>
      <c r="AP31" s="115" t="s">
        <v>43</v>
      </c>
      <c r="AQ31" s="115" t="s">
        <v>43</v>
      </c>
      <c r="AR31" s="115" t="s">
        <v>43</v>
      </c>
      <c r="AS31" s="115" t="s">
        <v>41</v>
      </c>
      <c r="AT31" s="115" t="s">
        <v>41</v>
      </c>
      <c r="AU31" s="115" t="s">
        <v>41</v>
      </c>
      <c r="AV31" s="115" t="s">
        <v>41</v>
      </c>
      <c r="AW31" s="115" t="s">
        <v>43</v>
      </c>
      <c r="AX31" s="115" t="s">
        <v>43</v>
      </c>
      <c r="AY31" s="115" t="s">
        <v>43</v>
      </c>
      <c r="AZ31" s="115" t="s">
        <v>43</v>
      </c>
      <c r="BA31" s="115" t="s">
        <v>43</v>
      </c>
      <c r="BB31" s="115" t="s">
        <v>43</v>
      </c>
      <c r="BC31" s="115" t="s">
        <v>43</v>
      </c>
      <c r="BD31" s="115" t="s">
        <v>43</v>
      </c>
      <c r="BE31" s="115" t="s">
        <v>43</v>
      </c>
      <c r="BF31" s="115" t="s">
        <v>43</v>
      </c>
      <c r="BG31" s="115" t="s">
        <v>43</v>
      </c>
      <c r="BH31" s="115" t="s">
        <v>43</v>
      </c>
      <c r="BI31" s="115" t="s">
        <v>41</v>
      </c>
      <c r="BJ31" s="115" t="s">
        <v>41</v>
      </c>
      <c r="BK31" s="115" t="s">
        <v>41</v>
      </c>
      <c r="BL31" s="115" t="s">
        <v>41</v>
      </c>
      <c r="BM31" s="115" t="s">
        <v>41</v>
      </c>
      <c r="BN31" s="115" t="s">
        <v>41</v>
      </c>
      <c r="BO31" s="115" t="s">
        <v>41</v>
      </c>
      <c r="BP31" s="115" t="s">
        <v>41</v>
      </c>
      <c r="BQ31" s="115" t="s">
        <v>41</v>
      </c>
      <c r="BR31" s="115" t="s">
        <v>41</v>
      </c>
      <c r="BS31" s="115" t="s">
        <v>41</v>
      </c>
      <c r="BT31" s="115" t="s">
        <v>41</v>
      </c>
      <c r="BU31" s="115" t="s">
        <v>41</v>
      </c>
      <c r="BV31" s="115" t="s">
        <v>41</v>
      </c>
      <c r="BW31" s="115" t="s">
        <v>41</v>
      </c>
      <c r="BX31" s="115" t="s">
        <v>41</v>
      </c>
      <c r="BY31" s="115" t="s">
        <v>41</v>
      </c>
      <c r="BZ31" s="115" t="s">
        <v>41</v>
      </c>
      <c r="CA31" s="115" t="s">
        <v>41</v>
      </c>
      <c r="CB31" s="115" t="s">
        <v>41</v>
      </c>
      <c r="CC31" s="115" t="s">
        <v>41</v>
      </c>
      <c r="CD31" s="115" t="s">
        <v>41</v>
      </c>
      <c r="CE31" s="115" t="s">
        <v>41</v>
      </c>
      <c r="CF31" s="115" t="s">
        <v>41</v>
      </c>
      <c r="CG31" s="115" t="s">
        <v>41</v>
      </c>
      <c r="CH31" s="115" t="s">
        <v>41</v>
      </c>
      <c r="CI31" s="115" t="s">
        <v>41</v>
      </c>
      <c r="CJ31" s="115" t="s">
        <v>41</v>
      </c>
      <c r="CK31" s="115" t="s">
        <v>41</v>
      </c>
      <c r="CL31" s="115" t="s">
        <v>41</v>
      </c>
      <c r="CM31" s="115" t="s">
        <v>41</v>
      </c>
      <c r="CN31" s="115" t="s">
        <v>41</v>
      </c>
      <c r="CO31" s="115" t="s">
        <v>41</v>
      </c>
      <c r="CP31" s="115" t="s">
        <v>41</v>
      </c>
      <c r="CQ31" s="115" t="s">
        <v>41</v>
      </c>
      <c r="CR31" s="115" t="s">
        <v>41</v>
      </c>
      <c r="CS31" s="115" t="s">
        <v>41</v>
      </c>
      <c r="CT31" s="115" t="s">
        <v>41</v>
      </c>
      <c r="CU31" s="115" t="s">
        <v>41</v>
      </c>
      <c r="CV31" s="115" t="s">
        <v>41</v>
      </c>
      <c r="CW31" s="115" t="s">
        <v>41</v>
      </c>
      <c r="CX31" s="116" t="s">
        <v>72</v>
      </c>
      <c r="CY31" s="116" t="s">
        <v>72</v>
      </c>
    </row>
    <row r="33" spans="1:1">
      <c r="A33" s="89" t="s">
        <v>52</v>
      </c>
    </row>
    <row r="34" spans="1:1">
      <c r="A34" s="26" t="s">
        <v>56</v>
      </c>
    </row>
    <row r="35" spans="1:1">
      <c r="A35" s="3"/>
    </row>
  </sheetData>
  <mergeCells count="3">
    <mergeCell ref="A29:B29"/>
    <mergeCell ref="A30:B30"/>
    <mergeCell ref="A31:B31"/>
  </mergeCells>
  <pageMargins left="0.7" right="0.7" top="0.75" bottom="0.75" header="0.3" footer="0.3"/>
  <pageSetup paperSize="9" orientation="portrait" r:id="rId1"/>
  <ignoredErrors>
    <ignoredError sqref="E6:N6" numberStoredAsText="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41850-C40F-47DA-A122-C29545B94FC6}">
  <dimension ref="A1:CU35"/>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99" ht="15" customHeight="1"/>
    <row r="2" spans="1:99" ht="15" customHeight="1">
      <c r="A2" s="9"/>
      <c r="B2" s="7"/>
      <c r="C2" s="7"/>
      <c r="D2" s="7"/>
      <c r="E2" s="7"/>
    </row>
    <row r="3" spans="1:99" ht="20.45" customHeight="1">
      <c r="A3" s="9" t="str">
        <f>Voorblad!A5</f>
        <v>Team Freight Forwarding Logistics</v>
      </c>
      <c r="B3" s="8"/>
      <c r="C3" s="8"/>
      <c r="D3" s="8"/>
      <c r="E3" s="48"/>
    </row>
    <row r="4" spans="1:99" s="51" customFormat="1" ht="15.75">
      <c r="A4" s="62" t="s">
        <v>74</v>
      </c>
      <c r="B4" s="49"/>
      <c r="C4" s="50"/>
      <c r="D4" s="50"/>
      <c r="E4" s="50"/>
    </row>
    <row r="5" spans="1:99" ht="15" customHeight="1">
      <c r="A5" s="7"/>
      <c r="B5" s="7"/>
      <c r="C5" s="7"/>
      <c r="D5" s="7"/>
      <c r="E5" s="26"/>
    </row>
    <row r="6" spans="1:99" ht="15" customHeight="1">
      <c r="A6" s="63" t="s">
        <v>20</v>
      </c>
      <c r="B6" s="63" t="s">
        <v>21</v>
      </c>
      <c r="C6" s="64" t="s">
        <v>22</v>
      </c>
      <c r="D6" s="64" t="s">
        <v>23</v>
      </c>
      <c r="E6" s="119">
        <v>1</v>
      </c>
      <c r="F6" s="120">
        <v>2</v>
      </c>
      <c r="G6" s="119">
        <v>3</v>
      </c>
      <c r="H6" s="119">
        <v>4</v>
      </c>
      <c r="I6" s="119">
        <v>5</v>
      </c>
      <c r="J6" s="119">
        <v>6</v>
      </c>
      <c r="K6" s="119">
        <v>7</v>
      </c>
      <c r="L6" s="120">
        <v>8</v>
      </c>
      <c r="M6" s="119">
        <v>9</v>
      </c>
      <c r="N6" s="2">
        <v>10</v>
      </c>
      <c r="O6" s="2">
        <v>11</v>
      </c>
      <c r="P6" s="2">
        <v>12</v>
      </c>
      <c r="Q6" s="2">
        <v>13</v>
      </c>
      <c r="R6" s="2">
        <v>14</v>
      </c>
      <c r="S6" s="2">
        <v>15</v>
      </c>
      <c r="T6" s="2">
        <v>16</v>
      </c>
      <c r="U6" s="2">
        <v>17</v>
      </c>
      <c r="V6" s="2">
        <v>18</v>
      </c>
      <c r="W6" s="2">
        <v>19</v>
      </c>
      <c r="X6" s="2">
        <v>20</v>
      </c>
      <c r="Y6" s="2">
        <v>21</v>
      </c>
      <c r="Z6" s="2">
        <v>22</v>
      </c>
      <c r="AA6" s="2">
        <v>23</v>
      </c>
      <c r="AB6" s="2">
        <v>24</v>
      </c>
      <c r="AC6" s="2">
        <v>25</v>
      </c>
      <c r="AD6" s="65">
        <v>26</v>
      </c>
      <c r="AE6" s="2">
        <v>27</v>
      </c>
      <c r="AF6" s="2">
        <v>28</v>
      </c>
      <c r="AG6" s="2">
        <v>29</v>
      </c>
      <c r="AH6" s="2">
        <v>30</v>
      </c>
      <c r="AI6" s="2">
        <v>31</v>
      </c>
      <c r="AJ6" s="2">
        <v>32</v>
      </c>
      <c r="AK6" s="2">
        <v>33</v>
      </c>
      <c r="AL6" s="2">
        <v>34</v>
      </c>
      <c r="AM6" s="2">
        <v>35</v>
      </c>
      <c r="AN6" s="2">
        <v>36</v>
      </c>
      <c r="AO6" s="2">
        <v>37</v>
      </c>
      <c r="AP6" s="2">
        <v>38</v>
      </c>
      <c r="AQ6" s="65">
        <v>39</v>
      </c>
      <c r="AR6" s="2">
        <v>40</v>
      </c>
      <c r="AS6" s="2">
        <v>41</v>
      </c>
      <c r="AT6" s="65">
        <v>42</v>
      </c>
      <c r="AU6" s="65">
        <v>43</v>
      </c>
      <c r="AV6" s="2">
        <v>44</v>
      </c>
      <c r="AW6" s="2">
        <v>45</v>
      </c>
      <c r="AX6" s="2">
        <v>46</v>
      </c>
      <c r="AY6" s="2">
        <v>47</v>
      </c>
      <c r="AZ6" s="2">
        <v>48</v>
      </c>
      <c r="BA6" s="2">
        <v>49</v>
      </c>
      <c r="BB6" s="2">
        <v>50</v>
      </c>
      <c r="BC6" s="63">
        <v>51</v>
      </c>
      <c r="BD6" s="2">
        <v>52</v>
      </c>
      <c r="BE6" s="2">
        <v>53</v>
      </c>
      <c r="BF6" s="2">
        <v>54</v>
      </c>
      <c r="BG6" s="2">
        <v>55</v>
      </c>
      <c r="BH6" s="2">
        <v>56</v>
      </c>
      <c r="BI6" s="63">
        <v>57</v>
      </c>
      <c r="BJ6" s="2">
        <v>58</v>
      </c>
      <c r="BK6" s="2">
        <v>59</v>
      </c>
      <c r="BL6" s="63">
        <v>60</v>
      </c>
      <c r="BM6" s="2">
        <v>61</v>
      </c>
      <c r="BN6" s="2">
        <v>62</v>
      </c>
      <c r="BO6" s="2">
        <v>63</v>
      </c>
      <c r="BP6" s="2">
        <v>64</v>
      </c>
      <c r="BQ6" s="2">
        <v>65</v>
      </c>
      <c r="BR6" s="2">
        <v>66</v>
      </c>
      <c r="BS6" s="63">
        <v>67</v>
      </c>
      <c r="BT6" s="63">
        <v>68</v>
      </c>
      <c r="BU6" s="2">
        <v>69</v>
      </c>
      <c r="BV6" s="63">
        <v>70</v>
      </c>
      <c r="BW6" s="2">
        <v>71</v>
      </c>
      <c r="BX6" s="2">
        <v>72</v>
      </c>
      <c r="BY6" s="2">
        <v>73</v>
      </c>
      <c r="BZ6" s="2">
        <v>74</v>
      </c>
      <c r="CA6" s="2">
        <v>75</v>
      </c>
      <c r="CB6" s="63">
        <v>76</v>
      </c>
      <c r="CC6" s="2">
        <v>77</v>
      </c>
      <c r="CD6" s="2">
        <v>78</v>
      </c>
      <c r="CE6" s="2">
        <v>79</v>
      </c>
      <c r="CF6" s="63">
        <v>80</v>
      </c>
      <c r="CG6" s="2">
        <v>81</v>
      </c>
      <c r="CH6" s="2">
        <v>82</v>
      </c>
      <c r="CI6" s="2">
        <v>83</v>
      </c>
      <c r="CJ6" s="2">
        <v>84</v>
      </c>
      <c r="CK6" s="2">
        <v>85</v>
      </c>
      <c r="CL6" s="2">
        <v>86</v>
      </c>
      <c r="CM6" s="2">
        <v>87</v>
      </c>
      <c r="CN6" s="2">
        <v>88</v>
      </c>
      <c r="CO6" s="2">
        <v>89</v>
      </c>
      <c r="CP6" s="63">
        <v>90</v>
      </c>
      <c r="CQ6" s="2">
        <v>91</v>
      </c>
      <c r="CR6" s="2">
        <v>92</v>
      </c>
      <c r="CS6" s="2">
        <v>93</v>
      </c>
      <c r="CT6" s="2">
        <v>94</v>
      </c>
      <c r="CU6" s="2">
        <v>95</v>
      </c>
    </row>
    <row r="7" spans="1:99" ht="15" customHeight="1">
      <c r="A7" s="67">
        <v>300</v>
      </c>
      <c r="B7" s="64">
        <v>0.2</v>
      </c>
      <c r="C7" s="64">
        <v>0.5</v>
      </c>
      <c r="D7" s="64"/>
      <c r="E7" s="41">
        <v>96</v>
      </c>
      <c r="F7" s="41">
        <v>90</v>
      </c>
      <c r="G7" s="41">
        <v>96</v>
      </c>
      <c r="H7" s="41">
        <v>104</v>
      </c>
      <c r="I7" s="41">
        <v>104</v>
      </c>
      <c r="J7" s="41">
        <v>104</v>
      </c>
      <c r="K7" s="41">
        <v>100</v>
      </c>
      <c r="L7" s="41">
        <v>90</v>
      </c>
      <c r="M7" s="41">
        <v>100</v>
      </c>
      <c r="N7" s="41">
        <v>91</v>
      </c>
      <c r="O7" s="41">
        <v>100</v>
      </c>
      <c r="P7" s="41">
        <v>100</v>
      </c>
      <c r="Q7" s="41">
        <v>100</v>
      </c>
      <c r="R7" s="41">
        <v>91</v>
      </c>
      <c r="S7" s="41">
        <v>100</v>
      </c>
      <c r="T7" s="41">
        <v>96</v>
      </c>
      <c r="U7" s="41">
        <v>96</v>
      </c>
      <c r="V7" s="41">
        <v>91</v>
      </c>
      <c r="W7" s="41">
        <v>96</v>
      </c>
      <c r="X7" s="41">
        <v>142</v>
      </c>
      <c r="Y7" s="41">
        <v>96</v>
      </c>
      <c r="Z7" s="41">
        <v>96</v>
      </c>
      <c r="AA7" s="41">
        <v>96</v>
      </c>
      <c r="AB7" s="41">
        <v>100</v>
      </c>
      <c r="AC7" s="41">
        <v>96</v>
      </c>
      <c r="AD7" s="41">
        <v>100</v>
      </c>
      <c r="AE7" s="41">
        <v>91</v>
      </c>
      <c r="AF7" s="41">
        <v>91</v>
      </c>
      <c r="AG7" s="41">
        <v>100</v>
      </c>
      <c r="AH7" s="41">
        <v>100</v>
      </c>
      <c r="AI7" s="41">
        <v>100</v>
      </c>
      <c r="AJ7" s="41">
        <v>100</v>
      </c>
      <c r="AK7" s="41">
        <v>100</v>
      </c>
      <c r="AL7" s="41">
        <v>100</v>
      </c>
      <c r="AM7" s="41">
        <v>96</v>
      </c>
      <c r="AN7" s="41">
        <v>91</v>
      </c>
      <c r="AO7" s="41">
        <v>91</v>
      </c>
      <c r="AP7" s="41">
        <v>96</v>
      </c>
      <c r="AQ7" s="41">
        <v>96</v>
      </c>
      <c r="AR7" s="41">
        <v>100</v>
      </c>
      <c r="AS7" s="41">
        <v>91</v>
      </c>
      <c r="AT7" s="41">
        <v>96</v>
      </c>
      <c r="AU7" s="41">
        <v>96</v>
      </c>
      <c r="AV7" s="41">
        <v>96</v>
      </c>
      <c r="AW7" s="41">
        <v>91</v>
      </c>
      <c r="AX7" s="41">
        <v>100</v>
      </c>
      <c r="AY7" s="41">
        <v>100</v>
      </c>
      <c r="AZ7" s="41">
        <v>100</v>
      </c>
      <c r="BA7" s="41">
        <v>96</v>
      </c>
      <c r="BB7" s="41">
        <v>96</v>
      </c>
      <c r="BC7" s="41">
        <v>91</v>
      </c>
      <c r="BD7" s="41">
        <v>96</v>
      </c>
      <c r="BE7" s="41">
        <v>96</v>
      </c>
      <c r="BF7" s="41">
        <v>96</v>
      </c>
      <c r="BG7" s="41">
        <v>96</v>
      </c>
      <c r="BH7" s="41">
        <v>96</v>
      </c>
      <c r="BI7" s="41">
        <v>96</v>
      </c>
      <c r="BJ7" s="41">
        <v>91</v>
      </c>
      <c r="BK7" s="41">
        <v>75</v>
      </c>
      <c r="BL7" s="41">
        <v>81</v>
      </c>
      <c r="BM7" s="41">
        <v>91</v>
      </c>
      <c r="BN7" s="41">
        <v>75</v>
      </c>
      <c r="BO7" s="41">
        <v>96</v>
      </c>
      <c r="BP7" s="41">
        <v>104</v>
      </c>
      <c r="BQ7" s="41">
        <v>104</v>
      </c>
      <c r="BR7" s="41">
        <v>104</v>
      </c>
      <c r="BS7" s="41">
        <v>96</v>
      </c>
      <c r="BT7" s="41">
        <v>96</v>
      </c>
      <c r="BU7" s="41">
        <v>96</v>
      </c>
      <c r="BV7" s="41">
        <v>96</v>
      </c>
      <c r="BW7" s="41">
        <v>96</v>
      </c>
      <c r="BX7" s="41">
        <v>96</v>
      </c>
      <c r="BY7" s="41">
        <v>96</v>
      </c>
      <c r="BZ7" s="41">
        <v>96</v>
      </c>
      <c r="CA7" s="41">
        <v>204</v>
      </c>
      <c r="CB7" s="41">
        <v>91</v>
      </c>
      <c r="CC7" s="41">
        <v>81</v>
      </c>
      <c r="CD7" s="41">
        <v>81</v>
      </c>
      <c r="CE7" s="41">
        <v>96</v>
      </c>
      <c r="CF7" s="41">
        <v>90</v>
      </c>
      <c r="CG7" s="41">
        <v>100</v>
      </c>
      <c r="CH7" s="41">
        <v>100</v>
      </c>
      <c r="CI7" s="41">
        <v>104</v>
      </c>
      <c r="CJ7" s="41">
        <v>100</v>
      </c>
      <c r="CK7" s="41">
        <v>96</v>
      </c>
      <c r="CL7" s="41">
        <v>96</v>
      </c>
      <c r="CM7" s="41">
        <v>96</v>
      </c>
      <c r="CN7" s="41">
        <v>96</v>
      </c>
      <c r="CO7" s="41">
        <v>91</v>
      </c>
      <c r="CP7" s="41">
        <v>96</v>
      </c>
      <c r="CQ7" s="41">
        <v>81</v>
      </c>
      <c r="CR7" s="41">
        <v>81</v>
      </c>
      <c r="CS7" s="41">
        <v>81</v>
      </c>
      <c r="CT7" s="41">
        <v>81</v>
      </c>
      <c r="CU7" s="41">
        <v>81</v>
      </c>
    </row>
    <row r="8" spans="1:99" ht="15" customHeight="1">
      <c r="A8" s="2">
        <v>700</v>
      </c>
      <c r="B8" s="64">
        <v>0.4</v>
      </c>
      <c r="C8" s="64">
        <v>1</v>
      </c>
      <c r="D8" s="64"/>
      <c r="E8" s="41">
        <v>147</v>
      </c>
      <c r="F8" s="41">
        <v>135</v>
      </c>
      <c r="G8" s="41">
        <v>147</v>
      </c>
      <c r="H8" s="41">
        <v>160</v>
      </c>
      <c r="I8" s="41">
        <v>160</v>
      </c>
      <c r="J8" s="41">
        <v>160</v>
      </c>
      <c r="K8" s="41">
        <v>153</v>
      </c>
      <c r="L8" s="41">
        <v>136</v>
      </c>
      <c r="M8" s="41">
        <v>153</v>
      </c>
      <c r="N8" s="41">
        <v>138</v>
      </c>
      <c r="O8" s="41">
        <v>153</v>
      </c>
      <c r="P8" s="41">
        <v>153</v>
      </c>
      <c r="Q8" s="41">
        <v>153</v>
      </c>
      <c r="R8" s="41">
        <v>138</v>
      </c>
      <c r="S8" s="41">
        <v>153</v>
      </c>
      <c r="T8" s="41">
        <v>148</v>
      </c>
      <c r="U8" s="41">
        <v>148</v>
      </c>
      <c r="V8" s="41">
        <v>138</v>
      </c>
      <c r="W8" s="41">
        <v>148</v>
      </c>
      <c r="X8" s="41">
        <v>234</v>
      </c>
      <c r="Y8" s="41">
        <v>148</v>
      </c>
      <c r="Z8" s="41">
        <v>148</v>
      </c>
      <c r="AA8" s="41">
        <v>148</v>
      </c>
      <c r="AB8" s="41">
        <v>153</v>
      </c>
      <c r="AC8" s="41">
        <v>148</v>
      </c>
      <c r="AD8" s="41">
        <v>153</v>
      </c>
      <c r="AE8" s="41">
        <v>138</v>
      </c>
      <c r="AF8" s="41">
        <v>138</v>
      </c>
      <c r="AG8" s="41">
        <v>153</v>
      </c>
      <c r="AH8" s="41">
        <v>153</v>
      </c>
      <c r="AI8" s="41">
        <v>153</v>
      </c>
      <c r="AJ8" s="41">
        <v>153</v>
      </c>
      <c r="AK8" s="41">
        <v>153</v>
      </c>
      <c r="AL8" s="41">
        <v>153</v>
      </c>
      <c r="AM8" s="41">
        <v>148</v>
      </c>
      <c r="AN8" s="41">
        <v>138</v>
      </c>
      <c r="AO8" s="41">
        <v>138</v>
      </c>
      <c r="AP8" s="41">
        <v>148</v>
      </c>
      <c r="AQ8" s="41">
        <v>148</v>
      </c>
      <c r="AR8" s="41">
        <v>153</v>
      </c>
      <c r="AS8" s="41">
        <v>138</v>
      </c>
      <c r="AT8" s="41">
        <v>148</v>
      </c>
      <c r="AU8" s="41">
        <v>148</v>
      </c>
      <c r="AV8" s="41">
        <v>148</v>
      </c>
      <c r="AW8" s="41">
        <v>138</v>
      </c>
      <c r="AX8" s="41">
        <v>153</v>
      </c>
      <c r="AY8" s="41">
        <v>153</v>
      </c>
      <c r="AZ8" s="41">
        <v>153</v>
      </c>
      <c r="BA8" s="41">
        <v>148</v>
      </c>
      <c r="BB8" s="41">
        <v>148</v>
      </c>
      <c r="BC8" s="41">
        <v>138</v>
      </c>
      <c r="BD8" s="41">
        <v>148</v>
      </c>
      <c r="BE8" s="41">
        <v>148</v>
      </c>
      <c r="BF8" s="41">
        <v>148</v>
      </c>
      <c r="BG8" s="41">
        <v>148</v>
      </c>
      <c r="BH8" s="41">
        <v>148</v>
      </c>
      <c r="BI8" s="41">
        <v>148</v>
      </c>
      <c r="BJ8" s="41">
        <v>138</v>
      </c>
      <c r="BK8" s="41">
        <v>114</v>
      </c>
      <c r="BL8" s="41">
        <v>123</v>
      </c>
      <c r="BM8" s="41">
        <v>138</v>
      </c>
      <c r="BN8" s="41">
        <v>114</v>
      </c>
      <c r="BO8" s="41">
        <v>148</v>
      </c>
      <c r="BP8" s="41">
        <v>160</v>
      </c>
      <c r="BQ8" s="41">
        <v>160</v>
      </c>
      <c r="BR8" s="41">
        <v>160</v>
      </c>
      <c r="BS8" s="41">
        <v>148</v>
      </c>
      <c r="BT8" s="41">
        <v>148</v>
      </c>
      <c r="BU8" s="41">
        <v>148</v>
      </c>
      <c r="BV8" s="41">
        <v>148</v>
      </c>
      <c r="BW8" s="41">
        <v>148</v>
      </c>
      <c r="BX8" s="41">
        <v>148</v>
      </c>
      <c r="BY8" s="41">
        <v>148</v>
      </c>
      <c r="BZ8" s="41">
        <v>148</v>
      </c>
      <c r="CA8" s="41">
        <v>247</v>
      </c>
      <c r="CB8" s="41">
        <v>138</v>
      </c>
      <c r="CC8" s="41">
        <v>123</v>
      </c>
      <c r="CD8" s="41">
        <v>123</v>
      </c>
      <c r="CE8" s="41">
        <v>148</v>
      </c>
      <c r="CF8" s="41">
        <v>136</v>
      </c>
      <c r="CG8" s="41">
        <v>153</v>
      </c>
      <c r="CH8" s="41">
        <v>153</v>
      </c>
      <c r="CI8" s="41">
        <v>160</v>
      </c>
      <c r="CJ8" s="41">
        <v>153</v>
      </c>
      <c r="CK8" s="41">
        <v>148</v>
      </c>
      <c r="CL8" s="41">
        <v>148</v>
      </c>
      <c r="CM8" s="41">
        <v>148</v>
      </c>
      <c r="CN8" s="41">
        <v>148</v>
      </c>
      <c r="CO8" s="41">
        <v>138</v>
      </c>
      <c r="CP8" s="41">
        <v>148</v>
      </c>
      <c r="CQ8" s="41">
        <v>123</v>
      </c>
      <c r="CR8" s="41">
        <v>123</v>
      </c>
      <c r="CS8" s="41">
        <v>123</v>
      </c>
      <c r="CT8" s="41">
        <v>123</v>
      </c>
      <c r="CU8" s="41">
        <v>123</v>
      </c>
    </row>
    <row r="9" spans="1:99" ht="15" customHeight="1">
      <c r="A9" s="2">
        <v>875</v>
      </c>
      <c r="B9" s="64">
        <v>0.5</v>
      </c>
      <c r="C9" s="64"/>
      <c r="D9" s="64">
        <v>1</v>
      </c>
      <c r="E9" s="41">
        <v>164</v>
      </c>
      <c r="F9" s="41">
        <v>156</v>
      </c>
      <c r="G9" s="41">
        <v>164</v>
      </c>
      <c r="H9" s="41">
        <v>180</v>
      </c>
      <c r="I9" s="41">
        <v>180</v>
      </c>
      <c r="J9" s="41">
        <v>180</v>
      </c>
      <c r="K9" s="41">
        <v>172</v>
      </c>
      <c r="L9" s="41">
        <v>156</v>
      </c>
      <c r="M9" s="41">
        <v>172</v>
      </c>
      <c r="N9" s="41">
        <v>158</v>
      </c>
      <c r="O9" s="41">
        <v>172</v>
      </c>
      <c r="P9" s="41">
        <v>172</v>
      </c>
      <c r="Q9" s="41">
        <v>172</v>
      </c>
      <c r="R9" s="41">
        <v>158</v>
      </c>
      <c r="S9" s="41">
        <v>172</v>
      </c>
      <c r="T9" s="41">
        <v>164</v>
      </c>
      <c r="U9" s="41">
        <v>164</v>
      </c>
      <c r="V9" s="41">
        <v>158</v>
      </c>
      <c r="W9" s="41">
        <v>164</v>
      </c>
      <c r="X9" s="41">
        <v>277</v>
      </c>
      <c r="Y9" s="41">
        <v>164</v>
      </c>
      <c r="Z9" s="41">
        <v>164</v>
      </c>
      <c r="AA9" s="41">
        <v>164</v>
      </c>
      <c r="AB9" s="41">
        <v>172</v>
      </c>
      <c r="AC9" s="41">
        <v>164</v>
      </c>
      <c r="AD9" s="41">
        <v>172</v>
      </c>
      <c r="AE9" s="41">
        <v>158</v>
      </c>
      <c r="AF9" s="41">
        <v>158</v>
      </c>
      <c r="AG9" s="41">
        <v>172</v>
      </c>
      <c r="AH9" s="41">
        <v>172</v>
      </c>
      <c r="AI9" s="41">
        <v>172</v>
      </c>
      <c r="AJ9" s="41">
        <v>172</v>
      </c>
      <c r="AK9" s="41">
        <v>172</v>
      </c>
      <c r="AL9" s="41">
        <v>172</v>
      </c>
      <c r="AM9" s="41">
        <v>164</v>
      </c>
      <c r="AN9" s="41">
        <v>158</v>
      </c>
      <c r="AO9" s="41">
        <v>158</v>
      </c>
      <c r="AP9" s="41">
        <v>164</v>
      </c>
      <c r="AQ9" s="41">
        <v>164</v>
      </c>
      <c r="AR9" s="41">
        <v>172</v>
      </c>
      <c r="AS9" s="41">
        <v>158</v>
      </c>
      <c r="AT9" s="41">
        <v>164</v>
      </c>
      <c r="AU9" s="41">
        <v>164</v>
      </c>
      <c r="AV9" s="41">
        <v>164</v>
      </c>
      <c r="AW9" s="41">
        <v>158</v>
      </c>
      <c r="AX9" s="41">
        <v>172</v>
      </c>
      <c r="AY9" s="41">
        <v>172</v>
      </c>
      <c r="AZ9" s="41">
        <v>172</v>
      </c>
      <c r="BA9" s="41">
        <v>164</v>
      </c>
      <c r="BB9" s="41">
        <v>164</v>
      </c>
      <c r="BC9" s="41">
        <v>158</v>
      </c>
      <c r="BD9" s="41">
        <v>164</v>
      </c>
      <c r="BE9" s="41">
        <v>164</v>
      </c>
      <c r="BF9" s="41">
        <v>164</v>
      </c>
      <c r="BG9" s="41">
        <v>164</v>
      </c>
      <c r="BH9" s="41">
        <v>164</v>
      </c>
      <c r="BI9" s="41">
        <v>164</v>
      </c>
      <c r="BJ9" s="41">
        <v>158</v>
      </c>
      <c r="BK9" s="41">
        <v>125</v>
      </c>
      <c r="BL9" s="41">
        <v>135</v>
      </c>
      <c r="BM9" s="41">
        <v>158</v>
      </c>
      <c r="BN9" s="41">
        <v>125</v>
      </c>
      <c r="BO9" s="41">
        <v>164</v>
      </c>
      <c r="BP9" s="41">
        <v>180</v>
      </c>
      <c r="BQ9" s="41">
        <v>180</v>
      </c>
      <c r="BR9" s="41">
        <v>180</v>
      </c>
      <c r="BS9" s="41">
        <v>164</v>
      </c>
      <c r="BT9" s="41">
        <v>164</v>
      </c>
      <c r="BU9" s="41">
        <v>164</v>
      </c>
      <c r="BV9" s="41">
        <v>164</v>
      </c>
      <c r="BW9" s="41">
        <v>164</v>
      </c>
      <c r="BX9" s="41">
        <v>164</v>
      </c>
      <c r="BY9" s="41">
        <v>164</v>
      </c>
      <c r="BZ9" s="41">
        <v>164</v>
      </c>
      <c r="CA9" s="41">
        <v>260</v>
      </c>
      <c r="CB9" s="41">
        <v>158</v>
      </c>
      <c r="CC9" s="41">
        <v>135</v>
      </c>
      <c r="CD9" s="41">
        <v>135</v>
      </c>
      <c r="CE9" s="41">
        <v>164</v>
      </c>
      <c r="CF9" s="41">
        <v>156</v>
      </c>
      <c r="CG9" s="41">
        <v>172</v>
      </c>
      <c r="CH9" s="41">
        <v>172</v>
      </c>
      <c r="CI9" s="41">
        <v>180</v>
      </c>
      <c r="CJ9" s="41">
        <v>172</v>
      </c>
      <c r="CK9" s="41">
        <v>164</v>
      </c>
      <c r="CL9" s="41">
        <v>164</v>
      </c>
      <c r="CM9" s="41">
        <v>164</v>
      </c>
      <c r="CN9" s="41">
        <v>164</v>
      </c>
      <c r="CO9" s="41">
        <v>158</v>
      </c>
      <c r="CP9" s="41">
        <v>164</v>
      </c>
      <c r="CQ9" s="41">
        <v>135</v>
      </c>
      <c r="CR9" s="41">
        <v>135</v>
      </c>
      <c r="CS9" s="41">
        <v>135</v>
      </c>
      <c r="CT9" s="41">
        <v>135</v>
      </c>
      <c r="CU9" s="41">
        <v>135</v>
      </c>
    </row>
    <row r="10" spans="1:99" ht="15" customHeight="1">
      <c r="A10" s="2">
        <v>1050</v>
      </c>
      <c r="B10" s="64">
        <v>0.6</v>
      </c>
      <c r="C10" s="64"/>
      <c r="D10" s="64"/>
      <c r="E10" s="41">
        <v>197</v>
      </c>
      <c r="F10" s="41">
        <v>188</v>
      </c>
      <c r="G10" s="41">
        <v>197</v>
      </c>
      <c r="H10" s="41">
        <v>215</v>
      </c>
      <c r="I10" s="41">
        <v>215</v>
      </c>
      <c r="J10" s="41">
        <v>215</v>
      </c>
      <c r="K10" s="41">
        <v>205</v>
      </c>
      <c r="L10" s="41">
        <v>188</v>
      </c>
      <c r="M10" s="41">
        <v>205</v>
      </c>
      <c r="N10" s="41">
        <v>190</v>
      </c>
      <c r="O10" s="41">
        <v>205</v>
      </c>
      <c r="P10" s="41">
        <v>205</v>
      </c>
      <c r="Q10" s="41">
        <v>205</v>
      </c>
      <c r="R10" s="41">
        <v>190</v>
      </c>
      <c r="S10" s="41">
        <v>205</v>
      </c>
      <c r="T10" s="41">
        <v>197</v>
      </c>
      <c r="U10" s="41">
        <v>197</v>
      </c>
      <c r="V10" s="41">
        <v>190</v>
      </c>
      <c r="W10" s="41">
        <v>197</v>
      </c>
      <c r="X10" s="41">
        <v>327</v>
      </c>
      <c r="Y10" s="41">
        <v>197</v>
      </c>
      <c r="Z10" s="41">
        <v>197</v>
      </c>
      <c r="AA10" s="41">
        <v>197</v>
      </c>
      <c r="AB10" s="41">
        <v>205</v>
      </c>
      <c r="AC10" s="41">
        <v>197</v>
      </c>
      <c r="AD10" s="41">
        <v>205</v>
      </c>
      <c r="AE10" s="41">
        <v>190</v>
      </c>
      <c r="AF10" s="41">
        <v>190</v>
      </c>
      <c r="AG10" s="41">
        <v>205</v>
      </c>
      <c r="AH10" s="41">
        <v>205</v>
      </c>
      <c r="AI10" s="41">
        <v>205</v>
      </c>
      <c r="AJ10" s="41">
        <v>205</v>
      </c>
      <c r="AK10" s="41">
        <v>205</v>
      </c>
      <c r="AL10" s="41">
        <v>205</v>
      </c>
      <c r="AM10" s="41">
        <v>197</v>
      </c>
      <c r="AN10" s="41">
        <v>190</v>
      </c>
      <c r="AO10" s="41">
        <v>190</v>
      </c>
      <c r="AP10" s="41">
        <v>197</v>
      </c>
      <c r="AQ10" s="41">
        <v>197</v>
      </c>
      <c r="AR10" s="41">
        <v>205</v>
      </c>
      <c r="AS10" s="41">
        <v>190</v>
      </c>
      <c r="AT10" s="41">
        <v>197</v>
      </c>
      <c r="AU10" s="41">
        <v>197</v>
      </c>
      <c r="AV10" s="41">
        <v>197</v>
      </c>
      <c r="AW10" s="41">
        <v>190</v>
      </c>
      <c r="AX10" s="41">
        <v>205</v>
      </c>
      <c r="AY10" s="41">
        <v>205</v>
      </c>
      <c r="AZ10" s="41">
        <v>205</v>
      </c>
      <c r="BA10" s="41">
        <v>197</v>
      </c>
      <c r="BB10" s="41">
        <v>197</v>
      </c>
      <c r="BC10" s="41">
        <v>190</v>
      </c>
      <c r="BD10" s="41">
        <v>197</v>
      </c>
      <c r="BE10" s="41">
        <v>197</v>
      </c>
      <c r="BF10" s="41">
        <v>197</v>
      </c>
      <c r="BG10" s="41">
        <v>197</v>
      </c>
      <c r="BH10" s="41">
        <v>197</v>
      </c>
      <c r="BI10" s="41">
        <v>197</v>
      </c>
      <c r="BJ10" s="41">
        <v>190</v>
      </c>
      <c r="BK10" s="41">
        <v>150</v>
      </c>
      <c r="BL10" s="41">
        <v>161</v>
      </c>
      <c r="BM10" s="41">
        <v>190</v>
      </c>
      <c r="BN10" s="41">
        <v>150</v>
      </c>
      <c r="BO10" s="41">
        <v>197</v>
      </c>
      <c r="BP10" s="41">
        <v>215</v>
      </c>
      <c r="BQ10" s="41">
        <v>215</v>
      </c>
      <c r="BR10" s="41">
        <v>215</v>
      </c>
      <c r="BS10" s="41">
        <v>197</v>
      </c>
      <c r="BT10" s="41">
        <v>197</v>
      </c>
      <c r="BU10" s="41">
        <v>197</v>
      </c>
      <c r="BV10" s="41">
        <v>197</v>
      </c>
      <c r="BW10" s="41">
        <v>197</v>
      </c>
      <c r="BX10" s="41">
        <v>197</v>
      </c>
      <c r="BY10" s="41">
        <v>197</v>
      </c>
      <c r="BZ10" s="41">
        <v>197</v>
      </c>
      <c r="CA10" s="41">
        <v>286</v>
      </c>
      <c r="CB10" s="41">
        <v>190</v>
      </c>
      <c r="CC10" s="41">
        <v>161</v>
      </c>
      <c r="CD10" s="41">
        <v>161</v>
      </c>
      <c r="CE10" s="41">
        <v>197</v>
      </c>
      <c r="CF10" s="41">
        <v>188</v>
      </c>
      <c r="CG10" s="41">
        <v>205</v>
      </c>
      <c r="CH10" s="41">
        <v>205</v>
      </c>
      <c r="CI10" s="41">
        <v>215</v>
      </c>
      <c r="CJ10" s="41">
        <v>205</v>
      </c>
      <c r="CK10" s="41">
        <v>197</v>
      </c>
      <c r="CL10" s="41">
        <v>197</v>
      </c>
      <c r="CM10" s="41">
        <v>197</v>
      </c>
      <c r="CN10" s="41">
        <v>197</v>
      </c>
      <c r="CO10" s="41">
        <v>190</v>
      </c>
      <c r="CP10" s="41">
        <v>197</v>
      </c>
      <c r="CQ10" s="41">
        <v>161</v>
      </c>
      <c r="CR10" s="41">
        <v>161</v>
      </c>
      <c r="CS10" s="41">
        <v>161</v>
      </c>
      <c r="CT10" s="41">
        <v>161</v>
      </c>
      <c r="CU10" s="41">
        <v>161</v>
      </c>
    </row>
    <row r="11" spans="1:99" ht="15" customHeight="1">
      <c r="A11" s="2">
        <v>1400</v>
      </c>
      <c r="B11" s="64">
        <v>0.8</v>
      </c>
      <c r="C11" s="64">
        <v>2</v>
      </c>
      <c r="D11" s="64"/>
      <c r="E11" s="41">
        <v>261</v>
      </c>
      <c r="F11" s="41">
        <v>247</v>
      </c>
      <c r="G11" s="41">
        <v>261</v>
      </c>
      <c r="H11" s="41">
        <v>284</v>
      </c>
      <c r="I11" s="41">
        <v>284</v>
      </c>
      <c r="J11" s="41">
        <v>284</v>
      </c>
      <c r="K11" s="41">
        <v>272</v>
      </c>
      <c r="L11" s="41">
        <v>247</v>
      </c>
      <c r="M11" s="41">
        <v>272</v>
      </c>
      <c r="N11" s="41">
        <v>251</v>
      </c>
      <c r="O11" s="41">
        <v>272</v>
      </c>
      <c r="P11" s="41">
        <v>272</v>
      </c>
      <c r="Q11" s="41">
        <v>272</v>
      </c>
      <c r="R11" s="41">
        <v>251</v>
      </c>
      <c r="S11" s="41">
        <v>272</v>
      </c>
      <c r="T11" s="41">
        <v>261</v>
      </c>
      <c r="U11" s="41">
        <v>261</v>
      </c>
      <c r="V11" s="41">
        <v>251</v>
      </c>
      <c r="W11" s="41">
        <v>261</v>
      </c>
      <c r="X11" s="41">
        <v>426</v>
      </c>
      <c r="Y11" s="41">
        <v>261</v>
      </c>
      <c r="Z11" s="41">
        <v>261</v>
      </c>
      <c r="AA11" s="41">
        <v>261</v>
      </c>
      <c r="AB11" s="41">
        <v>272</v>
      </c>
      <c r="AC11" s="41">
        <v>261</v>
      </c>
      <c r="AD11" s="41">
        <v>272</v>
      </c>
      <c r="AE11" s="41">
        <v>251</v>
      </c>
      <c r="AF11" s="41">
        <v>251</v>
      </c>
      <c r="AG11" s="41">
        <v>272</v>
      </c>
      <c r="AH11" s="41">
        <v>272</v>
      </c>
      <c r="AI11" s="41">
        <v>272</v>
      </c>
      <c r="AJ11" s="41">
        <v>272</v>
      </c>
      <c r="AK11" s="41">
        <v>272</v>
      </c>
      <c r="AL11" s="41">
        <v>272</v>
      </c>
      <c r="AM11" s="41">
        <v>261</v>
      </c>
      <c r="AN11" s="41">
        <v>251</v>
      </c>
      <c r="AO11" s="41">
        <v>251</v>
      </c>
      <c r="AP11" s="41">
        <v>261</v>
      </c>
      <c r="AQ11" s="41">
        <v>261</v>
      </c>
      <c r="AR11" s="41">
        <v>272</v>
      </c>
      <c r="AS11" s="41">
        <v>251</v>
      </c>
      <c r="AT11" s="41">
        <v>261</v>
      </c>
      <c r="AU11" s="41">
        <v>261</v>
      </c>
      <c r="AV11" s="41">
        <v>261</v>
      </c>
      <c r="AW11" s="41">
        <v>251</v>
      </c>
      <c r="AX11" s="41">
        <v>272</v>
      </c>
      <c r="AY11" s="41">
        <v>272</v>
      </c>
      <c r="AZ11" s="41">
        <v>272</v>
      </c>
      <c r="BA11" s="41">
        <v>261</v>
      </c>
      <c r="BB11" s="41">
        <v>261</v>
      </c>
      <c r="BC11" s="41">
        <v>251</v>
      </c>
      <c r="BD11" s="41">
        <v>261</v>
      </c>
      <c r="BE11" s="41">
        <v>261</v>
      </c>
      <c r="BF11" s="41">
        <v>261</v>
      </c>
      <c r="BG11" s="41">
        <v>261</v>
      </c>
      <c r="BH11" s="41">
        <v>261</v>
      </c>
      <c r="BI11" s="41">
        <v>261</v>
      </c>
      <c r="BJ11" s="41">
        <v>251</v>
      </c>
      <c r="BK11" s="41">
        <v>198</v>
      </c>
      <c r="BL11" s="41">
        <v>215</v>
      </c>
      <c r="BM11" s="41">
        <v>251</v>
      </c>
      <c r="BN11" s="41">
        <v>198</v>
      </c>
      <c r="BO11" s="41">
        <v>261</v>
      </c>
      <c r="BP11" s="41">
        <v>284</v>
      </c>
      <c r="BQ11" s="41">
        <v>284</v>
      </c>
      <c r="BR11" s="41">
        <v>284</v>
      </c>
      <c r="BS11" s="41">
        <v>261</v>
      </c>
      <c r="BT11" s="41">
        <v>261</v>
      </c>
      <c r="BU11" s="41">
        <v>261</v>
      </c>
      <c r="BV11" s="41">
        <v>261</v>
      </c>
      <c r="BW11" s="41">
        <v>261</v>
      </c>
      <c r="BX11" s="41">
        <v>261</v>
      </c>
      <c r="BY11" s="41">
        <v>261</v>
      </c>
      <c r="BZ11" s="41">
        <v>261</v>
      </c>
      <c r="CA11" s="41">
        <v>338</v>
      </c>
      <c r="CB11" s="41">
        <v>251</v>
      </c>
      <c r="CC11" s="41">
        <v>215</v>
      </c>
      <c r="CD11" s="41">
        <v>215</v>
      </c>
      <c r="CE11" s="41">
        <v>261</v>
      </c>
      <c r="CF11" s="41">
        <v>247</v>
      </c>
      <c r="CG11" s="41">
        <v>272</v>
      </c>
      <c r="CH11" s="41">
        <v>272</v>
      </c>
      <c r="CI11" s="41">
        <v>284</v>
      </c>
      <c r="CJ11" s="41">
        <v>272</v>
      </c>
      <c r="CK11" s="41">
        <v>261</v>
      </c>
      <c r="CL11" s="41">
        <v>261</v>
      </c>
      <c r="CM11" s="41">
        <v>261</v>
      </c>
      <c r="CN11" s="41">
        <v>261</v>
      </c>
      <c r="CO11" s="41">
        <v>251</v>
      </c>
      <c r="CP11" s="41">
        <v>261</v>
      </c>
      <c r="CQ11" s="41">
        <v>215</v>
      </c>
      <c r="CR11" s="41">
        <v>215</v>
      </c>
      <c r="CS11" s="41">
        <v>215</v>
      </c>
      <c r="CT11" s="41">
        <v>215</v>
      </c>
      <c r="CU11" s="41">
        <v>215</v>
      </c>
    </row>
    <row r="12" spans="1:99" ht="15" customHeight="1">
      <c r="A12" s="2">
        <v>1750</v>
      </c>
      <c r="B12" s="64">
        <v>1</v>
      </c>
      <c r="C12" s="64"/>
      <c r="D12" s="64">
        <v>2</v>
      </c>
      <c r="E12" s="41">
        <v>293</v>
      </c>
      <c r="F12" s="41">
        <v>266</v>
      </c>
      <c r="G12" s="41">
        <v>293</v>
      </c>
      <c r="H12" s="41">
        <v>322</v>
      </c>
      <c r="I12" s="41">
        <v>322</v>
      </c>
      <c r="J12" s="41">
        <v>322</v>
      </c>
      <c r="K12" s="41">
        <v>310</v>
      </c>
      <c r="L12" s="41">
        <v>266</v>
      </c>
      <c r="M12" s="41">
        <v>310</v>
      </c>
      <c r="N12" s="41">
        <v>269</v>
      </c>
      <c r="O12" s="41">
        <v>310</v>
      </c>
      <c r="P12" s="41">
        <v>310</v>
      </c>
      <c r="Q12" s="41">
        <v>310</v>
      </c>
      <c r="R12" s="41">
        <v>269</v>
      </c>
      <c r="S12" s="41">
        <v>310</v>
      </c>
      <c r="T12" s="41">
        <v>293</v>
      </c>
      <c r="U12" s="41">
        <v>293</v>
      </c>
      <c r="V12" s="41">
        <v>269</v>
      </c>
      <c r="W12" s="41">
        <v>293</v>
      </c>
      <c r="X12" s="41">
        <v>501</v>
      </c>
      <c r="Y12" s="41">
        <v>293</v>
      </c>
      <c r="Z12" s="41">
        <v>293</v>
      </c>
      <c r="AA12" s="41">
        <v>293</v>
      </c>
      <c r="AB12" s="41">
        <v>310</v>
      </c>
      <c r="AC12" s="41">
        <v>293</v>
      </c>
      <c r="AD12" s="41">
        <v>310</v>
      </c>
      <c r="AE12" s="41">
        <v>269</v>
      </c>
      <c r="AF12" s="41">
        <v>269</v>
      </c>
      <c r="AG12" s="41">
        <v>310</v>
      </c>
      <c r="AH12" s="41">
        <v>310</v>
      </c>
      <c r="AI12" s="41">
        <v>310</v>
      </c>
      <c r="AJ12" s="41">
        <v>310</v>
      </c>
      <c r="AK12" s="41">
        <v>310</v>
      </c>
      <c r="AL12" s="41">
        <v>310</v>
      </c>
      <c r="AM12" s="41">
        <v>293</v>
      </c>
      <c r="AN12" s="41">
        <v>269</v>
      </c>
      <c r="AO12" s="41">
        <v>269</v>
      </c>
      <c r="AP12" s="41">
        <v>293</v>
      </c>
      <c r="AQ12" s="41">
        <v>293</v>
      </c>
      <c r="AR12" s="41">
        <v>310</v>
      </c>
      <c r="AS12" s="41">
        <v>269</v>
      </c>
      <c r="AT12" s="41">
        <v>293</v>
      </c>
      <c r="AU12" s="41">
        <v>293</v>
      </c>
      <c r="AV12" s="41">
        <v>293</v>
      </c>
      <c r="AW12" s="41">
        <v>269</v>
      </c>
      <c r="AX12" s="41">
        <v>310</v>
      </c>
      <c r="AY12" s="41">
        <v>310</v>
      </c>
      <c r="AZ12" s="41">
        <v>310</v>
      </c>
      <c r="BA12" s="41">
        <v>293</v>
      </c>
      <c r="BB12" s="41">
        <v>293</v>
      </c>
      <c r="BC12" s="41">
        <v>269</v>
      </c>
      <c r="BD12" s="41">
        <v>293</v>
      </c>
      <c r="BE12" s="41">
        <v>293</v>
      </c>
      <c r="BF12" s="41">
        <v>293</v>
      </c>
      <c r="BG12" s="41">
        <v>293</v>
      </c>
      <c r="BH12" s="41">
        <v>293</v>
      </c>
      <c r="BI12" s="41">
        <v>293</v>
      </c>
      <c r="BJ12" s="41">
        <v>269</v>
      </c>
      <c r="BK12" s="41">
        <v>219</v>
      </c>
      <c r="BL12" s="41">
        <v>237</v>
      </c>
      <c r="BM12" s="41">
        <v>269</v>
      </c>
      <c r="BN12" s="41">
        <v>219</v>
      </c>
      <c r="BO12" s="41">
        <v>293</v>
      </c>
      <c r="BP12" s="41">
        <v>322</v>
      </c>
      <c r="BQ12" s="41">
        <v>322</v>
      </c>
      <c r="BR12" s="41">
        <v>322</v>
      </c>
      <c r="BS12" s="41">
        <v>293</v>
      </c>
      <c r="BT12" s="41">
        <v>293</v>
      </c>
      <c r="BU12" s="41">
        <v>293</v>
      </c>
      <c r="BV12" s="41">
        <v>293</v>
      </c>
      <c r="BW12" s="41">
        <v>293</v>
      </c>
      <c r="BX12" s="41">
        <v>293</v>
      </c>
      <c r="BY12" s="41">
        <v>293</v>
      </c>
      <c r="BZ12" s="41">
        <v>293</v>
      </c>
      <c r="CA12" s="41">
        <v>361</v>
      </c>
      <c r="CB12" s="41">
        <v>269</v>
      </c>
      <c r="CC12" s="41">
        <v>237</v>
      </c>
      <c r="CD12" s="41">
        <v>237</v>
      </c>
      <c r="CE12" s="41">
        <v>293</v>
      </c>
      <c r="CF12" s="41">
        <v>266</v>
      </c>
      <c r="CG12" s="41">
        <v>310</v>
      </c>
      <c r="CH12" s="41">
        <v>310</v>
      </c>
      <c r="CI12" s="41">
        <v>322</v>
      </c>
      <c r="CJ12" s="41">
        <v>310</v>
      </c>
      <c r="CK12" s="41">
        <v>293</v>
      </c>
      <c r="CL12" s="41">
        <v>293</v>
      </c>
      <c r="CM12" s="41">
        <v>293</v>
      </c>
      <c r="CN12" s="41">
        <v>293</v>
      </c>
      <c r="CO12" s="41">
        <v>269</v>
      </c>
      <c r="CP12" s="41">
        <v>293</v>
      </c>
      <c r="CQ12" s="41">
        <v>237</v>
      </c>
      <c r="CR12" s="41">
        <v>237</v>
      </c>
      <c r="CS12" s="41">
        <v>237</v>
      </c>
      <c r="CT12" s="41">
        <v>237</v>
      </c>
      <c r="CU12" s="41">
        <v>237</v>
      </c>
    </row>
    <row r="13" spans="1:99" ht="15" customHeight="1">
      <c r="A13" s="2">
        <v>2100</v>
      </c>
      <c r="B13" s="64">
        <v>1.2</v>
      </c>
      <c r="C13" s="64">
        <v>3</v>
      </c>
      <c r="D13" s="64"/>
      <c r="E13" s="41">
        <v>343</v>
      </c>
      <c r="F13" s="41">
        <v>312</v>
      </c>
      <c r="G13" s="41">
        <v>343</v>
      </c>
      <c r="H13" s="41">
        <v>376</v>
      </c>
      <c r="I13" s="41">
        <v>376</v>
      </c>
      <c r="J13" s="41">
        <v>376</v>
      </c>
      <c r="K13" s="41">
        <v>362</v>
      </c>
      <c r="L13" s="41">
        <v>312</v>
      </c>
      <c r="M13" s="41">
        <v>362</v>
      </c>
      <c r="N13" s="41">
        <v>317</v>
      </c>
      <c r="O13" s="41">
        <v>362</v>
      </c>
      <c r="P13" s="41">
        <v>362</v>
      </c>
      <c r="Q13" s="41">
        <v>362</v>
      </c>
      <c r="R13" s="41">
        <v>317</v>
      </c>
      <c r="S13" s="41">
        <v>362</v>
      </c>
      <c r="T13" s="41">
        <v>343</v>
      </c>
      <c r="U13" s="41">
        <v>343</v>
      </c>
      <c r="V13" s="41">
        <v>317</v>
      </c>
      <c r="W13" s="41">
        <v>343</v>
      </c>
      <c r="X13" s="41">
        <v>594</v>
      </c>
      <c r="Y13" s="41">
        <v>343</v>
      </c>
      <c r="Z13" s="41">
        <v>343</v>
      </c>
      <c r="AA13" s="41">
        <v>343</v>
      </c>
      <c r="AB13" s="41">
        <v>362</v>
      </c>
      <c r="AC13" s="41">
        <v>343</v>
      </c>
      <c r="AD13" s="41">
        <v>362</v>
      </c>
      <c r="AE13" s="41">
        <v>317</v>
      </c>
      <c r="AF13" s="41">
        <v>317</v>
      </c>
      <c r="AG13" s="41">
        <v>362</v>
      </c>
      <c r="AH13" s="41">
        <v>362</v>
      </c>
      <c r="AI13" s="41">
        <v>362</v>
      </c>
      <c r="AJ13" s="41">
        <v>362</v>
      </c>
      <c r="AK13" s="41">
        <v>362</v>
      </c>
      <c r="AL13" s="41">
        <v>362</v>
      </c>
      <c r="AM13" s="41">
        <v>343</v>
      </c>
      <c r="AN13" s="41">
        <v>317</v>
      </c>
      <c r="AO13" s="41">
        <v>317</v>
      </c>
      <c r="AP13" s="41">
        <v>343</v>
      </c>
      <c r="AQ13" s="41">
        <v>343</v>
      </c>
      <c r="AR13" s="41">
        <v>362</v>
      </c>
      <c r="AS13" s="41">
        <v>317</v>
      </c>
      <c r="AT13" s="41">
        <v>343</v>
      </c>
      <c r="AU13" s="41">
        <v>343</v>
      </c>
      <c r="AV13" s="41">
        <v>343</v>
      </c>
      <c r="AW13" s="41">
        <v>317</v>
      </c>
      <c r="AX13" s="41">
        <v>362</v>
      </c>
      <c r="AY13" s="41">
        <v>362</v>
      </c>
      <c r="AZ13" s="41">
        <v>362</v>
      </c>
      <c r="BA13" s="41">
        <v>343</v>
      </c>
      <c r="BB13" s="41">
        <v>343</v>
      </c>
      <c r="BC13" s="41">
        <v>317</v>
      </c>
      <c r="BD13" s="41">
        <v>343</v>
      </c>
      <c r="BE13" s="41">
        <v>343</v>
      </c>
      <c r="BF13" s="41">
        <v>343</v>
      </c>
      <c r="BG13" s="41">
        <v>343</v>
      </c>
      <c r="BH13" s="41">
        <v>343</v>
      </c>
      <c r="BI13" s="41">
        <v>343</v>
      </c>
      <c r="BJ13" s="41">
        <v>317</v>
      </c>
      <c r="BK13" s="41">
        <v>258</v>
      </c>
      <c r="BL13" s="41">
        <v>281</v>
      </c>
      <c r="BM13" s="41">
        <v>317</v>
      </c>
      <c r="BN13" s="41">
        <v>258</v>
      </c>
      <c r="BO13" s="41">
        <v>343</v>
      </c>
      <c r="BP13" s="41">
        <v>376</v>
      </c>
      <c r="BQ13" s="41">
        <v>376</v>
      </c>
      <c r="BR13" s="41">
        <v>376</v>
      </c>
      <c r="BS13" s="41">
        <v>343</v>
      </c>
      <c r="BT13" s="41">
        <v>343</v>
      </c>
      <c r="BU13" s="41">
        <v>343</v>
      </c>
      <c r="BV13" s="41">
        <v>343</v>
      </c>
      <c r="BW13" s="41">
        <v>343</v>
      </c>
      <c r="BX13" s="41">
        <v>343</v>
      </c>
      <c r="BY13" s="41">
        <v>343</v>
      </c>
      <c r="BZ13" s="41">
        <v>343</v>
      </c>
      <c r="CA13" s="41">
        <v>404</v>
      </c>
      <c r="CB13" s="41">
        <v>317</v>
      </c>
      <c r="CC13" s="41">
        <v>281</v>
      </c>
      <c r="CD13" s="41">
        <v>281</v>
      </c>
      <c r="CE13" s="41">
        <v>343</v>
      </c>
      <c r="CF13" s="41">
        <v>312</v>
      </c>
      <c r="CG13" s="41">
        <v>362</v>
      </c>
      <c r="CH13" s="41">
        <v>362</v>
      </c>
      <c r="CI13" s="41">
        <v>376</v>
      </c>
      <c r="CJ13" s="41">
        <v>362</v>
      </c>
      <c r="CK13" s="41">
        <v>343</v>
      </c>
      <c r="CL13" s="41">
        <v>343</v>
      </c>
      <c r="CM13" s="41">
        <v>343</v>
      </c>
      <c r="CN13" s="41">
        <v>343</v>
      </c>
      <c r="CO13" s="41">
        <v>317</v>
      </c>
      <c r="CP13" s="41">
        <v>343</v>
      </c>
      <c r="CQ13" s="41">
        <v>281</v>
      </c>
      <c r="CR13" s="41">
        <v>281</v>
      </c>
      <c r="CS13" s="41">
        <v>281</v>
      </c>
      <c r="CT13" s="41">
        <v>281</v>
      </c>
      <c r="CU13" s="41">
        <v>281</v>
      </c>
    </row>
    <row r="14" spans="1:99" ht="15" customHeight="1">
      <c r="A14" s="2">
        <v>2625</v>
      </c>
      <c r="B14" s="64">
        <v>1.5</v>
      </c>
      <c r="C14" s="64"/>
      <c r="D14" s="64">
        <v>3</v>
      </c>
      <c r="E14" s="41">
        <v>413</v>
      </c>
      <c r="F14" s="41">
        <v>373</v>
      </c>
      <c r="G14" s="41">
        <v>413</v>
      </c>
      <c r="H14" s="41">
        <v>456</v>
      </c>
      <c r="I14" s="41">
        <v>456</v>
      </c>
      <c r="J14" s="41">
        <v>456</v>
      </c>
      <c r="K14" s="41">
        <v>436</v>
      </c>
      <c r="L14" s="41">
        <v>373</v>
      </c>
      <c r="M14" s="41">
        <v>436</v>
      </c>
      <c r="N14" s="41">
        <v>378</v>
      </c>
      <c r="O14" s="41">
        <v>436</v>
      </c>
      <c r="P14" s="41">
        <v>436</v>
      </c>
      <c r="Q14" s="41">
        <v>436</v>
      </c>
      <c r="R14" s="41">
        <v>378</v>
      </c>
      <c r="S14" s="41">
        <v>436</v>
      </c>
      <c r="T14" s="41">
        <v>413</v>
      </c>
      <c r="U14" s="41">
        <v>413</v>
      </c>
      <c r="V14" s="41">
        <v>378</v>
      </c>
      <c r="W14" s="41">
        <v>413</v>
      </c>
      <c r="X14" s="41">
        <v>714</v>
      </c>
      <c r="Y14" s="41">
        <v>413</v>
      </c>
      <c r="Z14" s="41">
        <v>413</v>
      </c>
      <c r="AA14" s="41">
        <v>413</v>
      </c>
      <c r="AB14" s="41">
        <v>436</v>
      </c>
      <c r="AC14" s="41">
        <v>413</v>
      </c>
      <c r="AD14" s="41">
        <v>436</v>
      </c>
      <c r="AE14" s="41">
        <v>378</v>
      </c>
      <c r="AF14" s="41">
        <v>378</v>
      </c>
      <c r="AG14" s="41">
        <v>436</v>
      </c>
      <c r="AH14" s="41">
        <v>436</v>
      </c>
      <c r="AI14" s="41">
        <v>436</v>
      </c>
      <c r="AJ14" s="41">
        <v>436</v>
      </c>
      <c r="AK14" s="41">
        <v>436</v>
      </c>
      <c r="AL14" s="41">
        <v>436</v>
      </c>
      <c r="AM14" s="41">
        <v>413</v>
      </c>
      <c r="AN14" s="41">
        <v>378</v>
      </c>
      <c r="AO14" s="41">
        <v>378</v>
      </c>
      <c r="AP14" s="41">
        <v>413</v>
      </c>
      <c r="AQ14" s="41">
        <v>413</v>
      </c>
      <c r="AR14" s="41">
        <v>436</v>
      </c>
      <c r="AS14" s="41">
        <v>378</v>
      </c>
      <c r="AT14" s="41">
        <v>413</v>
      </c>
      <c r="AU14" s="41">
        <v>413</v>
      </c>
      <c r="AV14" s="41">
        <v>413</v>
      </c>
      <c r="AW14" s="41">
        <v>378</v>
      </c>
      <c r="AX14" s="41">
        <v>436</v>
      </c>
      <c r="AY14" s="41">
        <v>436</v>
      </c>
      <c r="AZ14" s="41">
        <v>436</v>
      </c>
      <c r="BA14" s="41">
        <v>413</v>
      </c>
      <c r="BB14" s="41">
        <v>413</v>
      </c>
      <c r="BC14" s="41">
        <v>378</v>
      </c>
      <c r="BD14" s="41">
        <v>413</v>
      </c>
      <c r="BE14" s="41">
        <v>413</v>
      </c>
      <c r="BF14" s="41">
        <v>413</v>
      </c>
      <c r="BG14" s="41">
        <v>413</v>
      </c>
      <c r="BH14" s="41">
        <v>413</v>
      </c>
      <c r="BI14" s="41">
        <v>413</v>
      </c>
      <c r="BJ14" s="41">
        <v>378</v>
      </c>
      <c r="BK14" s="41">
        <v>306</v>
      </c>
      <c r="BL14" s="41">
        <v>331</v>
      </c>
      <c r="BM14" s="41">
        <v>378</v>
      </c>
      <c r="BN14" s="41">
        <v>306</v>
      </c>
      <c r="BO14" s="41">
        <v>413</v>
      </c>
      <c r="BP14" s="41">
        <v>456</v>
      </c>
      <c r="BQ14" s="41">
        <v>456</v>
      </c>
      <c r="BR14" s="41">
        <v>456</v>
      </c>
      <c r="BS14" s="41">
        <v>413</v>
      </c>
      <c r="BT14" s="41">
        <v>413</v>
      </c>
      <c r="BU14" s="41">
        <v>413</v>
      </c>
      <c r="BV14" s="41">
        <v>413</v>
      </c>
      <c r="BW14" s="41">
        <v>413</v>
      </c>
      <c r="BX14" s="41">
        <v>413</v>
      </c>
      <c r="BY14" s="41">
        <v>413</v>
      </c>
      <c r="BZ14" s="41">
        <v>413</v>
      </c>
      <c r="CA14" s="41">
        <v>455</v>
      </c>
      <c r="CB14" s="41">
        <v>378</v>
      </c>
      <c r="CC14" s="41">
        <v>331</v>
      </c>
      <c r="CD14" s="41">
        <v>331</v>
      </c>
      <c r="CE14" s="41">
        <v>413</v>
      </c>
      <c r="CF14" s="41">
        <v>373</v>
      </c>
      <c r="CG14" s="41">
        <v>436</v>
      </c>
      <c r="CH14" s="41">
        <v>436</v>
      </c>
      <c r="CI14" s="41">
        <v>456</v>
      </c>
      <c r="CJ14" s="41">
        <v>436</v>
      </c>
      <c r="CK14" s="41">
        <v>413</v>
      </c>
      <c r="CL14" s="41">
        <v>413</v>
      </c>
      <c r="CM14" s="41">
        <v>413</v>
      </c>
      <c r="CN14" s="41">
        <v>413</v>
      </c>
      <c r="CO14" s="41">
        <v>378</v>
      </c>
      <c r="CP14" s="41">
        <v>413</v>
      </c>
      <c r="CQ14" s="41">
        <v>331</v>
      </c>
      <c r="CR14" s="41">
        <v>331</v>
      </c>
      <c r="CS14" s="41">
        <v>331</v>
      </c>
      <c r="CT14" s="41">
        <v>331</v>
      </c>
      <c r="CU14" s="41">
        <v>331</v>
      </c>
    </row>
    <row r="15" spans="1:99" ht="15" customHeight="1">
      <c r="A15" s="2">
        <v>2800</v>
      </c>
      <c r="B15" s="64">
        <v>1.6</v>
      </c>
      <c r="C15" s="64">
        <v>4</v>
      </c>
      <c r="D15" s="64"/>
      <c r="E15" s="41">
        <v>444</v>
      </c>
      <c r="F15" s="41">
        <v>402</v>
      </c>
      <c r="G15" s="41">
        <v>444</v>
      </c>
      <c r="H15" s="41">
        <v>487</v>
      </c>
      <c r="I15" s="41">
        <v>487</v>
      </c>
      <c r="J15" s="41">
        <v>487</v>
      </c>
      <c r="K15" s="41">
        <v>468</v>
      </c>
      <c r="L15" s="41">
        <v>402</v>
      </c>
      <c r="M15" s="41">
        <v>468</v>
      </c>
      <c r="N15" s="41">
        <v>409</v>
      </c>
      <c r="O15" s="41">
        <v>468</v>
      </c>
      <c r="P15" s="41">
        <v>468</v>
      </c>
      <c r="Q15" s="41">
        <v>468</v>
      </c>
      <c r="R15" s="41">
        <v>409</v>
      </c>
      <c r="S15" s="41">
        <v>468</v>
      </c>
      <c r="T15" s="41">
        <v>444</v>
      </c>
      <c r="U15" s="41">
        <v>444</v>
      </c>
      <c r="V15" s="41">
        <v>409</v>
      </c>
      <c r="W15" s="41">
        <v>444</v>
      </c>
      <c r="X15" s="41">
        <v>778</v>
      </c>
      <c r="Y15" s="41">
        <v>444</v>
      </c>
      <c r="Z15" s="41">
        <v>444</v>
      </c>
      <c r="AA15" s="41">
        <v>444</v>
      </c>
      <c r="AB15" s="41">
        <v>468</v>
      </c>
      <c r="AC15" s="41">
        <v>444</v>
      </c>
      <c r="AD15" s="41">
        <v>468</v>
      </c>
      <c r="AE15" s="41">
        <v>409</v>
      </c>
      <c r="AF15" s="41">
        <v>409</v>
      </c>
      <c r="AG15" s="41">
        <v>468</v>
      </c>
      <c r="AH15" s="41">
        <v>468</v>
      </c>
      <c r="AI15" s="41">
        <v>468</v>
      </c>
      <c r="AJ15" s="41">
        <v>468</v>
      </c>
      <c r="AK15" s="41">
        <v>468</v>
      </c>
      <c r="AL15" s="41">
        <v>468</v>
      </c>
      <c r="AM15" s="41">
        <v>444</v>
      </c>
      <c r="AN15" s="41">
        <v>409</v>
      </c>
      <c r="AO15" s="41">
        <v>409</v>
      </c>
      <c r="AP15" s="41">
        <v>444</v>
      </c>
      <c r="AQ15" s="41">
        <v>444</v>
      </c>
      <c r="AR15" s="41">
        <v>468</v>
      </c>
      <c r="AS15" s="41">
        <v>409</v>
      </c>
      <c r="AT15" s="41">
        <v>444</v>
      </c>
      <c r="AU15" s="41">
        <v>444</v>
      </c>
      <c r="AV15" s="41">
        <v>444</v>
      </c>
      <c r="AW15" s="41">
        <v>409</v>
      </c>
      <c r="AX15" s="41">
        <v>468</v>
      </c>
      <c r="AY15" s="41">
        <v>468</v>
      </c>
      <c r="AZ15" s="41">
        <v>468</v>
      </c>
      <c r="BA15" s="41">
        <v>444</v>
      </c>
      <c r="BB15" s="41">
        <v>444</v>
      </c>
      <c r="BC15" s="41">
        <v>409</v>
      </c>
      <c r="BD15" s="41">
        <v>444</v>
      </c>
      <c r="BE15" s="41">
        <v>444</v>
      </c>
      <c r="BF15" s="41">
        <v>444</v>
      </c>
      <c r="BG15" s="41">
        <v>444</v>
      </c>
      <c r="BH15" s="41">
        <v>444</v>
      </c>
      <c r="BI15" s="41">
        <v>444</v>
      </c>
      <c r="BJ15" s="41">
        <v>409</v>
      </c>
      <c r="BK15" s="41">
        <v>333</v>
      </c>
      <c r="BL15" s="41">
        <v>361</v>
      </c>
      <c r="BM15" s="41">
        <v>409</v>
      </c>
      <c r="BN15" s="41">
        <v>333</v>
      </c>
      <c r="BO15" s="41">
        <v>444</v>
      </c>
      <c r="BP15" s="41">
        <v>487</v>
      </c>
      <c r="BQ15" s="41">
        <v>487</v>
      </c>
      <c r="BR15" s="41">
        <v>487</v>
      </c>
      <c r="BS15" s="41">
        <v>444</v>
      </c>
      <c r="BT15" s="41">
        <v>444</v>
      </c>
      <c r="BU15" s="41">
        <v>444</v>
      </c>
      <c r="BV15" s="41">
        <v>444</v>
      </c>
      <c r="BW15" s="41">
        <v>444</v>
      </c>
      <c r="BX15" s="41">
        <v>444</v>
      </c>
      <c r="BY15" s="41">
        <v>444</v>
      </c>
      <c r="BZ15" s="41">
        <v>444</v>
      </c>
      <c r="CA15" s="41">
        <v>484</v>
      </c>
      <c r="CB15" s="41">
        <v>409</v>
      </c>
      <c r="CC15" s="41">
        <v>361</v>
      </c>
      <c r="CD15" s="41">
        <v>361</v>
      </c>
      <c r="CE15" s="41">
        <v>444</v>
      </c>
      <c r="CF15" s="41">
        <v>402</v>
      </c>
      <c r="CG15" s="41">
        <v>468</v>
      </c>
      <c r="CH15" s="41">
        <v>468</v>
      </c>
      <c r="CI15" s="41">
        <v>487</v>
      </c>
      <c r="CJ15" s="41">
        <v>468</v>
      </c>
      <c r="CK15" s="41">
        <v>444</v>
      </c>
      <c r="CL15" s="41">
        <v>444</v>
      </c>
      <c r="CM15" s="41">
        <v>444</v>
      </c>
      <c r="CN15" s="41">
        <v>444</v>
      </c>
      <c r="CO15" s="41">
        <v>409</v>
      </c>
      <c r="CP15" s="41">
        <v>444</v>
      </c>
      <c r="CQ15" s="41">
        <v>361</v>
      </c>
      <c r="CR15" s="41">
        <v>361</v>
      </c>
      <c r="CS15" s="41">
        <v>361</v>
      </c>
      <c r="CT15" s="41">
        <v>361</v>
      </c>
      <c r="CU15" s="41">
        <v>361</v>
      </c>
    </row>
    <row r="16" spans="1:99" ht="15" customHeight="1">
      <c r="A16" s="2">
        <v>3500</v>
      </c>
      <c r="B16" s="64">
        <v>2</v>
      </c>
      <c r="C16" s="64">
        <v>5</v>
      </c>
      <c r="D16" s="64">
        <v>4</v>
      </c>
      <c r="E16" s="41">
        <v>489</v>
      </c>
      <c r="F16" s="41">
        <v>443</v>
      </c>
      <c r="G16" s="41">
        <v>489</v>
      </c>
      <c r="H16" s="41">
        <v>536</v>
      </c>
      <c r="I16" s="41">
        <v>536</v>
      </c>
      <c r="J16" s="41">
        <v>536</v>
      </c>
      <c r="K16" s="41">
        <v>514</v>
      </c>
      <c r="L16" s="41">
        <v>443</v>
      </c>
      <c r="M16" s="41">
        <v>514</v>
      </c>
      <c r="N16" s="41">
        <v>451</v>
      </c>
      <c r="O16" s="41">
        <v>514</v>
      </c>
      <c r="P16" s="41">
        <v>514</v>
      </c>
      <c r="Q16" s="41">
        <v>514</v>
      </c>
      <c r="R16" s="41">
        <v>451</v>
      </c>
      <c r="S16" s="41">
        <v>514</v>
      </c>
      <c r="T16" s="41">
        <v>489</v>
      </c>
      <c r="U16" s="41">
        <v>489</v>
      </c>
      <c r="V16" s="41">
        <v>451</v>
      </c>
      <c r="W16" s="41">
        <v>489</v>
      </c>
      <c r="X16" s="41" t="s">
        <v>72</v>
      </c>
      <c r="Y16" s="41">
        <v>489</v>
      </c>
      <c r="Z16" s="41">
        <v>489</v>
      </c>
      <c r="AA16" s="41">
        <v>489</v>
      </c>
      <c r="AB16" s="41">
        <v>514</v>
      </c>
      <c r="AC16" s="41">
        <v>489</v>
      </c>
      <c r="AD16" s="41">
        <v>514</v>
      </c>
      <c r="AE16" s="41">
        <v>451</v>
      </c>
      <c r="AF16" s="41">
        <v>451</v>
      </c>
      <c r="AG16" s="41">
        <v>514</v>
      </c>
      <c r="AH16" s="41">
        <v>514</v>
      </c>
      <c r="AI16" s="41">
        <v>514</v>
      </c>
      <c r="AJ16" s="41">
        <v>514</v>
      </c>
      <c r="AK16" s="41">
        <v>514</v>
      </c>
      <c r="AL16" s="41">
        <v>514</v>
      </c>
      <c r="AM16" s="41">
        <v>489</v>
      </c>
      <c r="AN16" s="41">
        <v>451</v>
      </c>
      <c r="AO16" s="41">
        <v>451</v>
      </c>
      <c r="AP16" s="41">
        <v>489</v>
      </c>
      <c r="AQ16" s="41">
        <v>489</v>
      </c>
      <c r="AR16" s="41">
        <v>514</v>
      </c>
      <c r="AS16" s="41">
        <v>451</v>
      </c>
      <c r="AT16" s="41">
        <v>489</v>
      </c>
      <c r="AU16" s="41">
        <v>489</v>
      </c>
      <c r="AV16" s="41">
        <v>489</v>
      </c>
      <c r="AW16" s="41">
        <v>451</v>
      </c>
      <c r="AX16" s="41">
        <v>514</v>
      </c>
      <c r="AY16" s="41">
        <v>514</v>
      </c>
      <c r="AZ16" s="41">
        <v>514</v>
      </c>
      <c r="BA16" s="41">
        <v>489</v>
      </c>
      <c r="BB16" s="41">
        <v>489</v>
      </c>
      <c r="BC16" s="41">
        <v>451</v>
      </c>
      <c r="BD16" s="41">
        <v>489</v>
      </c>
      <c r="BE16" s="41">
        <v>489</v>
      </c>
      <c r="BF16" s="41">
        <v>489</v>
      </c>
      <c r="BG16" s="41">
        <v>489</v>
      </c>
      <c r="BH16" s="41">
        <v>489</v>
      </c>
      <c r="BI16" s="41">
        <v>489</v>
      </c>
      <c r="BJ16" s="41">
        <v>451</v>
      </c>
      <c r="BK16" s="41">
        <v>366</v>
      </c>
      <c r="BL16" s="41">
        <v>399</v>
      </c>
      <c r="BM16" s="41">
        <v>451</v>
      </c>
      <c r="BN16" s="41">
        <v>366</v>
      </c>
      <c r="BO16" s="41">
        <v>489</v>
      </c>
      <c r="BP16" s="41">
        <v>536</v>
      </c>
      <c r="BQ16" s="41">
        <v>536</v>
      </c>
      <c r="BR16" s="41">
        <v>536</v>
      </c>
      <c r="BS16" s="41">
        <v>489</v>
      </c>
      <c r="BT16" s="41">
        <v>489</v>
      </c>
      <c r="BU16" s="41">
        <v>489</v>
      </c>
      <c r="BV16" s="41">
        <v>489</v>
      </c>
      <c r="BW16" s="41">
        <v>489</v>
      </c>
      <c r="BX16" s="41">
        <v>489</v>
      </c>
      <c r="BY16" s="41">
        <v>489</v>
      </c>
      <c r="BZ16" s="41">
        <v>489</v>
      </c>
      <c r="CA16" s="41" t="s">
        <v>72</v>
      </c>
      <c r="CB16" s="41">
        <v>451</v>
      </c>
      <c r="CC16" s="41">
        <v>399</v>
      </c>
      <c r="CD16" s="41">
        <v>399</v>
      </c>
      <c r="CE16" s="41">
        <v>489</v>
      </c>
      <c r="CF16" s="41">
        <v>443</v>
      </c>
      <c r="CG16" s="41">
        <v>514</v>
      </c>
      <c r="CH16" s="41">
        <v>514</v>
      </c>
      <c r="CI16" s="41">
        <v>536</v>
      </c>
      <c r="CJ16" s="41">
        <v>514</v>
      </c>
      <c r="CK16" s="41">
        <v>489</v>
      </c>
      <c r="CL16" s="41">
        <v>489</v>
      </c>
      <c r="CM16" s="41">
        <v>489</v>
      </c>
      <c r="CN16" s="41">
        <v>489</v>
      </c>
      <c r="CO16" s="41">
        <v>451</v>
      </c>
      <c r="CP16" s="41">
        <v>489</v>
      </c>
      <c r="CQ16" s="41">
        <v>399</v>
      </c>
      <c r="CR16" s="41">
        <v>399</v>
      </c>
      <c r="CS16" s="41">
        <v>399</v>
      </c>
      <c r="CT16" s="41">
        <v>399</v>
      </c>
      <c r="CU16" s="41">
        <v>399</v>
      </c>
    </row>
    <row r="17" spans="1:99" ht="15" customHeight="1">
      <c r="A17" s="2">
        <v>4200</v>
      </c>
      <c r="B17" s="2">
        <v>2.4</v>
      </c>
      <c r="C17" s="2">
        <v>6</v>
      </c>
      <c r="D17" s="2"/>
      <c r="E17" s="41">
        <v>539</v>
      </c>
      <c r="F17" s="41">
        <v>459</v>
      </c>
      <c r="G17" s="41">
        <v>539</v>
      </c>
      <c r="H17" s="41">
        <v>637</v>
      </c>
      <c r="I17" s="41">
        <v>627</v>
      </c>
      <c r="J17" s="41">
        <v>667</v>
      </c>
      <c r="K17" s="41">
        <v>579</v>
      </c>
      <c r="L17" s="41">
        <v>460</v>
      </c>
      <c r="M17" s="41">
        <v>637</v>
      </c>
      <c r="N17" s="41">
        <v>485</v>
      </c>
      <c r="O17" s="41">
        <v>627</v>
      </c>
      <c r="P17" s="41">
        <v>603</v>
      </c>
      <c r="Q17" s="41">
        <v>627</v>
      </c>
      <c r="R17" s="41">
        <v>483</v>
      </c>
      <c r="S17" s="41">
        <v>579</v>
      </c>
      <c r="T17" s="41">
        <v>574</v>
      </c>
      <c r="U17" s="41">
        <v>574</v>
      </c>
      <c r="V17" s="41">
        <v>489</v>
      </c>
      <c r="W17" s="41">
        <v>579</v>
      </c>
      <c r="X17" s="41" t="s">
        <v>72</v>
      </c>
      <c r="Y17" s="41">
        <v>513</v>
      </c>
      <c r="Z17" s="41">
        <v>548</v>
      </c>
      <c r="AA17" s="41">
        <v>548</v>
      </c>
      <c r="AB17" s="41">
        <v>579</v>
      </c>
      <c r="AC17" s="41">
        <v>533</v>
      </c>
      <c r="AD17" s="41">
        <v>579</v>
      </c>
      <c r="AE17" s="41">
        <v>472</v>
      </c>
      <c r="AF17" s="41">
        <v>472</v>
      </c>
      <c r="AG17" s="41">
        <v>627</v>
      </c>
      <c r="AH17" s="41">
        <v>603</v>
      </c>
      <c r="AI17" s="41">
        <v>627</v>
      </c>
      <c r="AJ17" s="41">
        <v>627</v>
      </c>
      <c r="AK17" s="41">
        <v>579</v>
      </c>
      <c r="AL17" s="41">
        <v>603</v>
      </c>
      <c r="AM17" s="41">
        <v>518</v>
      </c>
      <c r="AN17" s="41">
        <v>489</v>
      </c>
      <c r="AO17" s="41">
        <v>489</v>
      </c>
      <c r="AP17" s="41">
        <v>579</v>
      </c>
      <c r="AQ17" s="41">
        <v>541</v>
      </c>
      <c r="AR17" s="41">
        <v>603</v>
      </c>
      <c r="AS17" s="41">
        <v>491</v>
      </c>
      <c r="AT17" s="41">
        <v>579</v>
      </c>
      <c r="AU17" s="41">
        <v>579</v>
      </c>
      <c r="AV17" s="41">
        <v>518</v>
      </c>
      <c r="AW17" s="41">
        <v>471</v>
      </c>
      <c r="AX17" s="41">
        <v>603</v>
      </c>
      <c r="AY17" s="41">
        <v>603</v>
      </c>
      <c r="AZ17" s="41">
        <v>603</v>
      </c>
      <c r="BA17" s="41">
        <v>518</v>
      </c>
      <c r="BB17" s="41">
        <v>513</v>
      </c>
      <c r="BC17" s="41">
        <v>472</v>
      </c>
      <c r="BD17" s="41">
        <v>507</v>
      </c>
      <c r="BE17" s="41">
        <v>512</v>
      </c>
      <c r="BF17" s="41">
        <v>508</v>
      </c>
      <c r="BG17" s="41">
        <v>508</v>
      </c>
      <c r="BH17" s="41">
        <v>569</v>
      </c>
      <c r="BI17" s="41">
        <v>505</v>
      </c>
      <c r="BJ17" s="41">
        <v>489</v>
      </c>
      <c r="BK17" s="41">
        <v>382</v>
      </c>
      <c r="BL17" s="41">
        <v>413</v>
      </c>
      <c r="BM17" s="41">
        <v>491</v>
      </c>
      <c r="BN17" s="41">
        <v>382</v>
      </c>
      <c r="BO17" s="41">
        <v>548</v>
      </c>
      <c r="BP17" s="41">
        <v>637</v>
      </c>
      <c r="BQ17" s="41">
        <v>637</v>
      </c>
      <c r="BR17" s="41">
        <v>637</v>
      </c>
      <c r="BS17" s="41">
        <v>509</v>
      </c>
      <c r="BT17" s="41">
        <v>503</v>
      </c>
      <c r="BU17" s="41">
        <v>548</v>
      </c>
      <c r="BV17" s="41">
        <v>504</v>
      </c>
      <c r="BW17" s="41">
        <v>518</v>
      </c>
      <c r="BX17" s="41">
        <v>512</v>
      </c>
      <c r="BY17" s="41">
        <v>579</v>
      </c>
      <c r="BZ17" s="41">
        <v>548</v>
      </c>
      <c r="CA17" s="41" t="s">
        <v>72</v>
      </c>
      <c r="CB17" s="41">
        <v>472</v>
      </c>
      <c r="CC17" s="41">
        <v>433</v>
      </c>
      <c r="CD17" s="41">
        <v>429</v>
      </c>
      <c r="CE17" s="41">
        <v>518</v>
      </c>
      <c r="CF17" s="41">
        <v>459</v>
      </c>
      <c r="CG17" s="41">
        <v>627</v>
      </c>
      <c r="CH17" s="41">
        <v>627</v>
      </c>
      <c r="CI17" s="41">
        <v>627</v>
      </c>
      <c r="CJ17" s="41">
        <v>603</v>
      </c>
      <c r="CK17" s="41">
        <v>518</v>
      </c>
      <c r="CL17" s="41">
        <v>518</v>
      </c>
      <c r="CM17" s="41">
        <v>548</v>
      </c>
      <c r="CN17" s="41">
        <v>509</v>
      </c>
      <c r="CO17" s="41">
        <v>491</v>
      </c>
      <c r="CP17" s="41">
        <v>512</v>
      </c>
      <c r="CQ17" s="41">
        <v>433</v>
      </c>
      <c r="CR17" s="41">
        <v>429</v>
      </c>
      <c r="CS17" s="41">
        <v>422</v>
      </c>
      <c r="CT17" s="41">
        <v>429</v>
      </c>
      <c r="CU17" s="41">
        <v>429</v>
      </c>
    </row>
    <row r="18" spans="1:99" ht="15" customHeight="1">
      <c r="A18" s="2">
        <v>4375</v>
      </c>
      <c r="B18" s="2">
        <v>2.5</v>
      </c>
      <c r="C18" s="2"/>
      <c r="D18" s="2">
        <v>5</v>
      </c>
      <c r="E18" s="41">
        <v>572</v>
      </c>
      <c r="F18" s="41">
        <v>464</v>
      </c>
      <c r="G18" s="41">
        <v>572</v>
      </c>
      <c r="H18" s="41">
        <v>663</v>
      </c>
      <c r="I18" s="41">
        <v>656</v>
      </c>
      <c r="J18" s="41">
        <v>686</v>
      </c>
      <c r="K18" s="41">
        <v>603</v>
      </c>
      <c r="L18" s="41">
        <v>466</v>
      </c>
      <c r="M18" s="41">
        <v>663</v>
      </c>
      <c r="N18" s="41">
        <v>492</v>
      </c>
      <c r="O18" s="41">
        <v>656</v>
      </c>
      <c r="P18" s="41">
        <v>631</v>
      </c>
      <c r="Q18" s="41">
        <v>656</v>
      </c>
      <c r="R18" s="41">
        <v>489</v>
      </c>
      <c r="S18" s="41">
        <v>603</v>
      </c>
      <c r="T18" s="41">
        <v>592</v>
      </c>
      <c r="U18" s="41">
        <v>592</v>
      </c>
      <c r="V18" s="41">
        <v>496</v>
      </c>
      <c r="W18" s="41">
        <v>603</v>
      </c>
      <c r="X18" s="41" t="s">
        <v>72</v>
      </c>
      <c r="Y18" s="41">
        <v>521</v>
      </c>
      <c r="Z18" s="41">
        <v>571</v>
      </c>
      <c r="AA18" s="41">
        <v>571</v>
      </c>
      <c r="AB18" s="41">
        <v>603</v>
      </c>
      <c r="AC18" s="41">
        <v>545</v>
      </c>
      <c r="AD18" s="41">
        <v>603</v>
      </c>
      <c r="AE18" s="41">
        <v>481</v>
      </c>
      <c r="AF18" s="41">
        <v>481</v>
      </c>
      <c r="AG18" s="41">
        <v>656</v>
      </c>
      <c r="AH18" s="41">
        <v>631</v>
      </c>
      <c r="AI18" s="41">
        <v>656</v>
      </c>
      <c r="AJ18" s="41">
        <v>656</v>
      </c>
      <c r="AK18" s="41">
        <v>603</v>
      </c>
      <c r="AL18" s="41">
        <v>631</v>
      </c>
      <c r="AM18" s="41">
        <v>539</v>
      </c>
      <c r="AN18" s="41">
        <v>496</v>
      </c>
      <c r="AO18" s="41">
        <v>496</v>
      </c>
      <c r="AP18" s="41">
        <v>603</v>
      </c>
      <c r="AQ18" s="41">
        <v>560</v>
      </c>
      <c r="AR18" s="41">
        <v>631</v>
      </c>
      <c r="AS18" s="41">
        <v>499</v>
      </c>
      <c r="AT18" s="41">
        <v>603</v>
      </c>
      <c r="AU18" s="41">
        <v>603</v>
      </c>
      <c r="AV18" s="41">
        <v>539</v>
      </c>
      <c r="AW18" s="41">
        <v>479</v>
      </c>
      <c r="AX18" s="41">
        <v>631</v>
      </c>
      <c r="AY18" s="41">
        <v>631</v>
      </c>
      <c r="AZ18" s="41">
        <v>631</v>
      </c>
      <c r="BA18" s="41">
        <v>539</v>
      </c>
      <c r="BB18" s="41">
        <v>521</v>
      </c>
      <c r="BC18" s="41">
        <v>481</v>
      </c>
      <c r="BD18" s="41">
        <v>514</v>
      </c>
      <c r="BE18" s="41">
        <v>521</v>
      </c>
      <c r="BF18" s="41">
        <v>515</v>
      </c>
      <c r="BG18" s="41">
        <v>515</v>
      </c>
      <c r="BH18" s="41">
        <v>627</v>
      </c>
      <c r="BI18" s="41">
        <v>509</v>
      </c>
      <c r="BJ18" s="41">
        <v>496</v>
      </c>
      <c r="BK18" s="41">
        <v>386</v>
      </c>
      <c r="BL18" s="41">
        <v>417</v>
      </c>
      <c r="BM18" s="41">
        <v>499</v>
      </c>
      <c r="BN18" s="41">
        <v>388</v>
      </c>
      <c r="BO18" s="41">
        <v>571</v>
      </c>
      <c r="BP18" s="41">
        <v>663</v>
      </c>
      <c r="BQ18" s="41">
        <v>663</v>
      </c>
      <c r="BR18" s="41">
        <v>663</v>
      </c>
      <c r="BS18" s="41">
        <v>517</v>
      </c>
      <c r="BT18" s="41">
        <v>507</v>
      </c>
      <c r="BU18" s="41">
        <v>571</v>
      </c>
      <c r="BV18" s="41">
        <v>509</v>
      </c>
      <c r="BW18" s="41">
        <v>539</v>
      </c>
      <c r="BX18" s="41">
        <v>521</v>
      </c>
      <c r="BY18" s="41">
        <v>603</v>
      </c>
      <c r="BZ18" s="41">
        <v>596</v>
      </c>
      <c r="CA18" s="41" t="s">
        <v>72</v>
      </c>
      <c r="CB18" s="41">
        <v>482</v>
      </c>
      <c r="CC18" s="41">
        <v>441</v>
      </c>
      <c r="CD18" s="41">
        <v>432</v>
      </c>
      <c r="CE18" s="41">
        <v>539</v>
      </c>
      <c r="CF18" s="41">
        <v>464</v>
      </c>
      <c r="CG18" s="41">
        <v>656</v>
      </c>
      <c r="CH18" s="41">
        <v>656</v>
      </c>
      <c r="CI18" s="41">
        <v>656</v>
      </c>
      <c r="CJ18" s="41">
        <v>631</v>
      </c>
      <c r="CK18" s="41">
        <v>539</v>
      </c>
      <c r="CL18" s="41">
        <v>539</v>
      </c>
      <c r="CM18" s="41">
        <v>571</v>
      </c>
      <c r="CN18" s="41">
        <v>517</v>
      </c>
      <c r="CO18" s="41">
        <v>499</v>
      </c>
      <c r="CP18" s="41">
        <v>521</v>
      </c>
      <c r="CQ18" s="41">
        <v>441</v>
      </c>
      <c r="CR18" s="41">
        <v>432</v>
      </c>
      <c r="CS18" s="41">
        <v>427</v>
      </c>
      <c r="CT18" s="41">
        <v>432</v>
      </c>
      <c r="CU18" s="41">
        <v>432</v>
      </c>
    </row>
    <row r="19" spans="1:99" ht="15" customHeight="1">
      <c r="A19" s="2">
        <v>4900</v>
      </c>
      <c r="B19" s="2">
        <v>2.8</v>
      </c>
      <c r="C19" s="2">
        <v>7</v>
      </c>
      <c r="D19" s="2"/>
      <c r="E19" s="41">
        <v>605</v>
      </c>
      <c r="F19" s="41">
        <v>470</v>
      </c>
      <c r="G19" s="41">
        <v>605</v>
      </c>
      <c r="H19" s="41">
        <v>708</v>
      </c>
      <c r="I19" s="41">
        <v>703</v>
      </c>
      <c r="J19" s="41">
        <v>708</v>
      </c>
      <c r="K19" s="41">
        <v>646</v>
      </c>
      <c r="L19" s="41">
        <v>472</v>
      </c>
      <c r="M19" s="41">
        <v>708</v>
      </c>
      <c r="N19" s="41">
        <v>497</v>
      </c>
      <c r="O19" s="41">
        <v>703</v>
      </c>
      <c r="P19" s="41">
        <v>672</v>
      </c>
      <c r="Q19" s="41">
        <v>703</v>
      </c>
      <c r="R19" s="41">
        <v>493</v>
      </c>
      <c r="S19" s="41">
        <v>646</v>
      </c>
      <c r="T19" s="41">
        <v>611</v>
      </c>
      <c r="U19" s="41">
        <v>611</v>
      </c>
      <c r="V19" s="41">
        <v>503</v>
      </c>
      <c r="W19" s="41">
        <v>646</v>
      </c>
      <c r="X19" s="41" t="s">
        <v>72</v>
      </c>
      <c r="Y19" s="41">
        <v>530</v>
      </c>
      <c r="Z19" s="41">
        <v>611</v>
      </c>
      <c r="AA19" s="41">
        <v>611</v>
      </c>
      <c r="AB19" s="41">
        <v>646</v>
      </c>
      <c r="AC19" s="41">
        <v>554</v>
      </c>
      <c r="AD19" s="41">
        <v>646</v>
      </c>
      <c r="AE19" s="41">
        <v>490</v>
      </c>
      <c r="AF19" s="41">
        <v>490</v>
      </c>
      <c r="AG19" s="41">
        <v>703</v>
      </c>
      <c r="AH19" s="41">
        <v>672</v>
      </c>
      <c r="AI19" s="41">
        <v>703</v>
      </c>
      <c r="AJ19" s="41">
        <v>703</v>
      </c>
      <c r="AK19" s="41">
        <v>646</v>
      </c>
      <c r="AL19" s="41">
        <v>672</v>
      </c>
      <c r="AM19" s="41">
        <v>576</v>
      </c>
      <c r="AN19" s="41">
        <v>503</v>
      </c>
      <c r="AO19" s="41">
        <v>503</v>
      </c>
      <c r="AP19" s="41">
        <v>646</v>
      </c>
      <c r="AQ19" s="41">
        <v>576</v>
      </c>
      <c r="AR19" s="41">
        <v>672</v>
      </c>
      <c r="AS19" s="41">
        <v>509</v>
      </c>
      <c r="AT19" s="41">
        <v>646</v>
      </c>
      <c r="AU19" s="41">
        <v>646</v>
      </c>
      <c r="AV19" s="41">
        <v>576</v>
      </c>
      <c r="AW19" s="41">
        <v>486</v>
      </c>
      <c r="AX19" s="41">
        <v>672</v>
      </c>
      <c r="AY19" s="41">
        <v>672</v>
      </c>
      <c r="AZ19" s="41">
        <v>672</v>
      </c>
      <c r="BA19" s="41">
        <v>576</v>
      </c>
      <c r="BB19" s="41">
        <v>530</v>
      </c>
      <c r="BC19" s="41">
        <v>490</v>
      </c>
      <c r="BD19" s="41">
        <v>519</v>
      </c>
      <c r="BE19" s="41">
        <v>530</v>
      </c>
      <c r="BF19" s="41">
        <v>522</v>
      </c>
      <c r="BG19" s="41">
        <v>522</v>
      </c>
      <c r="BH19" s="41">
        <v>686</v>
      </c>
      <c r="BI19" s="41">
        <v>513</v>
      </c>
      <c r="BJ19" s="41">
        <v>503</v>
      </c>
      <c r="BK19" s="41">
        <v>392</v>
      </c>
      <c r="BL19" s="41">
        <v>422</v>
      </c>
      <c r="BM19" s="41">
        <v>509</v>
      </c>
      <c r="BN19" s="41">
        <v>393</v>
      </c>
      <c r="BO19" s="41">
        <v>611</v>
      </c>
      <c r="BP19" s="41">
        <v>708</v>
      </c>
      <c r="BQ19" s="41">
        <v>708</v>
      </c>
      <c r="BR19" s="41">
        <v>708</v>
      </c>
      <c r="BS19" s="41">
        <v>524</v>
      </c>
      <c r="BT19" s="41">
        <v>514</v>
      </c>
      <c r="BU19" s="41">
        <v>611</v>
      </c>
      <c r="BV19" s="41">
        <v>517</v>
      </c>
      <c r="BW19" s="41">
        <v>576</v>
      </c>
      <c r="BX19" s="41">
        <v>530</v>
      </c>
      <c r="BY19" s="41">
        <v>646</v>
      </c>
      <c r="BZ19" s="41">
        <v>646</v>
      </c>
      <c r="CA19" s="41" t="s">
        <v>72</v>
      </c>
      <c r="CB19" s="41">
        <v>492</v>
      </c>
      <c r="CC19" s="41">
        <v>450</v>
      </c>
      <c r="CD19" s="41">
        <v>435</v>
      </c>
      <c r="CE19" s="41">
        <v>576</v>
      </c>
      <c r="CF19" s="41">
        <v>470</v>
      </c>
      <c r="CG19" s="41">
        <v>703</v>
      </c>
      <c r="CH19" s="41">
        <v>703</v>
      </c>
      <c r="CI19" s="41">
        <v>703</v>
      </c>
      <c r="CJ19" s="41">
        <v>672</v>
      </c>
      <c r="CK19" s="41">
        <v>576</v>
      </c>
      <c r="CL19" s="41">
        <v>576</v>
      </c>
      <c r="CM19" s="41">
        <v>611</v>
      </c>
      <c r="CN19" s="41">
        <v>524</v>
      </c>
      <c r="CO19" s="41">
        <v>509</v>
      </c>
      <c r="CP19" s="41">
        <v>530</v>
      </c>
      <c r="CQ19" s="41">
        <v>450</v>
      </c>
      <c r="CR19" s="41">
        <v>435</v>
      </c>
      <c r="CS19" s="41">
        <v>432</v>
      </c>
      <c r="CT19" s="41">
        <v>435</v>
      </c>
      <c r="CU19" s="41">
        <v>435</v>
      </c>
    </row>
    <row r="20" spans="1:99" ht="15" customHeight="1">
      <c r="A20" s="2">
        <v>5250</v>
      </c>
      <c r="B20" s="2">
        <v>3</v>
      </c>
      <c r="C20" s="2"/>
      <c r="D20" s="2">
        <v>6</v>
      </c>
      <c r="E20" s="41">
        <v>634</v>
      </c>
      <c r="F20" s="41">
        <v>476</v>
      </c>
      <c r="G20" s="41">
        <v>634</v>
      </c>
      <c r="H20" s="41">
        <v>759</v>
      </c>
      <c r="I20" s="41">
        <v>751</v>
      </c>
      <c r="J20" s="41">
        <v>759</v>
      </c>
      <c r="K20" s="41">
        <v>691</v>
      </c>
      <c r="L20" s="41">
        <v>477</v>
      </c>
      <c r="M20" s="41">
        <v>759</v>
      </c>
      <c r="N20" s="41">
        <v>503</v>
      </c>
      <c r="O20" s="41">
        <v>751</v>
      </c>
      <c r="P20" s="41">
        <v>723</v>
      </c>
      <c r="Q20" s="41">
        <v>751</v>
      </c>
      <c r="R20" s="41">
        <v>497</v>
      </c>
      <c r="S20" s="41">
        <v>691</v>
      </c>
      <c r="T20" s="41">
        <v>655</v>
      </c>
      <c r="U20" s="41">
        <v>655</v>
      </c>
      <c r="V20" s="41">
        <v>539</v>
      </c>
      <c r="W20" s="41">
        <v>691</v>
      </c>
      <c r="X20" s="41" t="s">
        <v>72</v>
      </c>
      <c r="Y20" s="41">
        <v>539</v>
      </c>
      <c r="Z20" s="41">
        <v>655</v>
      </c>
      <c r="AA20" s="41">
        <v>655</v>
      </c>
      <c r="AB20" s="41">
        <v>691</v>
      </c>
      <c r="AC20" s="41">
        <v>565</v>
      </c>
      <c r="AD20" s="41">
        <v>691</v>
      </c>
      <c r="AE20" s="41">
        <v>497</v>
      </c>
      <c r="AF20" s="41">
        <v>497</v>
      </c>
      <c r="AG20" s="41">
        <v>743</v>
      </c>
      <c r="AH20" s="41">
        <v>723</v>
      </c>
      <c r="AI20" s="41">
        <v>751</v>
      </c>
      <c r="AJ20" s="41">
        <v>751</v>
      </c>
      <c r="AK20" s="41">
        <v>691</v>
      </c>
      <c r="AL20" s="41">
        <v>723</v>
      </c>
      <c r="AM20" s="41">
        <v>618</v>
      </c>
      <c r="AN20" s="41">
        <v>539</v>
      </c>
      <c r="AO20" s="41">
        <v>539</v>
      </c>
      <c r="AP20" s="41">
        <v>691</v>
      </c>
      <c r="AQ20" s="41">
        <v>618</v>
      </c>
      <c r="AR20" s="41">
        <v>723</v>
      </c>
      <c r="AS20" s="41">
        <v>520</v>
      </c>
      <c r="AT20" s="41">
        <v>691</v>
      </c>
      <c r="AU20" s="41">
        <v>691</v>
      </c>
      <c r="AV20" s="41">
        <v>605</v>
      </c>
      <c r="AW20" s="41">
        <v>497</v>
      </c>
      <c r="AX20" s="41">
        <v>723</v>
      </c>
      <c r="AY20" s="41">
        <v>723</v>
      </c>
      <c r="AZ20" s="41">
        <v>723</v>
      </c>
      <c r="BA20" s="41">
        <v>605</v>
      </c>
      <c r="BB20" s="41">
        <v>539</v>
      </c>
      <c r="BC20" s="41">
        <v>497</v>
      </c>
      <c r="BD20" s="41">
        <v>524</v>
      </c>
      <c r="BE20" s="41">
        <v>539</v>
      </c>
      <c r="BF20" s="41">
        <v>528</v>
      </c>
      <c r="BG20" s="41">
        <v>528</v>
      </c>
      <c r="BH20" s="41">
        <v>719</v>
      </c>
      <c r="BI20" s="41">
        <v>515</v>
      </c>
      <c r="BJ20" s="41">
        <v>539</v>
      </c>
      <c r="BK20" s="41">
        <v>397</v>
      </c>
      <c r="BL20" s="41">
        <v>426</v>
      </c>
      <c r="BM20" s="41">
        <v>520</v>
      </c>
      <c r="BN20" s="41">
        <v>398</v>
      </c>
      <c r="BO20" s="41">
        <v>655</v>
      </c>
      <c r="BP20" s="41">
        <v>759</v>
      </c>
      <c r="BQ20" s="41">
        <v>759</v>
      </c>
      <c r="BR20" s="41">
        <v>759</v>
      </c>
      <c r="BS20" s="41">
        <v>532</v>
      </c>
      <c r="BT20" s="41">
        <v>521</v>
      </c>
      <c r="BU20" s="41">
        <v>655</v>
      </c>
      <c r="BV20" s="41">
        <v>523</v>
      </c>
      <c r="BW20" s="41">
        <v>618</v>
      </c>
      <c r="BX20" s="41">
        <v>539</v>
      </c>
      <c r="BY20" s="41">
        <v>691</v>
      </c>
      <c r="BZ20" s="41">
        <v>691</v>
      </c>
      <c r="CA20" s="41" t="s">
        <v>72</v>
      </c>
      <c r="CB20" s="41">
        <v>501</v>
      </c>
      <c r="CC20" s="41">
        <v>456</v>
      </c>
      <c r="CD20" s="41">
        <v>439</v>
      </c>
      <c r="CE20" s="41">
        <v>618</v>
      </c>
      <c r="CF20" s="41">
        <v>475</v>
      </c>
      <c r="CG20" s="41">
        <v>751</v>
      </c>
      <c r="CH20" s="41">
        <v>751</v>
      </c>
      <c r="CI20" s="41">
        <v>751</v>
      </c>
      <c r="CJ20" s="41">
        <v>723</v>
      </c>
      <c r="CK20" s="41">
        <v>618</v>
      </c>
      <c r="CL20" s="41">
        <v>618</v>
      </c>
      <c r="CM20" s="41">
        <v>655</v>
      </c>
      <c r="CN20" s="41">
        <v>532</v>
      </c>
      <c r="CO20" s="41">
        <v>520</v>
      </c>
      <c r="CP20" s="41">
        <v>539</v>
      </c>
      <c r="CQ20" s="41">
        <v>456</v>
      </c>
      <c r="CR20" s="41">
        <v>439</v>
      </c>
      <c r="CS20" s="41">
        <v>437</v>
      </c>
      <c r="CT20" s="41">
        <v>439</v>
      </c>
      <c r="CU20" s="41">
        <v>439</v>
      </c>
    </row>
    <row r="21" spans="1:99" ht="15" customHeight="1">
      <c r="A21" s="2">
        <v>5600</v>
      </c>
      <c r="B21" s="2">
        <v>3.2</v>
      </c>
      <c r="C21" s="2">
        <v>8</v>
      </c>
      <c r="D21" s="2"/>
      <c r="E21" s="41">
        <v>664</v>
      </c>
      <c r="F21" s="41">
        <v>481</v>
      </c>
      <c r="G21" s="41">
        <v>664</v>
      </c>
      <c r="H21" s="41">
        <v>809</v>
      </c>
      <c r="I21" s="41">
        <v>801</v>
      </c>
      <c r="J21" s="41">
        <v>809</v>
      </c>
      <c r="K21" s="41">
        <v>737</v>
      </c>
      <c r="L21" s="41">
        <v>483</v>
      </c>
      <c r="M21" s="41">
        <v>809</v>
      </c>
      <c r="N21" s="41">
        <v>508</v>
      </c>
      <c r="O21" s="41">
        <v>801</v>
      </c>
      <c r="P21" s="41">
        <v>769</v>
      </c>
      <c r="Q21" s="41">
        <v>801</v>
      </c>
      <c r="R21" s="41">
        <v>529</v>
      </c>
      <c r="S21" s="41">
        <v>737</v>
      </c>
      <c r="T21" s="41">
        <v>698</v>
      </c>
      <c r="U21" s="41">
        <v>698</v>
      </c>
      <c r="V21" s="41">
        <v>575</v>
      </c>
      <c r="W21" s="41">
        <v>737</v>
      </c>
      <c r="X21" s="41" t="s">
        <v>72</v>
      </c>
      <c r="Y21" s="41">
        <v>575</v>
      </c>
      <c r="Z21" s="41">
        <v>698</v>
      </c>
      <c r="AA21" s="41">
        <v>698</v>
      </c>
      <c r="AB21" s="41">
        <v>737</v>
      </c>
      <c r="AC21" s="41">
        <v>575</v>
      </c>
      <c r="AD21" s="41">
        <v>737</v>
      </c>
      <c r="AE21" s="41">
        <v>506</v>
      </c>
      <c r="AF21" s="41">
        <v>506</v>
      </c>
      <c r="AG21" s="41">
        <v>777</v>
      </c>
      <c r="AH21" s="41">
        <v>769</v>
      </c>
      <c r="AI21" s="41">
        <v>801</v>
      </c>
      <c r="AJ21" s="41">
        <v>801</v>
      </c>
      <c r="AK21" s="41">
        <v>737</v>
      </c>
      <c r="AL21" s="41">
        <v>769</v>
      </c>
      <c r="AM21" s="41">
        <v>659</v>
      </c>
      <c r="AN21" s="41">
        <v>575</v>
      </c>
      <c r="AO21" s="41">
        <v>575</v>
      </c>
      <c r="AP21" s="41">
        <v>735</v>
      </c>
      <c r="AQ21" s="41">
        <v>659</v>
      </c>
      <c r="AR21" s="41">
        <v>769</v>
      </c>
      <c r="AS21" s="41">
        <v>529</v>
      </c>
      <c r="AT21" s="41">
        <v>735</v>
      </c>
      <c r="AU21" s="41">
        <v>737</v>
      </c>
      <c r="AV21" s="41">
        <v>631</v>
      </c>
      <c r="AW21" s="41">
        <v>528</v>
      </c>
      <c r="AX21" s="41">
        <v>769</v>
      </c>
      <c r="AY21" s="41">
        <v>769</v>
      </c>
      <c r="AZ21" s="41">
        <v>769</v>
      </c>
      <c r="BA21" s="41">
        <v>631</v>
      </c>
      <c r="BB21" s="41">
        <v>575</v>
      </c>
      <c r="BC21" s="41">
        <v>506</v>
      </c>
      <c r="BD21" s="41">
        <v>529</v>
      </c>
      <c r="BE21" s="41">
        <v>575</v>
      </c>
      <c r="BF21" s="41">
        <v>536</v>
      </c>
      <c r="BG21" s="41">
        <v>536</v>
      </c>
      <c r="BH21" s="41">
        <v>751</v>
      </c>
      <c r="BI21" s="41">
        <v>519</v>
      </c>
      <c r="BJ21" s="41">
        <v>575</v>
      </c>
      <c r="BK21" s="41">
        <v>402</v>
      </c>
      <c r="BL21" s="41">
        <v>431</v>
      </c>
      <c r="BM21" s="41">
        <v>529</v>
      </c>
      <c r="BN21" s="41">
        <v>403</v>
      </c>
      <c r="BO21" s="41">
        <v>698</v>
      </c>
      <c r="BP21" s="41">
        <v>809</v>
      </c>
      <c r="BQ21" s="41">
        <v>809</v>
      </c>
      <c r="BR21" s="41">
        <v>809</v>
      </c>
      <c r="BS21" s="41">
        <v>539</v>
      </c>
      <c r="BT21" s="41">
        <v>529</v>
      </c>
      <c r="BU21" s="41">
        <v>693</v>
      </c>
      <c r="BV21" s="41">
        <v>529</v>
      </c>
      <c r="BW21" s="41">
        <v>630</v>
      </c>
      <c r="BX21" s="41">
        <v>575</v>
      </c>
      <c r="BY21" s="41">
        <v>737</v>
      </c>
      <c r="BZ21" s="41">
        <v>737</v>
      </c>
      <c r="CA21" s="41" t="s">
        <v>72</v>
      </c>
      <c r="CB21" s="41">
        <v>510</v>
      </c>
      <c r="CC21" s="41">
        <v>464</v>
      </c>
      <c r="CD21" s="41">
        <v>444</v>
      </c>
      <c r="CE21" s="41">
        <v>659</v>
      </c>
      <c r="CF21" s="41">
        <v>480</v>
      </c>
      <c r="CG21" s="41">
        <v>801</v>
      </c>
      <c r="CH21" s="41">
        <v>801</v>
      </c>
      <c r="CI21" s="41">
        <v>801</v>
      </c>
      <c r="CJ21" s="41">
        <v>769</v>
      </c>
      <c r="CK21" s="41">
        <v>659</v>
      </c>
      <c r="CL21" s="41">
        <v>659</v>
      </c>
      <c r="CM21" s="41">
        <v>693</v>
      </c>
      <c r="CN21" s="41">
        <v>539</v>
      </c>
      <c r="CO21" s="41">
        <v>529</v>
      </c>
      <c r="CP21" s="41">
        <v>548</v>
      </c>
      <c r="CQ21" s="41">
        <v>464</v>
      </c>
      <c r="CR21" s="41">
        <v>444</v>
      </c>
      <c r="CS21" s="41">
        <v>444</v>
      </c>
      <c r="CT21" s="41">
        <v>444</v>
      </c>
      <c r="CU21" s="41">
        <v>444</v>
      </c>
    </row>
    <row r="22" spans="1:99" ht="15" customHeight="1">
      <c r="A22" s="2">
        <v>6125</v>
      </c>
      <c r="B22" s="2">
        <v>3.5</v>
      </c>
      <c r="C22" s="2"/>
      <c r="D22" s="2">
        <v>7</v>
      </c>
      <c r="E22" s="41">
        <v>698</v>
      </c>
      <c r="F22" s="41">
        <v>486</v>
      </c>
      <c r="G22" s="41">
        <v>698</v>
      </c>
      <c r="H22" s="41">
        <v>862</v>
      </c>
      <c r="I22" s="41">
        <v>853</v>
      </c>
      <c r="J22" s="41">
        <v>862</v>
      </c>
      <c r="K22" s="41">
        <v>786</v>
      </c>
      <c r="L22" s="41">
        <v>489</v>
      </c>
      <c r="M22" s="41">
        <v>862</v>
      </c>
      <c r="N22" s="41">
        <v>515</v>
      </c>
      <c r="O22" s="41">
        <v>853</v>
      </c>
      <c r="P22" s="41">
        <v>818</v>
      </c>
      <c r="Q22" s="41">
        <v>853</v>
      </c>
      <c r="R22" s="41">
        <v>557</v>
      </c>
      <c r="S22" s="41">
        <v>786</v>
      </c>
      <c r="T22" s="41">
        <v>743</v>
      </c>
      <c r="U22" s="41">
        <v>743</v>
      </c>
      <c r="V22" s="41">
        <v>608</v>
      </c>
      <c r="W22" s="41">
        <v>786</v>
      </c>
      <c r="X22" s="41" t="s">
        <v>72</v>
      </c>
      <c r="Y22" s="41">
        <v>608</v>
      </c>
      <c r="Z22" s="41">
        <v>743</v>
      </c>
      <c r="AA22" s="41">
        <v>743</v>
      </c>
      <c r="AB22" s="41">
        <v>786</v>
      </c>
      <c r="AC22" s="41">
        <v>608</v>
      </c>
      <c r="AD22" s="41">
        <v>786</v>
      </c>
      <c r="AE22" s="41">
        <v>515</v>
      </c>
      <c r="AF22" s="41">
        <v>515</v>
      </c>
      <c r="AG22" s="41">
        <v>825</v>
      </c>
      <c r="AH22" s="41">
        <v>818</v>
      </c>
      <c r="AI22" s="41">
        <v>853</v>
      </c>
      <c r="AJ22" s="41">
        <v>853</v>
      </c>
      <c r="AK22" s="41">
        <v>786</v>
      </c>
      <c r="AL22" s="41">
        <v>818</v>
      </c>
      <c r="AM22" s="41">
        <v>700</v>
      </c>
      <c r="AN22" s="41">
        <v>608</v>
      </c>
      <c r="AO22" s="41">
        <v>608</v>
      </c>
      <c r="AP22" s="41">
        <v>770</v>
      </c>
      <c r="AQ22" s="41">
        <v>700</v>
      </c>
      <c r="AR22" s="41">
        <v>818</v>
      </c>
      <c r="AS22" s="41">
        <v>557</v>
      </c>
      <c r="AT22" s="41">
        <v>770</v>
      </c>
      <c r="AU22" s="41">
        <v>786</v>
      </c>
      <c r="AV22" s="41">
        <v>665</v>
      </c>
      <c r="AW22" s="41">
        <v>557</v>
      </c>
      <c r="AX22" s="41">
        <v>818</v>
      </c>
      <c r="AY22" s="41">
        <v>818</v>
      </c>
      <c r="AZ22" s="41">
        <v>818</v>
      </c>
      <c r="BA22" s="41">
        <v>665</v>
      </c>
      <c r="BB22" s="41">
        <v>608</v>
      </c>
      <c r="BC22" s="41">
        <v>515</v>
      </c>
      <c r="BD22" s="41">
        <v>557</v>
      </c>
      <c r="BE22" s="41">
        <v>608</v>
      </c>
      <c r="BF22" s="41">
        <v>541</v>
      </c>
      <c r="BG22" s="41">
        <v>541</v>
      </c>
      <c r="BH22" s="41">
        <v>794</v>
      </c>
      <c r="BI22" s="41">
        <v>523</v>
      </c>
      <c r="BJ22" s="41">
        <v>608</v>
      </c>
      <c r="BK22" s="41">
        <v>407</v>
      </c>
      <c r="BL22" s="41">
        <v>435</v>
      </c>
      <c r="BM22" s="41">
        <v>557</v>
      </c>
      <c r="BN22" s="41">
        <v>408</v>
      </c>
      <c r="BO22" s="41">
        <v>743</v>
      </c>
      <c r="BP22" s="41">
        <v>862</v>
      </c>
      <c r="BQ22" s="41">
        <v>862</v>
      </c>
      <c r="BR22" s="41">
        <v>862</v>
      </c>
      <c r="BS22" s="41">
        <v>546</v>
      </c>
      <c r="BT22" s="41">
        <v>557</v>
      </c>
      <c r="BU22" s="41">
        <v>728</v>
      </c>
      <c r="BV22" s="41">
        <v>557</v>
      </c>
      <c r="BW22" s="41">
        <v>658</v>
      </c>
      <c r="BX22" s="41">
        <v>608</v>
      </c>
      <c r="BY22" s="41">
        <v>786</v>
      </c>
      <c r="BZ22" s="41">
        <v>786</v>
      </c>
      <c r="CA22" s="41" t="s">
        <v>72</v>
      </c>
      <c r="CB22" s="41">
        <v>520</v>
      </c>
      <c r="CC22" s="41">
        <v>485</v>
      </c>
      <c r="CD22" s="41">
        <v>468</v>
      </c>
      <c r="CE22" s="41">
        <v>700</v>
      </c>
      <c r="CF22" s="41">
        <v>485</v>
      </c>
      <c r="CG22" s="41">
        <v>853</v>
      </c>
      <c r="CH22" s="41">
        <v>853</v>
      </c>
      <c r="CI22" s="41">
        <v>853</v>
      </c>
      <c r="CJ22" s="41">
        <v>818</v>
      </c>
      <c r="CK22" s="41">
        <v>700</v>
      </c>
      <c r="CL22" s="41">
        <v>700</v>
      </c>
      <c r="CM22" s="41">
        <v>728</v>
      </c>
      <c r="CN22" s="41">
        <v>546</v>
      </c>
      <c r="CO22" s="41">
        <v>557</v>
      </c>
      <c r="CP22" s="41">
        <v>557</v>
      </c>
      <c r="CQ22" s="41">
        <v>485</v>
      </c>
      <c r="CR22" s="41">
        <v>468</v>
      </c>
      <c r="CS22" s="41">
        <v>468</v>
      </c>
      <c r="CT22" s="41">
        <v>468</v>
      </c>
      <c r="CU22" s="41">
        <v>468</v>
      </c>
    </row>
    <row r="23" spans="1:99" ht="15" customHeight="1">
      <c r="A23" s="2">
        <v>6300</v>
      </c>
      <c r="B23" s="2">
        <v>3.6</v>
      </c>
      <c r="C23" s="2">
        <v>9</v>
      </c>
      <c r="D23" s="2"/>
      <c r="E23" s="41">
        <v>731</v>
      </c>
      <c r="F23" s="41">
        <v>492</v>
      </c>
      <c r="G23" s="41">
        <v>731</v>
      </c>
      <c r="H23" s="41">
        <v>885</v>
      </c>
      <c r="I23" s="41">
        <v>877</v>
      </c>
      <c r="J23" s="41">
        <v>885</v>
      </c>
      <c r="K23" s="41">
        <v>808</v>
      </c>
      <c r="L23" s="41">
        <v>494</v>
      </c>
      <c r="M23" s="41">
        <v>885</v>
      </c>
      <c r="N23" s="41">
        <v>524</v>
      </c>
      <c r="O23" s="41">
        <v>877</v>
      </c>
      <c r="P23" s="41">
        <v>843</v>
      </c>
      <c r="Q23" s="41">
        <v>877</v>
      </c>
      <c r="R23" s="41">
        <v>573</v>
      </c>
      <c r="S23" s="41">
        <v>808</v>
      </c>
      <c r="T23" s="41">
        <v>763</v>
      </c>
      <c r="U23" s="41">
        <v>763</v>
      </c>
      <c r="V23" s="41">
        <v>624</v>
      </c>
      <c r="W23" s="41">
        <v>808</v>
      </c>
      <c r="X23" s="41" t="s">
        <v>72</v>
      </c>
      <c r="Y23" s="41">
        <v>624</v>
      </c>
      <c r="Z23" s="41">
        <v>763</v>
      </c>
      <c r="AA23" s="41">
        <v>763</v>
      </c>
      <c r="AB23" s="41">
        <v>808</v>
      </c>
      <c r="AC23" s="41">
        <v>624</v>
      </c>
      <c r="AD23" s="41">
        <v>808</v>
      </c>
      <c r="AE23" s="41">
        <v>524</v>
      </c>
      <c r="AF23" s="41">
        <v>524</v>
      </c>
      <c r="AG23" s="41">
        <v>841</v>
      </c>
      <c r="AH23" s="41">
        <v>843</v>
      </c>
      <c r="AI23" s="41">
        <v>877</v>
      </c>
      <c r="AJ23" s="41">
        <v>877</v>
      </c>
      <c r="AK23" s="41">
        <v>808</v>
      </c>
      <c r="AL23" s="41">
        <v>843</v>
      </c>
      <c r="AM23" s="41">
        <v>719</v>
      </c>
      <c r="AN23" s="41">
        <v>624</v>
      </c>
      <c r="AO23" s="41">
        <v>624</v>
      </c>
      <c r="AP23" s="41">
        <v>806</v>
      </c>
      <c r="AQ23" s="41">
        <v>719</v>
      </c>
      <c r="AR23" s="41">
        <v>843</v>
      </c>
      <c r="AS23" s="41">
        <v>573</v>
      </c>
      <c r="AT23" s="41">
        <v>806</v>
      </c>
      <c r="AU23" s="41">
        <v>808</v>
      </c>
      <c r="AV23" s="41">
        <v>679</v>
      </c>
      <c r="AW23" s="41">
        <v>573</v>
      </c>
      <c r="AX23" s="41">
        <v>843</v>
      </c>
      <c r="AY23" s="41">
        <v>843</v>
      </c>
      <c r="AZ23" s="41">
        <v>843</v>
      </c>
      <c r="BA23" s="41">
        <v>679</v>
      </c>
      <c r="BB23" s="41">
        <v>624</v>
      </c>
      <c r="BC23" s="41">
        <v>523</v>
      </c>
      <c r="BD23" s="41">
        <v>573</v>
      </c>
      <c r="BE23" s="41">
        <v>624</v>
      </c>
      <c r="BF23" s="41">
        <v>548</v>
      </c>
      <c r="BG23" s="41">
        <v>548</v>
      </c>
      <c r="BH23" s="41">
        <v>810</v>
      </c>
      <c r="BI23" s="41">
        <v>526</v>
      </c>
      <c r="BJ23" s="41">
        <v>624</v>
      </c>
      <c r="BK23" s="41">
        <v>410</v>
      </c>
      <c r="BL23" s="41">
        <v>439</v>
      </c>
      <c r="BM23" s="41">
        <v>573</v>
      </c>
      <c r="BN23" s="41">
        <v>412</v>
      </c>
      <c r="BO23" s="41">
        <v>763</v>
      </c>
      <c r="BP23" s="41">
        <v>885</v>
      </c>
      <c r="BQ23" s="41">
        <v>885</v>
      </c>
      <c r="BR23" s="41">
        <v>885</v>
      </c>
      <c r="BS23" s="41">
        <v>553</v>
      </c>
      <c r="BT23" s="41">
        <v>573</v>
      </c>
      <c r="BU23" s="41">
        <v>758</v>
      </c>
      <c r="BV23" s="41">
        <v>573</v>
      </c>
      <c r="BW23" s="41">
        <v>684</v>
      </c>
      <c r="BX23" s="41">
        <v>624</v>
      </c>
      <c r="BY23" s="41">
        <v>808</v>
      </c>
      <c r="BZ23" s="41">
        <v>808</v>
      </c>
      <c r="CA23" s="41" t="s">
        <v>72</v>
      </c>
      <c r="CB23" s="41">
        <v>529</v>
      </c>
      <c r="CC23" s="41">
        <v>500</v>
      </c>
      <c r="CD23" s="41">
        <v>476</v>
      </c>
      <c r="CE23" s="41">
        <v>719</v>
      </c>
      <c r="CF23" s="41">
        <v>491</v>
      </c>
      <c r="CG23" s="41">
        <v>877</v>
      </c>
      <c r="CH23" s="41">
        <v>877</v>
      </c>
      <c r="CI23" s="41">
        <v>877</v>
      </c>
      <c r="CJ23" s="41">
        <v>843</v>
      </c>
      <c r="CK23" s="41">
        <v>719</v>
      </c>
      <c r="CL23" s="41">
        <v>719</v>
      </c>
      <c r="CM23" s="41">
        <v>758</v>
      </c>
      <c r="CN23" s="41">
        <v>553</v>
      </c>
      <c r="CO23" s="41">
        <v>573</v>
      </c>
      <c r="CP23" s="41">
        <v>573</v>
      </c>
      <c r="CQ23" s="41">
        <v>500</v>
      </c>
      <c r="CR23" s="41">
        <v>476</v>
      </c>
      <c r="CS23" s="41">
        <v>476</v>
      </c>
      <c r="CT23" s="41">
        <v>476</v>
      </c>
      <c r="CU23" s="41">
        <v>476</v>
      </c>
    </row>
    <row r="24" spans="1:99" ht="15" customHeight="1">
      <c r="A24" s="2">
        <v>7000</v>
      </c>
      <c r="B24" s="2">
        <v>4</v>
      </c>
      <c r="C24" s="2">
        <v>10</v>
      </c>
      <c r="D24" s="2">
        <v>8</v>
      </c>
      <c r="E24" s="41">
        <v>796</v>
      </c>
      <c r="F24" s="41">
        <v>496</v>
      </c>
      <c r="G24" s="41">
        <v>796</v>
      </c>
      <c r="H24" s="41">
        <v>962</v>
      </c>
      <c r="I24" s="41">
        <v>951</v>
      </c>
      <c r="J24" s="41">
        <v>962</v>
      </c>
      <c r="K24" s="41">
        <v>879</v>
      </c>
      <c r="L24" s="41">
        <v>499</v>
      </c>
      <c r="M24" s="41">
        <v>962</v>
      </c>
      <c r="N24" s="41">
        <v>561</v>
      </c>
      <c r="O24" s="41">
        <v>951</v>
      </c>
      <c r="P24" s="41">
        <v>913</v>
      </c>
      <c r="Q24" s="41">
        <v>951</v>
      </c>
      <c r="R24" s="41">
        <v>619</v>
      </c>
      <c r="S24" s="41">
        <v>879</v>
      </c>
      <c r="T24" s="41">
        <v>829</v>
      </c>
      <c r="U24" s="41">
        <v>829</v>
      </c>
      <c r="V24" s="41">
        <v>672</v>
      </c>
      <c r="W24" s="41">
        <v>873</v>
      </c>
      <c r="X24" s="41" t="s">
        <v>72</v>
      </c>
      <c r="Y24" s="41">
        <v>672</v>
      </c>
      <c r="Z24" s="41">
        <v>829</v>
      </c>
      <c r="AA24" s="41">
        <v>829</v>
      </c>
      <c r="AB24" s="41">
        <v>879</v>
      </c>
      <c r="AC24" s="41">
        <v>672</v>
      </c>
      <c r="AD24" s="41">
        <v>879</v>
      </c>
      <c r="AE24" s="41">
        <v>561</v>
      </c>
      <c r="AF24" s="41">
        <v>561</v>
      </c>
      <c r="AG24" s="41">
        <v>905</v>
      </c>
      <c r="AH24" s="41">
        <v>913</v>
      </c>
      <c r="AI24" s="41">
        <v>951</v>
      </c>
      <c r="AJ24" s="41">
        <v>951</v>
      </c>
      <c r="AK24" s="41">
        <v>879</v>
      </c>
      <c r="AL24" s="41">
        <v>913</v>
      </c>
      <c r="AM24" s="41">
        <v>781</v>
      </c>
      <c r="AN24" s="41">
        <v>673</v>
      </c>
      <c r="AO24" s="41">
        <v>673</v>
      </c>
      <c r="AP24" s="41">
        <v>879</v>
      </c>
      <c r="AQ24" s="41">
        <v>781</v>
      </c>
      <c r="AR24" s="41">
        <v>913</v>
      </c>
      <c r="AS24" s="41">
        <v>619</v>
      </c>
      <c r="AT24" s="41">
        <v>879</v>
      </c>
      <c r="AU24" s="41">
        <v>879</v>
      </c>
      <c r="AV24" s="41">
        <v>729</v>
      </c>
      <c r="AW24" s="41">
        <v>619</v>
      </c>
      <c r="AX24" s="41">
        <v>913</v>
      </c>
      <c r="AY24" s="41">
        <v>913</v>
      </c>
      <c r="AZ24" s="41">
        <v>913</v>
      </c>
      <c r="BA24" s="41">
        <v>729</v>
      </c>
      <c r="BB24" s="41">
        <v>673</v>
      </c>
      <c r="BC24" s="41">
        <v>532</v>
      </c>
      <c r="BD24" s="41">
        <v>619</v>
      </c>
      <c r="BE24" s="41">
        <v>673</v>
      </c>
      <c r="BF24" s="41">
        <v>554</v>
      </c>
      <c r="BG24" s="41">
        <v>554</v>
      </c>
      <c r="BH24" s="41">
        <v>873</v>
      </c>
      <c r="BI24" s="41">
        <v>529</v>
      </c>
      <c r="BJ24" s="41">
        <v>672</v>
      </c>
      <c r="BK24" s="41">
        <v>415</v>
      </c>
      <c r="BL24" s="41">
        <v>444</v>
      </c>
      <c r="BM24" s="41">
        <v>619</v>
      </c>
      <c r="BN24" s="41">
        <v>417</v>
      </c>
      <c r="BO24" s="41">
        <v>829</v>
      </c>
      <c r="BP24" s="41">
        <v>962</v>
      </c>
      <c r="BQ24" s="41">
        <v>962</v>
      </c>
      <c r="BR24" s="41">
        <v>962</v>
      </c>
      <c r="BS24" s="41">
        <v>561</v>
      </c>
      <c r="BT24" s="41">
        <v>619</v>
      </c>
      <c r="BU24" s="41">
        <v>817</v>
      </c>
      <c r="BV24" s="41">
        <v>619</v>
      </c>
      <c r="BW24" s="41">
        <v>741</v>
      </c>
      <c r="BX24" s="41">
        <v>673</v>
      </c>
      <c r="BY24" s="41">
        <v>879</v>
      </c>
      <c r="BZ24" s="41">
        <v>873</v>
      </c>
      <c r="CA24" s="41" t="s">
        <v>72</v>
      </c>
      <c r="CB24" s="41">
        <v>538</v>
      </c>
      <c r="CC24" s="41">
        <v>538</v>
      </c>
      <c r="CD24" s="41">
        <v>507</v>
      </c>
      <c r="CE24" s="41">
        <v>781</v>
      </c>
      <c r="CF24" s="41">
        <v>496</v>
      </c>
      <c r="CG24" s="41">
        <v>951</v>
      </c>
      <c r="CH24" s="41">
        <v>951</v>
      </c>
      <c r="CI24" s="41">
        <v>951</v>
      </c>
      <c r="CJ24" s="41">
        <v>913</v>
      </c>
      <c r="CK24" s="41">
        <v>781</v>
      </c>
      <c r="CL24" s="41">
        <v>781</v>
      </c>
      <c r="CM24" s="41">
        <v>817</v>
      </c>
      <c r="CN24" s="41">
        <v>561</v>
      </c>
      <c r="CO24" s="41">
        <v>619</v>
      </c>
      <c r="CP24" s="41">
        <v>619</v>
      </c>
      <c r="CQ24" s="41">
        <v>538</v>
      </c>
      <c r="CR24" s="41">
        <v>507</v>
      </c>
      <c r="CS24" s="41">
        <v>507</v>
      </c>
      <c r="CT24" s="41">
        <v>507</v>
      </c>
      <c r="CU24" s="41">
        <v>507</v>
      </c>
    </row>
    <row r="25" spans="1:99" ht="15" customHeight="1">
      <c r="A25" s="3"/>
      <c r="B25" s="3"/>
      <c r="C25" s="3"/>
      <c r="D25" s="3"/>
    </row>
    <row r="26" spans="1:99" ht="15" customHeight="1">
      <c r="A26" s="4" t="s">
        <v>24</v>
      </c>
      <c r="B26" s="3"/>
      <c r="C26" s="3"/>
      <c r="D26" s="3"/>
    </row>
    <row r="27" spans="1:99" ht="15" customHeight="1">
      <c r="A27" s="3"/>
      <c r="B27" s="3"/>
      <c r="C27" s="3"/>
      <c r="D27" s="3"/>
    </row>
    <row r="28" spans="1:99" ht="15" customHeight="1">
      <c r="A28" s="6" t="s">
        <v>25</v>
      </c>
      <c r="B28" s="40"/>
      <c r="C28" s="6" t="s">
        <v>26</v>
      </c>
      <c r="D28" s="40"/>
      <c r="E28" s="95"/>
      <c r="F28" s="96"/>
      <c r="G28" s="71" t="s">
        <v>27</v>
      </c>
      <c r="H28" s="96"/>
      <c r="I28" s="96"/>
      <c r="J28" s="96"/>
      <c r="K28" s="96"/>
      <c r="L28" s="96"/>
      <c r="M28" s="96"/>
      <c r="N28" s="96"/>
      <c r="O28" s="96"/>
      <c r="P28" s="96"/>
      <c r="Q28" s="96"/>
      <c r="R28" s="96"/>
      <c r="S28" s="96"/>
      <c r="T28" s="71" t="s">
        <v>27</v>
      </c>
      <c r="U28" s="96"/>
      <c r="V28" s="96"/>
      <c r="W28" s="96"/>
      <c r="X28" s="96"/>
      <c r="Y28" s="96"/>
      <c r="Z28" s="96"/>
      <c r="AA28" s="96"/>
      <c r="AB28" s="96"/>
      <c r="AC28" s="96"/>
      <c r="AD28" s="96"/>
      <c r="AE28" s="96"/>
      <c r="AF28" s="96"/>
      <c r="AG28" s="71" t="s">
        <v>27</v>
      </c>
      <c r="AH28" s="96"/>
      <c r="AI28" s="96"/>
      <c r="AJ28" s="96"/>
      <c r="AK28" s="96"/>
      <c r="AL28" s="96"/>
      <c r="AM28" s="96"/>
      <c r="AN28" s="96"/>
      <c r="AO28" s="96"/>
      <c r="AP28" s="71"/>
      <c r="AQ28" s="96"/>
      <c r="AR28" s="96"/>
      <c r="AS28" s="96"/>
      <c r="AT28" s="71" t="s">
        <v>27</v>
      </c>
      <c r="AU28" s="96"/>
      <c r="AV28" s="96"/>
      <c r="AW28" s="96"/>
      <c r="AX28" s="96"/>
      <c r="AY28" s="96"/>
      <c r="AZ28" s="96"/>
      <c r="BA28" s="96"/>
      <c r="BB28" s="96"/>
      <c r="BC28" s="96"/>
      <c r="BD28" s="96"/>
      <c r="BE28" s="96"/>
      <c r="BF28" s="71"/>
      <c r="BG28" s="71" t="s">
        <v>27</v>
      </c>
      <c r="BH28" s="96"/>
      <c r="BI28" s="96"/>
      <c r="BJ28" s="96"/>
      <c r="BK28" s="96"/>
      <c r="BL28" s="96"/>
      <c r="BM28" s="96"/>
      <c r="BN28" s="96"/>
      <c r="BO28" s="96"/>
      <c r="BP28" s="96"/>
      <c r="BQ28" s="96"/>
      <c r="BR28" s="96"/>
      <c r="BS28" s="96"/>
      <c r="BT28" s="71" t="s">
        <v>27</v>
      </c>
      <c r="BU28" s="96"/>
      <c r="BV28" s="71"/>
      <c r="BW28" s="96"/>
      <c r="BX28" s="96"/>
      <c r="BY28" s="96"/>
      <c r="BZ28" s="96"/>
      <c r="CA28" s="96"/>
      <c r="CB28" s="96"/>
      <c r="CC28" s="96"/>
      <c r="CD28" s="96"/>
      <c r="CE28" s="96"/>
      <c r="CF28" s="96"/>
      <c r="CG28" s="71" t="s">
        <v>27</v>
      </c>
      <c r="CH28" s="96"/>
      <c r="CI28" s="71"/>
      <c r="CJ28" s="96"/>
      <c r="CK28" s="96"/>
      <c r="CL28" s="96"/>
      <c r="CM28" s="96"/>
      <c r="CN28" s="96"/>
      <c r="CO28" s="96"/>
      <c r="CP28" s="96"/>
      <c r="CQ28" s="71"/>
      <c r="CR28" s="96"/>
      <c r="CS28" s="96"/>
      <c r="CT28" s="96"/>
      <c r="CU28" s="85"/>
    </row>
    <row r="29" spans="1:99" ht="15" customHeight="1">
      <c r="A29" s="222" t="s">
        <v>28</v>
      </c>
      <c r="B29" s="223"/>
      <c r="C29" s="6" t="s">
        <v>29</v>
      </c>
      <c r="D29" s="73"/>
      <c r="E29" s="112">
        <v>3</v>
      </c>
      <c r="F29" s="112">
        <v>3</v>
      </c>
      <c r="G29" s="112">
        <v>3</v>
      </c>
      <c r="H29" s="112">
        <v>4</v>
      </c>
      <c r="I29" s="112">
        <v>4</v>
      </c>
      <c r="J29" s="112">
        <v>4</v>
      </c>
      <c r="K29" s="112">
        <v>3</v>
      </c>
      <c r="L29" s="112">
        <v>3</v>
      </c>
      <c r="M29" s="112">
        <v>4</v>
      </c>
      <c r="N29" s="112">
        <v>3</v>
      </c>
      <c r="O29" s="112">
        <v>4</v>
      </c>
      <c r="P29" s="112">
        <v>4</v>
      </c>
      <c r="Q29" s="112">
        <v>4</v>
      </c>
      <c r="R29" s="112">
        <v>3</v>
      </c>
      <c r="S29" s="112">
        <v>4</v>
      </c>
      <c r="T29" s="112">
        <v>3</v>
      </c>
      <c r="U29" s="112">
        <v>3</v>
      </c>
      <c r="V29" s="112">
        <v>3</v>
      </c>
      <c r="W29" s="112">
        <v>3</v>
      </c>
      <c r="X29" s="112" t="s">
        <v>72</v>
      </c>
      <c r="Y29" s="112">
        <v>3</v>
      </c>
      <c r="Z29" s="112">
        <v>3</v>
      </c>
      <c r="AA29" s="112">
        <v>3</v>
      </c>
      <c r="AB29" s="112">
        <v>3</v>
      </c>
      <c r="AC29" s="112">
        <v>3</v>
      </c>
      <c r="AD29" s="112">
        <v>3</v>
      </c>
      <c r="AE29" s="112">
        <v>3</v>
      </c>
      <c r="AF29" s="112">
        <v>3</v>
      </c>
      <c r="AG29" s="112">
        <v>3</v>
      </c>
      <c r="AH29" s="112">
        <v>4</v>
      </c>
      <c r="AI29" s="112">
        <v>4</v>
      </c>
      <c r="AJ29" s="112">
        <v>4</v>
      </c>
      <c r="AK29" s="112">
        <v>3</v>
      </c>
      <c r="AL29" s="112">
        <v>4</v>
      </c>
      <c r="AM29" s="112">
        <v>3</v>
      </c>
      <c r="AN29" s="112">
        <v>3</v>
      </c>
      <c r="AO29" s="112">
        <v>3</v>
      </c>
      <c r="AP29" s="112">
        <v>3</v>
      </c>
      <c r="AQ29" s="112">
        <v>3</v>
      </c>
      <c r="AR29" s="112">
        <v>5</v>
      </c>
      <c r="AS29" s="112">
        <v>3</v>
      </c>
      <c r="AT29" s="112">
        <v>3</v>
      </c>
      <c r="AU29" s="112">
        <v>3</v>
      </c>
      <c r="AV29" s="112">
        <v>3</v>
      </c>
      <c r="AW29" s="112">
        <v>3</v>
      </c>
      <c r="AX29" s="112">
        <v>3</v>
      </c>
      <c r="AY29" s="112">
        <v>3</v>
      </c>
      <c r="AZ29" s="112">
        <v>4</v>
      </c>
      <c r="BA29" s="112">
        <v>3</v>
      </c>
      <c r="BB29" s="112">
        <v>4</v>
      </c>
      <c r="BC29" s="112">
        <v>3</v>
      </c>
      <c r="BD29" s="112">
        <v>3</v>
      </c>
      <c r="BE29" s="112">
        <v>3</v>
      </c>
      <c r="BF29" s="112">
        <v>3</v>
      </c>
      <c r="BG29" s="112">
        <v>3</v>
      </c>
      <c r="BH29" s="112">
        <v>3</v>
      </c>
      <c r="BI29" s="112">
        <v>3</v>
      </c>
      <c r="BJ29" s="112">
        <v>3</v>
      </c>
      <c r="BK29" s="112">
        <v>3</v>
      </c>
      <c r="BL29" s="112">
        <v>3</v>
      </c>
      <c r="BM29" s="112">
        <v>3</v>
      </c>
      <c r="BN29" s="112">
        <v>3</v>
      </c>
      <c r="BO29" s="112">
        <v>3</v>
      </c>
      <c r="BP29" s="112">
        <v>5</v>
      </c>
      <c r="BQ29" s="112">
        <v>5</v>
      </c>
      <c r="BR29" s="112">
        <v>5</v>
      </c>
      <c r="BS29" s="112">
        <v>3</v>
      </c>
      <c r="BT29" s="112">
        <v>3</v>
      </c>
      <c r="BU29" s="112">
        <v>3</v>
      </c>
      <c r="BV29" s="112">
        <v>3</v>
      </c>
      <c r="BW29" s="112">
        <v>3</v>
      </c>
      <c r="BX29" s="112">
        <v>3</v>
      </c>
      <c r="BY29" s="112">
        <v>3</v>
      </c>
      <c r="BZ29" s="112">
        <v>3</v>
      </c>
      <c r="CA29" s="112">
        <v>3</v>
      </c>
      <c r="CB29" s="112">
        <v>3</v>
      </c>
      <c r="CC29" s="112">
        <v>3</v>
      </c>
      <c r="CD29" s="112">
        <v>3</v>
      </c>
      <c r="CE29" s="112">
        <v>3</v>
      </c>
      <c r="CF29" s="112">
        <v>3</v>
      </c>
      <c r="CG29" s="112">
        <v>4</v>
      </c>
      <c r="CH29" s="112">
        <v>4</v>
      </c>
      <c r="CI29" s="112">
        <v>4</v>
      </c>
      <c r="CJ29" s="112">
        <v>4</v>
      </c>
      <c r="CK29" s="112">
        <v>3</v>
      </c>
      <c r="CL29" s="112">
        <v>3</v>
      </c>
      <c r="CM29" s="112">
        <v>3</v>
      </c>
      <c r="CN29" s="112">
        <v>3</v>
      </c>
      <c r="CO29" s="112">
        <v>3</v>
      </c>
      <c r="CP29" s="112">
        <v>3</v>
      </c>
      <c r="CQ29" s="112">
        <v>3</v>
      </c>
      <c r="CR29" s="112">
        <v>3</v>
      </c>
      <c r="CS29" s="112">
        <v>3</v>
      </c>
      <c r="CT29" s="112">
        <v>3</v>
      </c>
      <c r="CU29" s="112">
        <v>3</v>
      </c>
    </row>
    <row r="30" spans="1:99" ht="15" customHeight="1">
      <c r="A30" s="222" t="s">
        <v>32</v>
      </c>
      <c r="B30" s="223"/>
      <c r="C30" s="6" t="s">
        <v>29</v>
      </c>
      <c r="D30" s="73"/>
      <c r="E30" s="75">
        <v>3</v>
      </c>
      <c r="F30" s="107">
        <v>2</v>
      </c>
      <c r="G30" s="75">
        <v>3</v>
      </c>
      <c r="H30" s="75">
        <v>3</v>
      </c>
      <c r="I30" s="75">
        <v>3</v>
      </c>
      <c r="J30" s="75">
        <v>3</v>
      </c>
      <c r="K30" s="75">
        <v>3</v>
      </c>
      <c r="L30" s="107">
        <v>2</v>
      </c>
      <c r="M30" s="75">
        <v>3</v>
      </c>
      <c r="N30" s="107">
        <v>2</v>
      </c>
      <c r="O30" s="75">
        <v>3</v>
      </c>
      <c r="P30" s="75">
        <v>3</v>
      </c>
      <c r="Q30" s="75">
        <v>3</v>
      </c>
      <c r="R30" s="107">
        <v>2</v>
      </c>
      <c r="S30" s="75">
        <v>3</v>
      </c>
      <c r="T30" s="75">
        <v>3</v>
      </c>
      <c r="U30" s="75">
        <v>3</v>
      </c>
      <c r="V30" s="75">
        <v>3</v>
      </c>
      <c r="W30" s="75">
        <v>3</v>
      </c>
      <c r="X30" s="112" t="s">
        <v>72</v>
      </c>
      <c r="Y30" s="75">
        <v>3</v>
      </c>
      <c r="Z30" s="75">
        <v>3</v>
      </c>
      <c r="AA30" s="75">
        <v>3</v>
      </c>
      <c r="AB30" s="75">
        <v>3</v>
      </c>
      <c r="AC30" s="75">
        <v>3</v>
      </c>
      <c r="AD30" s="75">
        <v>3</v>
      </c>
      <c r="AE30" s="107">
        <v>2</v>
      </c>
      <c r="AF30" s="107">
        <v>2</v>
      </c>
      <c r="AG30" s="75">
        <v>3</v>
      </c>
      <c r="AH30" s="75">
        <v>3</v>
      </c>
      <c r="AI30" s="75">
        <v>3</v>
      </c>
      <c r="AJ30" s="75">
        <v>3</v>
      </c>
      <c r="AK30" s="75">
        <v>3</v>
      </c>
      <c r="AL30" s="75">
        <v>3</v>
      </c>
      <c r="AM30" s="75">
        <v>3</v>
      </c>
      <c r="AN30" s="75">
        <v>3</v>
      </c>
      <c r="AO30" s="75">
        <v>3</v>
      </c>
      <c r="AP30" s="75">
        <v>3</v>
      </c>
      <c r="AQ30" s="75">
        <v>3</v>
      </c>
      <c r="AR30" s="75">
        <v>3</v>
      </c>
      <c r="AS30" s="75">
        <v>3</v>
      </c>
      <c r="AT30" s="75">
        <v>3</v>
      </c>
      <c r="AU30" s="75">
        <v>3</v>
      </c>
      <c r="AV30" s="75">
        <v>3</v>
      </c>
      <c r="AW30" s="75">
        <v>3</v>
      </c>
      <c r="AX30" s="75">
        <v>3</v>
      </c>
      <c r="AY30" s="75">
        <v>3</v>
      </c>
      <c r="AZ30" s="75">
        <v>3</v>
      </c>
      <c r="BA30" s="75">
        <v>3</v>
      </c>
      <c r="BB30" s="75">
        <v>3</v>
      </c>
      <c r="BC30" s="107">
        <v>2</v>
      </c>
      <c r="BD30" s="107">
        <v>2</v>
      </c>
      <c r="BE30" s="75">
        <v>3</v>
      </c>
      <c r="BF30" s="107">
        <v>2</v>
      </c>
      <c r="BG30" s="107">
        <v>2</v>
      </c>
      <c r="BH30" s="75">
        <v>3</v>
      </c>
      <c r="BI30" s="107">
        <v>2</v>
      </c>
      <c r="BJ30" s="75">
        <v>3</v>
      </c>
      <c r="BK30" s="107">
        <v>2</v>
      </c>
      <c r="BL30" s="107">
        <v>2</v>
      </c>
      <c r="BM30" s="107">
        <v>2</v>
      </c>
      <c r="BN30" s="107">
        <v>2</v>
      </c>
      <c r="BO30" s="75">
        <v>3</v>
      </c>
      <c r="BP30" s="75">
        <v>3</v>
      </c>
      <c r="BQ30" s="75">
        <v>3</v>
      </c>
      <c r="BR30" s="75">
        <v>3</v>
      </c>
      <c r="BS30" s="107">
        <v>2</v>
      </c>
      <c r="BT30" s="107">
        <v>2</v>
      </c>
      <c r="BU30" s="75">
        <v>3</v>
      </c>
      <c r="BV30" s="107">
        <v>2</v>
      </c>
      <c r="BW30" s="75">
        <v>3</v>
      </c>
      <c r="BX30" s="75">
        <v>3</v>
      </c>
      <c r="BY30" s="75">
        <v>3</v>
      </c>
      <c r="BZ30" s="75">
        <v>3</v>
      </c>
      <c r="CA30" s="107">
        <v>2</v>
      </c>
      <c r="CB30" s="107">
        <v>2</v>
      </c>
      <c r="CC30" s="107">
        <v>2</v>
      </c>
      <c r="CD30" s="75">
        <v>3</v>
      </c>
      <c r="CE30" s="75">
        <v>3</v>
      </c>
      <c r="CF30" s="107">
        <v>2</v>
      </c>
      <c r="CG30" s="75">
        <v>3</v>
      </c>
      <c r="CH30" s="75">
        <v>3</v>
      </c>
      <c r="CI30" s="75">
        <v>3</v>
      </c>
      <c r="CJ30" s="75">
        <v>3</v>
      </c>
      <c r="CK30" s="75">
        <v>3</v>
      </c>
      <c r="CL30" s="75">
        <v>3</v>
      </c>
      <c r="CM30" s="75">
        <v>3</v>
      </c>
      <c r="CN30" s="107">
        <v>2</v>
      </c>
      <c r="CO30" s="75">
        <v>3</v>
      </c>
      <c r="CP30" s="107">
        <v>2</v>
      </c>
      <c r="CQ30" s="107">
        <v>2</v>
      </c>
      <c r="CR30" s="107">
        <v>2</v>
      </c>
      <c r="CS30" s="107">
        <v>2</v>
      </c>
      <c r="CT30" s="107">
        <v>2</v>
      </c>
      <c r="CU30" s="107">
        <v>2</v>
      </c>
    </row>
    <row r="31" spans="1:99" ht="15" customHeight="1">
      <c r="A31" s="227" t="s">
        <v>33</v>
      </c>
      <c r="B31" s="228"/>
      <c r="C31" s="6" t="s">
        <v>29</v>
      </c>
      <c r="D31" s="76"/>
      <c r="E31" s="107">
        <v>2</v>
      </c>
      <c r="F31" s="107">
        <v>1</v>
      </c>
      <c r="G31" s="107">
        <v>2</v>
      </c>
      <c r="H31" s="107">
        <v>2</v>
      </c>
      <c r="I31" s="107">
        <v>2</v>
      </c>
      <c r="J31" s="107">
        <v>2</v>
      </c>
      <c r="K31" s="107">
        <v>2</v>
      </c>
      <c r="L31" s="107">
        <v>1</v>
      </c>
      <c r="M31" s="107">
        <v>2</v>
      </c>
      <c r="N31" s="107">
        <v>1</v>
      </c>
      <c r="O31" s="107">
        <v>2</v>
      </c>
      <c r="P31" s="107">
        <v>2</v>
      </c>
      <c r="Q31" s="107">
        <v>2</v>
      </c>
      <c r="R31" s="107">
        <v>1</v>
      </c>
      <c r="S31" s="107">
        <v>2</v>
      </c>
      <c r="T31" s="107">
        <v>2</v>
      </c>
      <c r="U31" s="107">
        <v>2</v>
      </c>
      <c r="V31" s="107">
        <v>2</v>
      </c>
      <c r="W31" s="107">
        <v>2</v>
      </c>
      <c r="X31" s="112" t="s">
        <v>72</v>
      </c>
      <c r="Y31" s="107">
        <v>2</v>
      </c>
      <c r="Z31" s="107">
        <v>2</v>
      </c>
      <c r="AA31" s="107">
        <v>2</v>
      </c>
      <c r="AB31" s="107">
        <v>2</v>
      </c>
      <c r="AC31" s="107">
        <v>2</v>
      </c>
      <c r="AD31" s="107">
        <v>2</v>
      </c>
      <c r="AE31" s="107">
        <v>1</v>
      </c>
      <c r="AF31" s="107">
        <v>1</v>
      </c>
      <c r="AG31" s="107">
        <v>2</v>
      </c>
      <c r="AH31" s="107">
        <v>2</v>
      </c>
      <c r="AI31" s="107">
        <v>2</v>
      </c>
      <c r="AJ31" s="107">
        <v>2</v>
      </c>
      <c r="AK31" s="107">
        <v>2</v>
      </c>
      <c r="AL31" s="107">
        <v>2</v>
      </c>
      <c r="AM31" s="107">
        <v>2</v>
      </c>
      <c r="AN31" s="107">
        <v>2</v>
      </c>
      <c r="AO31" s="107">
        <v>2</v>
      </c>
      <c r="AP31" s="107">
        <v>2</v>
      </c>
      <c r="AQ31" s="107">
        <v>2</v>
      </c>
      <c r="AR31" s="107">
        <v>2</v>
      </c>
      <c r="AS31" s="107">
        <v>2</v>
      </c>
      <c r="AT31" s="107">
        <v>2</v>
      </c>
      <c r="AU31" s="107">
        <v>2</v>
      </c>
      <c r="AV31" s="107">
        <v>2</v>
      </c>
      <c r="AW31" s="107">
        <v>2</v>
      </c>
      <c r="AX31" s="107">
        <v>2</v>
      </c>
      <c r="AY31" s="107">
        <v>2</v>
      </c>
      <c r="AZ31" s="107">
        <v>2</v>
      </c>
      <c r="BA31" s="107">
        <v>2</v>
      </c>
      <c r="BB31" s="107">
        <v>2</v>
      </c>
      <c r="BC31" s="107">
        <v>1</v>
      </c>
      <c r="BD31" s="107">
        <v>1</v>
      </c>
      <c r="BE31" s="107">
        <v>2</v>
      </c>
      <c r="BF31" s="107">
        <v>1</v>
      </c>
      <c r="BG31" s="107">
        <v>1</v>
      </c>
      <c r="BH31" s="107">
        <v>2</v>
      </c>
      <c r="BI31" s="107">
        <v>1</v>
      </c>
      <c r="BJ31" s="107">
        <v>2</v>
      </c>
      <c r="BK31" s="107">
        <v>1</v>
      </c>
      <c r="BL31" s="107">
        <v>1</v>
      </c>
      <c r="BM31" s="107">
        <v>1</v>
      </c>
      <c r="BN31" s="107">
        <v>1</v>
      </c>
      <c r="BO31" s="107">
        <v>2</v>
      </c>
      <c r="BP31" s="107">
        <v>2</v>
      </c>
      <c r="BQ31" s="107">
        <v>2</v>
      </c>
      <c r="BR31" s="107">
        <v>2</v>
      </c>
      <c r="BS31" s="107">
        <v>1</v>
      </c>
      <c r="BT31" s="107">
        <v>1</v>
      </c>
      <c r="BU31" s="107">
        <v>2</v>
      </c>
      <c r="BV31" s="107">
        <v>1</v>
      </c>
      <c r="BW31" s="107">
        <v>2</v>
      </c>
      <c r="BX31" s="107">
        <v>2</v>
      </c>
      <c r="BY31" s="107">
        <v>2</v>
      </c>
      <c r="BZ31" s="107">
        <v>2</v>
      </c>
      <c r="CA31" s="107">
        <v>1</v>
      </c>
      <c r="CB31" s="107">
        <v>1</v>
      </c>
      <c r="CC31" s="107">
        <v>1</v>
      </c>
      <c r="CD31" s="107">
        <v>2</v>
      </c>
      <c r="CE31" s="107">
        <v>2</v>
      </c>
      <c r="CF31" s="107">
        <v>1</v>
      </c>
      <c r="CG31" s="107">
        <v>2</v>
      </c>
      <c r="CH31" s="107">
        <v>2</v>
      </c>
      <c r="CI31" s="107">
        <v>2</v>
      </c>
      <c r="CJ31" s="107">
        <v>2</v>
      </c>
      <c r="CK31" s="107">
        <v>2</v>
      </c>
      <c r="CL31" s="107">
        <v>2</v>
      </c>
      <c r="CM31" s="107">
        <v>2</v>
      </c>
      <c r="CN31" s="107">
        <v>1</v>
      </c>
      <c r="CO31" s="107">
        <v>2</v>
      </c>
      <c r="CP31" s="107">
        <v>1</v>
      </c>
      <c r="CQ31" s="107">
        <v>1</v>
      </c>
      <c r="CR31" s="107">
        <v>1</v>
      </c>
      <c r="CS31" s="107">
        <v>1</v>
      </c>
      <c r="CT31" s="107">
        <v>1</v>
      </c>
      <c r="CU31" s="107">
        <v>1</v>
      </c>
    </row>
    <row r="33" spans="1:1">
      <c r="A33" s="89" t="s">
        <v>52</v>
      </c>
    </row>
    <row r="34" spans="1:1">
      <c r="A34" s="86" t="s">
        <v>75</v>
      </c>
    </row>
    <row r="35" spans="1:1">
      <c r="A35" s="86" t="s">
        <v>76</v>
      </c>
    </row>
  </sheetData>
  <mergeCells count="3">
    <mergeCell ref="A29:B29"/>
    <mergeCell ref="A30:B30"/>
    <mergeCell ref="A31:B31"/>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5987-DF7F-4458-8752-F7A731FD571D}">
  <dimension ref="A1:DR35"/>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122" ht="15" customHeight="1"/>
    <row r="2" spans="1:122" ht="15" customHeight="1">
      <c r="A2" s="9"/>
      <c r="B2" s="7"/>
      <c r="C2" s="7"/>
      <c r="D2" s="7"/>
      <c r="E2" s="7"/>
    </row>
    <row r="3" spans="1:122" ht="20.45" customHeight="1">
      <c r="A3" s="9" t="str">
        <f>Voorblad!A5</f>
        <v>Team Freight Forwarding Logistics</v>
      </c>
      <c r="B3" s="8"/>
      <c r="C3" s="8"/>
      <c r="D3" s="8"/>
      <c r="E3" s="48"/>
    </row>
    <row r="4" spans="1:122" s="51" customFormat="1" ht="15.75">
      <c r="A4" s="62" t="s">
        <v>77</v>
      </c>
      <c r="B4" s="49"/>
      <c r="C4" s="50"/>
      <c r="D4" s="50"/>
      <c r="E4" s="50"/>
    </row>
    <row r="5" spans="1:122" ht="15" customHeight="1">
      <c r="A5" s="7"/>
      <c r="B5" s="7"/>
      <c r="C5" s="7"/>
      <c r="D5" s="7"/>
      <c r="E5" s="26"/>
    </row>
    <row r="6" spans="1:122" ht="15" customHeight="1">
      <c r="A6" s="63" t="s">
        <v>20</v>
      </c>
      <c r="B6" s="63" t="s">
        <v>21</v>
      </c>
      <c r="C6" s="64" t="s">
        <v>22</v>
      </c>
      <c r="D6" s="64" t="s">
        <v>23</v>
      </c>
      <c r="E6" s="63" t="s">
        <v>78</v>
      </c>
      <c r="F6" s="66" t="s">
        <v>79</v>
      </c>
      <c r="G6" s="63" t="s">
        <v>80</v>
      </c>
      <c r="H6" s="63" t="s">
        <v>81</v>
      </c>
      <c r="I6" s="63" t="s">
        <v>82</v>
      </c>
      <c r="J6" s="63" t="s">
        <v>83</v>
      </c>
      <c r="K6" s="63" t="s">
        <v>84</v>
      </c>
      <c r="L6" s="63" t="s">
        <v>85</v>
      </c>
      <c r="M6" s="66" t="s">
        <v>86</v>
      </c>
      <c r="N6" s="66" t="s">
        <v>87</v>
      </c>
      <c r="O6" s="63" t="s">
        <v>88</v>
      </c>
      <c r="P6" s="63" t="s">
        <v>89</v>
      </c>
      <c r="Q6" s="66" t="s">
        <v>90</v>
      </c>
      <c r="R6" s="63" t="s">
        <v>91</v>
      </c>
      <c r="S6" s="63" t="s">
        <v>92</v>
      </c>
      <c r="T6" s="66" t="s">
        <v>93</v>
      </c>
      <c r="U6" s="66" t="s">
        <v>94</v>
      </c>
      <c r="V6" s="66" t="s">
        <v>95</v>
      </c>
      <c r="W6" s="66" t="s">
        <v>96</v>
      </c>
      <c r="X6" s="63" t="s">
        <v>97</v>
      </c>
      <c r="Y6" s="63" t="s">
        <v>98</v>
      </c>
      <c r="Z6" s="66" t="s">
        <v>99</v>
      </c>
      <c r="AA6" s="63" t="s">
        <v>100</v>
      </c>
      <c r="AB6" s="63" t="s">
        <v>101</v>
      </c>
      <c r="AC6" s="63" t="s">
        <v>102</v>
      </c>
      <c r="AD6" s="63" t="s">
        <v>103</v>
      </c>
      <c r="AE6" s="63" t="s">
        <v>104</v>
      </c>
      <c r="AF6" s="63" t="s">
        <v>105</v>
      </c>
      <c r="AG6" s="63" t="s">
        <v>106</v>
      </c>
      <c r="AH6" s="63" t="s">
        <v>107</v>
      </c>
      <c r="AI6" s="66" t="s">
        <v>108</v>
      </c>
      <c r="AJ6" s="66" t="s">
        <v>109</v>
      </c>
      <c r="AK6" s="63" t="s">
        <v>110</v>
      </c>
      <c r="AL6" s="66" t="s">
        <v>111</v>
      </c>
      <c r="AM6" s="63" t="s">
        <v>112</v>
      </c>
      <c r="AN6" s="63" t="s">
        <v>113</v>
      </c>
      <c r="AO6" s="63" t="s">
        <v>114</v>
      </c>
      <c r="AP6" s="63" t="s">
        <v>115</v>
      </c>
      <c r="AQ6" s="63" t="s">
        <v>116</v>
      </c>
      <c r="AR6" s="66" t="s">
        <v>117</v>
      </c>
      <c r="AS6" s="66" t="s">
        <v>118</v>
      </c>
      <c r="AT6" s="63" t="s">
        <v>119</v>
      </c>
      <c r="AU6" s="63" t="s">
        <v>120</v>
      </c>
      <c r="AV6" s="66" t="s">
        <v>121</v>
      </c>
      <c r="AW6" s="63" t="s">
        <v>122</v>
      </c>
      <c r="AX6" s="63" t="s">
        <v>123</v>
      </c>
      <c r="AY6" s="63" t="s">
        <v>124</v>
      </c>
      <c r="AZ6" s="66" t="s">
        <v>125</v>
      </c>
      <c r="BA6" s="66" t="s">
        <v>126</v>
      </c>
      <c r="BB6" s="63" t="s">
        <v>127</v>
      </c>
      <c r="BC6" s="63" t="s">
        <v>128</v>
      </c>
      <c r="BD6" s="66" t="s">
        <v>129</v>
      </c>
      <c r="BE6" s="63" t="s">
        <v>130</v>
      </c>
      <c r="BF6" s="63" t="s">
        <v>131</v>
      </c>
      <c r="BG6" s="63" t="s">
        <v>132</v>
      </c>
      <c r="BH6" s="63" t="s">
        <v>133</v>
      </c>
      <c r="BI6" s="63" t="s">
        <v>134</v>
      </c>
      <c r="BJ6" s="63" t="s">
        <v>135</v>
      </c>
      <c r="BK6" s="63" t="s">
        <v>136</v>
      </c>
      <c r="BL6" s="63" t="s">
        <v>137</v>
      </c>
      <c r="BM6" s="63" t="s">
        <v>138</v>
      </c>
      <c r="BN6" s="66" t="s">
        <v>139</v>
      </c>
      <c r="BO6" s="63" t="s">
        <v>140</v>
      </c>
      <c r="BP6" s="66" t="s">
        <v>141</v>
      </c>
      <c r="BQ6" s="66" t="s">
        <v>142</v>
      </c>
      <c r="BR6" s="63" t="s">
        <v>143</v>
      </c>
      <c r="BS6" s="66" t="s">
        <v>144</v>
      </c>
      <c r="BT6" s="63" t="s">
        <v>145</v>
      </c>
      <c r="BU6" s="63" t="s">
        <v>146</v>
      </c>
      <c r="BV6" s="63" t="s">
        <v>147</v>
      </c>
      <c r="BW6" s="63" t="s">
        <v>148</v>
      </c>
      <c r="BX6" s="66" t="s">
        <v>149</v>
      </c>
      <c r="BY6" s="66" t="s">
        <v>150</v>
      </c>
      <c r="BZ6" s="63" t="s">
        <v>151</v>
      </c>
      <c r="CA6" s="63" t="s">
        <v>152</v>
      </c>
      <c r="CB6" s="63" t="s">
        <v>153</v>
      </c>
      <c r="CC6" s="63" t="s">
        <v>154</v>
      </c>
      <c r="CD6" s="63" t="s">
        <v>155</v>
      </c>
      <c r="CE6" s="63" t="s">
        <v>156</v>
      </c>
      <c r="CF6" s="63" t="s">
        <v>157</v>
      </c>
      <c r="CG6" s="63" t="s">
        <v>158</v>
      </c>
      <c r="CH6" s="66" t="s">
        <v>159</v>
      </c>
      <c r="CI6" s="66" t="s">
        <v>160</v>
      </c>
      <c r="CJ6" s="66" t="s">
        <v>161</v>
      </c>
      <c r="CK6" s="63" t="s">
        <v>162</v>
      </c>
      <c r="CL6" s="63" t="s">
        <v>163</v>
      </c>
      <c r="CM6" s="66" t="s">
        <v>164</v>
      </c>
      <c r="CN6" s="66" t="s">
        <v>165</v>
      </c>
      <c r="CO6" s="63" t="s">
        <v>166</v>
      </c>
      <c r="CP6" s="66" t="s">
        <v>167</v>
      </c>
      <c r="CQ6" s="66" t="s">
        <v>168</v>
      </c>
      <c r="CR6" s="63" t="s">
        <v>169</v>
      </c>
      <c r="CS6" s="63" t="s">
        <v>170</v>
      </c>
      <c r="CT6" s="63" t="s">
        <v>171</v>
      </c>
      <c r="CU6" s="63" t="s">
        <v>172</v>
      </c>
      <c r="CV6" s="66" t="s">
        <v>173</v>
      </c>
      <c r="CW6" s="63" t="s">
        <v>174</v>
      </c>
      <c r="CX6" s="66" t="s">
        <v>175</v>
      </c>
      <c r="CY6" s="63" t="s">
        <v>176</v>
      </c>
      <c r="CZ6" s="63" t="s">
        <v>177</v>
      </c>
      <c r="DA6" s="63" t="s">
        <v>178</v>
      </c>
      <c r="DB6" s="63" t="s">
        <v>179</v>
      </c>
      <c r="DC6" s="66" t="s">
        <v>180</v>
      </c>
      <c r="DD6" s="63" t="s">
        <v>181</v>
      </c>
      <c r="DE6" s="63" t="s">
        <v>182</v>
      </c>
      <c r="DF6" s="63" t="s">
        <v>183</v>
      </c>
      <c r="DG6" s="66" t="s">
        <v>184</v>
      </c>
      <c r="DH6" s="66" t="s">
        <v>185</v>
      </c>
      <c r="DI6" s="66" t="s">
        <v>186</v>
      </c>
      <c r="DJ6" s="63" t="s">
        <v>187</v>
      </c>
      <c r="DK6" s="66" t="s">
        <v>188</v>
      </c>
      <c r="DL6" s="66" t="s">
        <v>189</v>
      </c>
      <c r="DM6" s="63" t="s">
        <v>190</v>
      </c>
      <c r="DN6" s="63" t="s">
        <v>191</v>
      </c>
      <c r="DO6" s="63" t="s">
        <v>192</v>
      </c>
      <c r="DP6" s="63" t="s">
        <v>193</v>
      </c>
      <c r="DQ6" s="63" t="s">
        <v>194</v>
      </c>
      <c r="DR6" s="63" t="s">
        <v>195</v>
      </c>
    </row>
    <row r="7" spans="1:122" ht="15" customHeight="1">
      <c r="A7" s="67">
        <v>300</v>
      </c>
      <c r="B7" s="64">
        <v>0.2</v>
      </c>
      <c r="C7" s="64">
        <v>0.5</v>
      </c>
      <c r="D7" s="64"/>
      <c r="E7" s="121"/>
      <c r="F7" s="121">
        <f>ROUNDUP([1]GB!F9*1.045,0)</f>
        <v>266</v>
      </c>
      <c r="G7" s="121">
        <f>ROUNDUP([1]GB!G9*1.045,0)</f>
        <v>283</v>
      </c>
      <c r="H7" s="121">
        <f>ROUNDUP([1]GB!H9*1.045,0)</f>
        <v>283</v>
      </c>
      <c r="I7" s="121">
        <f>ROUNDUP([1]GB!I9*1.045,0)</f>
        <v>283</v>
      </c>
      <c r="J7" s="121">
        <f>ROUNDUP([1]GB!J9*1.045,0)</f>
        <v>266</v>
      </c>
      <c r="K7" s="121">
        <f>ROUNDUP([1]GB!K9*1.045,0)</f>
        <v>283</v>
      </c>
      <c r="L7" s="121">
        <f>ROUNDUP([1]GB!L9*1.045,0)</f>
        <v>283</v>
      </c>
      <c r="M7" s="121">
        <f>ROUNDUP([1]GB!M9*1.045,0)</f>
        <v>266</v>
      </c>
      <c r="N7" s="121">
        <f>ROUNDUP([1]GB!N9*1.045,0)</f>
        <v>266</v>
      </c>
      <c r="O7" s="121">
        <f>ROUNDUP([1]GB!O9*1.045,0)</f>
        <v>283</v>
      </c>
      <c r="P7" s="121">
        <f>ROUNDUP([1]GB!P9*1.045,0)</f>
        <v>307</v>
      </c>
      <c r="Q7" s="121">
        <f>ROUNDUP([1]GB!Q9*1.045,0)</f>
        <v>266</v>
      </c>
      <c r="R7" s="121">
        <f>ROUNDUP([1]GB!R9*1.045,0)</f>
        <v>283</v>
      </c>
      <c r="S7" s="121">
        <f>ROUNDUP([1]GB!S9*1.045,0)</f>
        <v>283</v>
      </c>
      <c r="T7" s="121">
        <f>ROUNDUP([1]GB!T9*1.045,0)</f>
        <v>266</v>
      </c>
      <c r="U7" s="121">
        <f>ROUNDUP([1]GB!U9*1.045,0)</f>
        <v>266</v>
      </c>
      <c r="V7" s="121">
        <f>ROUNDUP([1]GB!V9*1.045,0)</f>
        <v>266</v>
      </c>
      <c r="W7" s="121">
        <f>ROUNDUP([1]GB!W9*1.045,0)</f>
        <v>266</v>
      </c>
      <c r="X7" s="121">
        <f>ROUNDUP([1]GB!X9*1.045,0)</f>
        <v>266</v>
      </c>
      <c r="Y7" s="121">
        <f>ROUNDUP([1]GB!Y9*1.045,0)</f>
        <v>283</v>
      </c>
      <c r="Z7" s="121">
        <f>ROUNDUP([1]GB!Z9*1.045,0)</f>
        <v>266</v>
      </c>
      <c r="AA7" s="121"/>
      <c r="AB7" s="121">
        <f>ROUNDUP([1]GB!AB9*1.045,0)</f>
        <v>266</v>
      </c>
      <c r="AC7" s="121">
        <f>ROUNDUP([1]GB!AC9*1.045,0)</f>
        <v>362</v>
      </c>
      <c r="AD7" s="121">
        <f>ROUNDUP([1]GB!AD9*1.045,0)</f>
        <v>307</v>
      </c>
      <c r="AE7" s="121">
        <f>ROUNDUP([1]GB!AE9*1.045,0)</f>
        <v>283</v>
      </c>
      <c r="AF7" s="121">
        <f>ROUNDUP([1]GB!AF9*1.045,0)</f>
        <v>266</v>
      </c>
      <c r="AG7" s="121">
        <f>ROUNDUP([1]GB!AG9*1.045,0)</f>
        <v>283</v>
      </c>
      <c r="AH7" s="121">
        <f>ROUNDUP([1]GB!AH9*1.045,0)</f>
        <v>283</v>
      </c>
      <c r="AI7" s="121">
        <f>ROUNDUP([1]GB!AI9*1.045,0)</f>
        <v>266</v>
      </c>
      <c r="AJ7" s="121">
        <f>ROUNDUP([1]GB!AJ9*1.045,0)</f>
        <v>266</v>
      </c>
      <c r="AK7" s="121">
        <f>ROUNDUP([1]GB!AK9*1.045,0)</f>
        <v>362</v>
      </c>
      <c r="AL7" s="121">
        <f>ROUNDUP([1]GB!AL9*1.045,0)</f>
        <v>266</v>
      </c>
      <c r="AM7" s="121">
        <f>ROUNDUP([1]GB!AM9*1.045,0)</f>
        <v>283</v>
      </c>
      <c r="AN7" s="121">
        <f>ROUNDUP([1]GB!AN9*1.045,0)</f>
        <v>362</v>
      </c>
      <c r="AO7" s="121">
        <f>ROUNDUP([1]GB!AO9*1.045,0)</f>
        <v>307</v>
      </c>
      <c r="AP7" s="121">
        <f>ROUNDUP([1]GB!AP9*1.045,0)</f>
        <v>362</v>
      </c>
      <c r="AQ7" s="121">
        <f>ROUNDUP([1]GB!AQ9*1.045,0)</f>
        <v>266</v>
      </c>
      <c r="AR7" s="121">
        <f>ROUNDUP([1]GB!AR9*1.045,0)</f>
        <v>266</v>
      </c>
      <c r="AS7" s="121">
        <f>ROUNDUP([1]GB!AS9*1.045,0)</f>
        <v>266</v>
      </c>
      <c r="AT7" s="121">
        <f>ROUNDUP([1]GB!AT9*1.045,0)</f>
        <v>283</v>
      </c>
      <c r="AU7" s="121">
        <f>ROUNDUP([1]GB!AU9*1.045,0)</f>
        <v>266</v>
      </c>
      <c r="AV7" s="121">
        <f>ROUNDUP([1]GB!AV9*1.045,0)</f>
        <v>266</v>
      </c>
      <c r="AW7" s="121">
        <f>ROUNDUP([1]GB!AW9*1.045,0)</f>
        <v>283</v>
      </c>
      <c r="AX7" s="121">
        <f>ROUNDUP([1]GB!AX9*1.045,0)</f>
        <v>266</v>
      </c>
      <c r="AY7" s="121">
        <f>ROUNDUP([1]GB!AY9*1.045,0)</f>
        <v>283</v>
      </c>
      <c r="AZ7" s="121">
        <f>ROUNDUP([1]GB!AZ9*1.045,0)</f>
        <v>266</v>
      </c>
      <c r="BA7" s="121">
        <f>ROUNDUP([1]GB!BA9*1.045,0)</f>
        <v>266</v>
      </c>
      <c r="BB7" s="121"/>
      <c r="BC7" s="121">
        <f>ROUNDUP([1]GB!BC9*1.045,0)</f>
        <v>362</v>
      </c>
      <c r="BD7" s="121">
        <f>ROUNDUP([1]GB!BD9*1.045,0)</f>
        <v>266</v>
      </c>
      <c r="BE7" s="121"/>
      <c r="BF7" s="121"/>
      <c r="BG7" s="121">
        <f>ROUNDUP([1]GB!BG9*1.045,0)</f>
        <v>283</v>
      </c>
      <c r="BH7" s="121">
        <f>ROUNDUP([1]GB!BH9*1.045,0)</f>
        <v>283</v>
      </c>
      <c r="BI7" s="121">
        <f>ROUNDUP([1]GB!BI9*1.045,0)</f>
        <v>283</v>
      </c>
      <c r="BJ7" s="121">
        <f>ROUNDUP([1]GB!BJ9*1.045,0)</f>
        <v>266</v>
      </c>
      <c r="BK7" s="121">
        <f>ROUNDUP([1]GB!BK9*1.045,0)</f>
        <v>307</v>
      </c>
      <c r="BL7" s="121">
        <f>ROUNDUP([1]GB!BL9*1.045,0)</f>
        <v>266</v>
      </c>
      <c r="BM7" s="121">
        <f>ROUNDUP([1]GB!BM9*1.045,0)</f>
        <v>266</v>
      </c>
      <c r="BN7" s="121">
        <f>ROUNDUP([1]GB!BN9*1.045,0)</f>
        <v>266</v>
      </c>
      <c r="BO7" s="121">
        <f>ROUNDUP([1]GB!BO9*1.045,0)</f>
        <v>283</v>
      </c>
      <c r="BP7" s="121">
        <f>ROUNDUP([1]GB!BP9*1.045,0)</f>
        <v>266</v>
      </c>
      <c r="BQ7" s="121">
        <f>ROUNDUP([1]GB!BQ9*1.045,0)</f>
        <v>266</v>
      </c>
      <c r="BR7" s="121">
        <f>ROUNDUP([1]GB!BR9*1.045,0)</f>
        <v>362</v>
      </c>
      <c r="BS7" s="121">
        <f>ROUNDUP([1]GB!BS9*1.045,0)</f>
        <v>266</v>
      </c>
      <c r="BT7" s="121">
        <f>ROUNDUP([1]GB!BT9*1.045,0)</f>
        <v>307</v>
      </c>
      <c r="BU7" s="121">
        <f>ROUNDUP([1]GB!BU9*1.045,0)</f>
        <v>266</v>
      </c>
      <c r="BV7" s="121">
        <f>ROUNDUP([1]GB!BV9*1.045,0)</f>
        <v>266</v>
      </c>
      <c r="BW7" s="121">
        <f>ROUNDUP([1]GB!BW9*1.045,0)</f>
        <v>283</v>
      </c>
      <c r="BX7" s="121">
        <f>ROUNDUP([1]GB!BX9*1.045,0)</f>
        <v>266</v>
      </c>
      <c r="BY7" s="121">
        <f>ROUNDUP([1]GB!BY9*1.045,0)</f>
        <v>266</v>
      </c>
      <c r="BZ7" s="121">
        <f>ROUNDUP([1]GB!BZ9*1.045,0)</f>
        <v>283</v>
      </c>
      <c r="CA7" s="121">
        <f>ROUNDUP([1]GB!CA9*1.045,0)</f>
        <v>266</v>
      </c>
      <c r="CB7" s="121"/>
      <c r="CC7" s="121">
        <f>ROUNDUP([1]GB!CC9*1.045,0)</f>
        <v>266</v>
      </c>
      <c r="CD7" s="121"/>
      <c r="CE7" s="121">
        <f>ROUNDUP([1]GB!CE9*1.045,0)</f>
        <v>362</v>
      </c>
      <c r="CF7" s="121">
        <f>ROUNDUP([1]GB!CF9*1.045,0)</f>
        <v>266</v>
      </c>
      <c r="CG7" s="121">
        <f>ROUNDUP([1]GB!CG9*1.045,0)</f>
        <v>283</v>
      </c>
      <c r="CH7" s="121">
        <f>ROUNDUP([1]GB!CH9*1.045,0)</f>
        <v>266</v>
      </c>
      <c r="CI7" s="121">
        <f>ROUNDUP([1]GB!CI9*1.045,0)</f>
        <v>266</v>
      </c>
      <c r="CJ7" s="121">
        <f>ROUNDUP([1]GB!CJ9*1.045,0)</f>
        <v>266</v>
      </c>
      <c r="CK7" s="121">
        <f>ROUNDUP([1]GB!CK9*1.045,0)</f>
        <v>266</v>
      </c>
      <c r="CL7" s="121">
        <f>ROUNDUP([1]GB!CL9*1.045,0)</f>
        <v>307</v>
      </c>
      <c r="CM7" s="121">
        <f>ROUNDUP([1]GB!CM9*1.045,0)</f>
        <v>266</v>
      </c>
      <c r="CN7" s="121">
        <f>ROUNDUP([1]GB!CN9*1.045,0)</f>
        <v>266</v>
      </c>
      <c r="CO7" s="121">
        <f>ROUNDUP([1]GB!CO9*1.045,0)</f>
        <v>283</v>
      </c>
      <c r="CP7" s="121">
        <f>ROUNDUP([1]GB!CP9*1.045,0)</f>
        <v>266</v>
      </c>
      <c r="CQ7" s="121">
        <f>ROUNDUP([1]GB!CQ9*1.045,0)</f>
        <v>266</v>
      </c>
      <c r="CR7" s="121">
        <f>ROUNDUP([1]GB!CR9*1.045,0)</f>
        <v>266</v>
      </c>
      <c r="CS7" s="121">
        <f>ROUNDUP([1]GB!CS9*1.045,0)</f>
        <v>266</v>
      </c>
      <c r="CT7" s="121">
        <f>ROUNDUP([1]GB!CT9*1.045,0)</f>
        <v>266</v>
      </c>
      <c r="CU7" s="121">
        <f>ROUNDUP([1]GB!CU9*1.045,0)</f>
        <v>307</v>
      </c>
      <c r="CV7" s="121">
        <f>ROUNDUP([1]GB!CV9*1.045,0)</f>
        <v>266</v>
      </c>
      <c r="CW7" s="121">
        <f>ROUNDUP([1]GB!CW9*1.045,0)</f>
        <v>283</v>
      </c>
      <c r="CX7" s="121">
        <f>ROUNDUP([1]GB!CX9*1.045,0)</f>
        <v>266</v>
      </c>
      <c r="CY7" s="121">
        <f>ROUNDUP([1]GB!CY9*1.045,0)</f>
        <v>283</v>
      </c>
      <c r="CZ7" s="121">
        <f>ROUNDUP([1]GB!CZ9*1.045,0)</f>
        <v>283</v>
      </c>
      <c r="DA7" s="121">
        <f>ROUNDUP([1]GB!DA9*1.045,0)</f>
        <v>307</v>
      </c>
      <c r="DB7" s="121">
        <f>ROUNDUP([1]GB!DB9*1.045,0)</f>
        <v>283</v>
      </c>
      <c r="DC7" s="121">
        <f>ROUNDUP([1]GB!DC9*1.045,0)</f>
        <v>266</v>
      </c>
      <c r="DD7" s="121">
        <f>ROUNDUP([1]GB!DD9*1.045,0)</f>
        <v>307</v>
      </c>
      <c r="DE7" s="121"/>
      <c r="DF7" s="121">
        <f>ROUNDUP([1]GB!DF9*1.045,0)</f>
        <v>283</v>
      </c>
      <c r="DG7" s="121">
        <f>ROUNDUP([1]GB!DG9*1.045,0)</f>
        <v>266</v>
      </c>
      <c r="DH7" s="121">
        <f>ROUNDUP([1]GB!DH9*1.045,0)</f>
        <v>266</v>
      </c>
      <c r="DI7" s="121">
        <f>ROUNDUP([1]GB!DI9*1.045,0)</f>
        <v>266</v>
      </c>
      <c r="DJ7" s="121">
        <f>ROUNDUP([1]GB!DJ9*1.045,0)</f>
        <v>283</v>
      </c>
      <c r="DK7" s="121">
        <f>ROUNDUP([1]GB!DK9*1.045,0)</f>
        <v>266</v>
      </c>
      <c r="DL7" s="121">
        <f>ROUNDUP([1]GB!DL9*1.045,0)</f>
        <v>266</v>
      </c>
      <c r="DM7" s="121">
        <f>ROUNDUP([1]GB!DM9*1.045,0)</f>
        <v>266</v>
      </c>
      <c r="DN7" s="121">
        <f>ROUNDUP([1]GB!DN9*1.045,0)</f>
        <v>283</v>
      </c>
      <c r="DO7" s="121">
        <f>ROUNDUP([1]GB!DO9*1.045,0)</f>
        <v>283</v>
      </c>
      <c r="DP7" s="121">
        <f>ROUNDUP([1]GB!DP9*1.045,0)</f>
        <v>283</v>
      </c>
      <c r="DQ7" s="121">
        <f>ROUNDUP([1]GB!DQ9*1.045,0)</f>
        <v>283</v>
      </c>
      <c r="DR7" s="121">
        <f>ROUNDUP([1]GB!DR9*1.045,0)</f>
        <v>266</v>
      </c>
    </row>
    <row r="8" spans="1:122" ht="15" customHeight="1">
      <c r="A8" s="2">
        <v>700</v>
      </c>
      <c r="B8" s="64">
        <v>0.4</v>
      </c>
      <c r="C8" s="64">
        <v>1</v>
      </c>
      <c r="D8" s="64"/>
      <c r="E8" s="121"/>
      <c r="F8" s="121">
        <f>ROUNDUP([1]GB!F10*1.045,0)</f>
        <v>280</v>
      </c>
      <c r="G8" s="121">
        <f>ROUNDUP([1]GB!G10*1.045,0)</f>
        <v>296</v>
      </c>
      <c r="H8" s="121">
        <f>ROUNDUP([1]GB!H10*1.045,0)</f>
        <v>296</v>
      </c>
      <c r="I8" s="121">
        <f>ROUNDUP([1]GB!I10*1.045,0)</f>
        <v>296</v>
      </c>
      <c r="J8" s="121">
        <f>ROUNDUP([1]GB!J10*1.045,0)</f>
        <v>280</v>
      </c>
      <c r="K8" s="121">
        <f>ROUNDUP([1]GB!K10*1.045,0)</f>
        <v>296</v>
      </c>
      <c r="L8" s="121">
        <f>ROUNDUP([1]GB!L10*1.045,0)</f>
        <v>296</v>
      </c>
      <c r="M8" s="121">
        <f>ROUNDUP([1]GB!M10*1.045,0)</f>
        <v>280</v>
      </c>
      <c r="N8" s="121">
        <f>ROUNDUP([1]GB!N10*1.045,0)</f>
        <v>280</v>
      </c>
      <c r="O8" s="121">
        <f>ROUNDUP([1]GB!O10*1.045,0)</f>
        <v>296</v>
      </c>
      <c r="P8" s="121">
        <f>ROUNDUP([1]GB!P10*1.045,0)</f>
        <v>321</v>
      </c>
      <c r="Q8" s="121">
        <f>ROUNDUP([1]GB!Q10*1.045,0)</f>
        <v>280</v>
      </c>
      <c r="R8" s="121">
        <f>ROUNDUP([1]GB!R10*1.045,0)</f>
        <v>296</v>
      </c>
      <c r="S8" s="121">
        <f>ROUNDUP([1]GB!S10*1.045,0)</f>
        <v>296</v>
      </c>
      <c r="T8" s="121">
        <f>ROUNDUP([1]GB!T10*1.045,0)</f>
        <v>280</v>
      </c>
      <c r="U8" s="121">
        <f>ROUNDUP([1]GB!U10*1.045,0)</f>
        <v>280</v>
      </c>
      <c r="V8" s="121">
        <f>ROUNDUP([1]GB!V10*1.045,0)</f>
        <v>280</v>
      </c>
      <c r="W8" s="121">
        <f>ROUNDUP([1]GB!W10*1.045,0)</f>
        <v>280</v>
      </c>
      <c r="X8" s="121">
        <f>ROUNDUP([1]GB!X10*1.045,0)</f>
        <v>280</v>
      </c>
      <c r="Y8" s="121">
        <f>ROUNDUP([1]GB!Y10*1.045,0)</f>
        <v>296</v>
      </c>
      <c r="Z8" s="121">
        <f>ROUNDUP([1]GB!Z10*1.045,0)</f>
        <v>280</v>
      </c>
      <c r="AA8" s="121"/>
      <c r="AB8" s="121">
        <f>ROUNDUP([1]GB!AB10*1.045,0)</f>
        <v>280</v>
      </c>
      <c r="AC8" s="121">
        <f>ROUNDUP([1]GB!AC10*1.045,0)</f>
        <v>380</v>
      </c>
      <c r="AD8" s="121">
        <f>ROUNDUP([1]GB!AD10*1.045,0)</f>
        <v>321</v>
      </c>
      <c r="AE8" s="121">
        <f>ROUNDUP([1]GB!AE10*1.045,0)</f>
        <v>296</v>
      </c>
      <c r="AF8" s="121">
        <f>ROUNDUP([1]GB!AF10*1.045,0)</f>
        <v>280</v>
      </c>
      <c r="AG8" s="121">
        <f>ROUNDUP([1]GB!AG10*1.045,0)</f>
        <v>296</v>
      </c>
      <c r="AH8" s="121">
        <f>ROUNDUP([1]GB!AH10*1.045,0)</f>
        <v>296</v>
      </c>
      <c r="AI8" s="121">
        <f>ROUNDUP([1]GB!AI10*1.045,0)</f>
        <v>280</v>
      </c>
      <c r="AJ8" s="121">
        <f>ROUNDUP([1]GB!AJ10*1.045,0)</f>
        <v>280</v>
      </c>
      <c r="AK8" s="121">
        <f>ROUNDUP([1]GB!AK10*1.045,0)</f>
        <v>380</v>
      </c>
      <c r="AL8" s="121">
        <f>ROUNDUP([1]GB!AL10*1.045,0)</f>
        <v>280</v>
      </c>
      <c r="AM8" s="121">
        <f>ROUNDUP([1]GB!AM10*1.045,0)</f>
        <v>296</v>
      </c>
      <c r="AN8" s="121">
        <f>ROUNDUP([1]GB!AN10*1.045,0)</f>
        <v>380</v>
      </c>
      <c r="AO8" s="121">
        <f>ROUNDUP([1]GB!AO10*1.045,0)</f>
        <v>321</v>
      </c>
      <c r="AP8" s="121">
        <f>ROUNDUP([1]GB!AP10*1.045,0)</f>
        <v>380</v>
      </c>
      <c r="AQ8" s="121">
        <f>ROUNDUP([1]GB!AQ10*1.045,0)</f>
        <v>280</v>
      </c>
      <c r="AR8" s="121">
        <f>ROUNDUP([1]GB!AR10*1.045,0)</f>
        <v>280</v>
      </c>
      <c r="AS8" s="121">
        <f>ROUNDUP([1]GB!AS10*1.045,0)</f>
        <v>280</v>
      </c>
      <c r="AT8" s="121">
        <f>ROUNDUP([1]GB!AT10*1.045,0)</f>
        <v>296</v>
      </c>
      <c r="AU8" s="121">
        <f>ROUNDUP([1]GB!AU10*1.045,0)</f>
        <v>280</v>
      </c>
      <c r="AV8" s="121">
        <f>ROUNDUP([1]GB!AV10*1.045,0)</f>
        <v>280</v>
      </c>
      <c r="AW8" s="121">
        <f>ROUNDUP([1]GB!AW10*1.045,0)</f>
        <v>296</v>
      </c>
      <c r="AX8" s="121">
        <f>ROUNDUP([1]GB!AX10*1.045,0)</f>
        <v>280</v>
      </c>
      <c r="AY8" s="121">
        <f>ROUNDUP([1]GB!AY10*1.045,0)</f>
        <v>296</v>
      </c>
      <c r="AZ8" s="121">
        <f>ROUNDUP([1]GB!AZ10*1.045,0)</f>
        <v>280</v>
      </c>
      <c r="BA8" s="121">
        <f>ROUNDUP([1]GB!BA10*1.045,0)</f>
        <v>280</v>
      </c>
      <c r="BB8" s="121"/>
      <c r="BC8" s="121">
        <f>ROUNDUP([1]GB!BC10*1.045,0)</f>
        <v>380</v>
      </c>
      <c r="BD8" s="121">
        <f>ROUNDUP([1]GB!BD10*1.045,0)</f>
        <v>280</v>
      </c>
      <c r="BE8" s="121"/>
      <c r="BF8" s="121"/>
      <c r="BG8" s="121">
        <f>ROUNDUP([1]GB!BG10*1.045,0)</f>
        <v>296</v>
      </c>
      <c r="BH8" s="121">
        <f>ROUNDUP([1]GB!BH10*1.045,0)</f>
        <v>296</v>
      </c>
      <c r="BI8" s="121">
        <f>ROUNDUP([1]GB!BI10*1.045,0)</f>
        <v>296</v>
      </c>
      <c r="BJ8" s="121">
        <f>ROUNDUP([1]GB!BJ10*1.045,0)</f>
        <v>280</v>
      </c>
      <c r="BK8" s="121">
        <f>ROUNDUP([1]GB!BK10*1.045,0)</f>
        <v>321</v>
      </c>
      <c r="BL8" s="121">
        <f>ROUNDUP([1]GB!BL10*1.045,0)</f>
        <v>280</v>
      </c>
      <c r="BM8" s="121">
        <f>ROUNDUP([1]GB!BM10*1.045,0)</f>
        <v>280</v>
      </c>
      <c r="BN8" s="121">
        <f>ROUNDUP([1]GB!BN10*1.045,0)</f>
        <v>280</v>
      </c>
      <c r="BO8" s="121">
        <f>ROUNDUP([1]GB!BO10*1.045,0)</f>
        <v>296</v>
      </c>
      <c r="BP8" s="121">
        <f>ROUNDUP([1]GB!BP10*1.045,0)</f>
        <v>280</v>
      </c>
      <c r="BQ8" s="121">
        <f>ROUNDUP([1]GB!BQ10*1.045,0)</f>
        <v>280</v>
      </c>
      <c r="BR8" s="121">
        <f>ROUNDUP([1]GB!BR10*1.045,0)</f>
        <v>380</v>
      </c>
      <c r="BS8" s="121">
        <f>ROUNDUP([1]GB!BS10*1.045,0)</f>
        <v>280</v>
      </c>
      <c r="BT8" s="121">
        <f>ROUNDUP([1]GB!BT10*1.045,0)</f>
        <v>321</v>
      </c>
      <c r="BU8" s="121">
        <f>ROUNDUP([1]GB!BU10*1.045,0)</f>
        <v>280</v>
      </c>
      <c r="BV8" s="121">
        <f>ROUNDUP([1]GB!BV10*1.045,0)</f>
        <v>280</v>
      </c>
      <c r="BW8" s="121">
        <f>ROUNDUP([1]GB!BW10*1.045,0)</f>
        <v>296</v>
      </c>
      <c r="BX8" s="121">
        <f>ROUNDUP([1]GB!BX10*1.045,0)</f>
        <v>280</v>
      </c>
      <c r="BY8" s="121">
        <f>ROUNDUP([1]GB!BY10*1.045,0)</f>
        <v>280</v>
      </c>
      <c r="BZ8" s="121">
        <f>ROUNDUP([1]GB!BZ10*1.045,0)</f>
        <v>296</v>
      </c>
      <c r="CA8" s="121">
        <f>ROUNDUP([1]GB!CA10*1.045,0)</f>
        <v>280</v>
      </c>
      <c r="CB8" s="121"/>
      <c r="CC8" s="121">
        <f>ROUNDUP([1]GB!CC10*1.045,0)</f>
        <v>280</v>
      </c>
      <c r="CD8" s="121"/>
      <c r="CE8" s="121">
        <f>ROUNDUP([1]GB!CE10*1.045,0)</f>
        <v>380</v>
      </c>
      <c r="CF8" s="121">
        <f>ROUNDUP([1]GB!CF10*1.045,0)</f>
        <v>280</v>
      </c>
      <c r="CG8" s="121">
        <f>ROUNDUP([1]GB!CG10*1.045,0)</f>
        <v>296</v>
      </c>
      <c r="CH8" s="121">
        <f>ROUNDUP([1]GB!CH10*1.045,0)</f>
        <v>280</v>
      </c>
      <c r="CI8" s="121">
        <f>ROUNDUP([1]GB!CI10*1.045,0)</f>
        <v>280</v>
      </c>
      <c r="CJ8" s="121">
        <f>ROUNDUP([1]GB!CJ10*1.045,0)</f>
        <v>280</v>
      </c>
      <c r="CK8" s="121">
        <f>ROUNDUP([1]GB!CK10*1.045,0)</f>
        <v>280</v>
      </c>
      <c r="CL8" s="121">
        <f>ROUNDUP([1]GB!CL10*1.045,0)</f>
        <v>321</v>
      </c>
      <c r="CM8" s="121">
        <f>ROUNDUP([1]GB!CM10*1.045,0)</f>
        <v>280</v>
      </c>
      <c r="CN8" s="121">
        <f>ROUNDUP([1]GB!CN10*1.045,0)</f>
        <v>280</v>
      </c>
      <c r="CO8" s="121">
        <f>ROUNDUP([1]GB!CO10*1.045,0)</f>
        <v>296</v>
      </c>
      <c r="CP8" s="121">
        <f>ROUNDUP([1]GB!CP10*1.045,0)</f>
        <v>280</v>
      </c>
      <c r="CQ8" s="121">
        <f>ROUNDUP([1]GB!CQ10*1.045,0)</f>
        <v>280</v>
      </c>
      <c r="CR8" s="121">
        <f>ROUNDUP([1]GB!CR10*1.045,0)</f>
        <v>280</v>
      </c>
      <c r="CS8" s="121">
        <f>ROUNDUP([1]GB!CS10*1.045,0)</f>
        <v>280</v>
      </c>
      <c r="CT8" s="121">
        <f>ROUNDUP([1]GB!CT10*1.045,0)</f>
        <v>280</v>
      </c>
      <c r="CU8" s="121">
        <f>ROUNDUP([1]GB!CU10*1.045,0)</f>
        <v>321</v>
      </c>
      <c r="CV8" s="121">
        <f>ROUNDUP([1]GB!CV10*1.045,0)</f>
        <v>280</v>
      </c>
      <c r="CW8" s="121">
        <f>ROUNDUP([1]GB!CW10*1.045,0)</f>
        <v>296</v>
      </c>
      <c r="CX8" s="121">
        <f>ROUNDUP([1]GB!CX10*1.045,0)</f>
        <v>280</v>
      </c>
      <c r="CY8" s="121">
        <f>ROUNDUP([1]GB!CY10*1.045,0)</f>
        <v>296</v>
      </c>
      <c r="CZ8" s="121">
        <f>ROUNDUP([1]GB!CZ10*1.045,0)</f>
        <v>296</v>
      </c>
      <c r="DA8" s="121">
        <f>ROUNDUP([1]GB!DA10*1.045,0)</f>
        <v>321</v>
      </c>
      <c r="DB8" s="121">
        <f>ROUNDUP([1]GB!DB10*1.045,0)</f>
        <v>296</v>
      </c>
      <c r="DC8" s="121">
        <f>ROUNDUP([1]GB!DC10*1.045,0)</f>
        <v>280</v>
      </c>
      <c r="DD8" s="121">
        <f>ROUNDUP([1]GB!DD10*1.045,0)</f>
        <v>321</v>
      </c>
      <c r="DE8" s="121"/>
      <c r="DF8" s="121">
        <f>ROUNDUP([1]GB!DF10*1.045,0)</f>
        <v>296</v>
      </c>
      <c r="DG8" s="121">
        <f>ROUNDUP([1]GB!DG10*1.045,0)</f>
        <v>280</v>
      </c>
      <c r="DH8" s="121">
        <f>ROUNDUP([1]GB!DH10*1.045,0)</f>
        <v>280</v>
      </c>
      <c r="DI8" s="121">
        <f>ROUNDUP([1]GB!DI10*1.045,0)</f>
        <v>280</v>
      </c>
      <c r="DJ8" s="121">
        <f>ROUNDUP([1]GB!DJ10*1.045,0)</f>
        <v>296</v>
      </c>
      <c r="DK8" s="121">
        <f>ROUNDUP([1]GB!DK10*1.045,0)</f>
        <v>280</v>
      </c>
      <c r="DL8" s="121">
        <f>ROUNDUP([1]GB!DL10*1.045,0)</f>
        <v>280</v>
      </c>
      <c r="DM8" s="121">
        <f>ROUNDUP([1]GB!DM10*1.045,0)</f>
        <v>280</v>
      </c>
      <c r="DN8" s="121">
        <f>ROUNDUP([1]GB!DN10*1.045,0)</f>
        <v>296</v>
      </c>
      <c r="DO8" s="121">
        <f>ROUNDUP([1]GB!DO10*1.045,0)</f>
        <v>296</v>
      </c>
      <c r="DP8" s="121">
        <f>ROUNDUP([1]GB!DP10*1.045,0)</f>
        <v>296</v>
      </c>
      <c r="DQ8" s="121">
        <f>ROUNDUP([1]GB!DQ10*1.045,0)</f>
        <v>296</v>
      </c>
      <c r="DR8" s="121">
        <f>ROUNDUP([1]GB!DR10*1.045,0)</f>
        <v>280</v>
      </c>
    </row>
    <row r="9" spans="1:122" ht="15" customHeight="1">
      <c r="A9" s="2">
        <v>875</v>
      </c>
      <c r="B9" s="64">
        <v>0.5</v>
      </c>
      <c r="C9" s="64"/>
      <c r="D9" s="64">
        <v>1</v>
      </c>
      <c r="E9" s="121"/>
      <c r="F9" s="121">
        <f>ROUNDUP([1]GB!F11*1.045,0)</f>
        <v>291</v>
      </c>
      <c r="G9" s="121">
        <f>ROUNDUP([1]GB!G11*1.045,0)</f>
        <v>314</v>
      </c>
      <c r="H9" s="121">
        <f>ROUNDUP([1]GB!H11*1.045,0)</f>
        <v>314</v>
      </c>
      <c r="I9" s="121">
        <f>ROUNDUP([1]GB!I11*1.045,0)</f>
        <v>314</v>
      </c>
      <c r="J9" s="121">
        <f>ROUNDUP([1]GB!J11*1.045,0)</f>
        <v>292</v>
      </c>
      <c r="K9" s="121">
        <f>ROUNDUP([1]GB!K11*1.045,0)</f>
        <v>314</v>
      </c>
      <c r="L9" s="121">
        <f>ROUNDUP([1]GB!L11*1.045,0)</f>
        <v>314</v>
      </c>
      <c r="M9" s="121">
        <f>ROUNDUP([1]GB!M11*1.045,0)</f>
        <v>292</v>
      </c>
      <c r="N9" s="121">
        <f>ROUNDUP([1]GB!N11*1.045,0)</f>
        <v>291</v>
      </c>
      <c r="O9" s="121">
        <f>ROUNDUP([1]GB!O11*1.045,0)</f>
        <v>314</v>
      </c>
      <c r="P9" s="121">
        <f>ROUNDUP([1]GB!P11*1.045,0)</f>
        <v>337</v>
      </c>
      <c r="Q9" s="121">
        <f>ROUNDUP([1]GB!Q11*1.045,0)</f>
        <v>291</v>
      </c>
      <c r="R9" s="121">
        <f>ROUNDUP([1]GB!R11*1.045,0)</f>
        <v>314</v>
      </c>
      <c r="S9" s="121">
        <f>ROUNDUP([1]GB!S11*1.045,0)</f>
        <v>314</v>
      </c>
      <c r="T9" s="121">
        <f>ROUNDUP([1]GB!T11*1.045,0)</f>
        <v>291</v>
      </c>
      <c r="U9" s="121">
        <f>ROUNDUP([1]GB!U11*1.045,0)</f>
        <v>291</v>
      </c>
      <c r="V9" s="121">
        <f>ROUNDUP([1]GB!V11*1.045,0)</f>
        <v>291</v>
      </c>
      <c r="W9" s="121">
        <f>ROUNDUP([1]GB!W11*1.045,0)</f>
        <v>292</v>
      </c>
      <c r="X9" s="121">
        <f>ROUNDUP([1]GB!X11*1.045,0)</f>
        <v>292</v>
      </c>
      <c r="Y9" s="121">
        <f>ROUNDUP([1]GB!Y11*1.045,0)</f>
        <v>314</v>
      </c>
      <c r="Z9" s="121">
        <f>ROUNDUP([1]GB!Z11*1.045,0)</f>
        <v>291</v>
      </c>
      <c r="AA9" s="121"/>
      <c r="AB9" s="121">
        <f>ROUNDUP([1]GB!AB11*1.045,0)</f>
        <v>292</v>
      </c>
      <c r="AC9" s="121">
        <f>ROUNDUP([1]GB!AC11*1.045,0)</f>
        <v>404</v>
      </c>
      <c r="AD9" s="121">
        <f>ROUNDUP([1]GB!AD11*1.045,0)</f>
        <v>337</v>
      </c>
      <c r="AE9" s="121">
        <f>ROUNDUP([1]GB!AE11*1.045,0)</f>
        <v>314</v>
      </c>
      <c r="AF9" s="121">
        <f>ROUNDUP([1]GB!AF11*1.045,0)</f>
        <v>292</v>
      </c>
      <c r="AG9" s="121">
        <f>ROUNDUP([1]GB!AG11*1.045,0)</f>
        <v>314</v>
      </c>
      <c r="AH9" s="121">
        <f>ROUNDUP([1]GB!AH11*1.045,0)</f>
        <v>314</v>
      </c>
      <c r="AI9" s="121">
        <f>ROUNDUP([1]GB!AI11*1.045,0)</f>
        <v>291</v>
      </c>
      <c r="AJ9" s="121">
        <f>ROUNDUP([1]GB!AJ11*1.045,0)</f>
        <v>291</v>
      </c>
      <c r="AK9" s="121">
        <f>ROUNDUP([1]GB!AK11*1.045,0)</f>
        <v>404</v>
      </c>
      <c r="AL9" s="121">
        <f>ROUNDUP([1]GB!AL11*1.045,0)</f>
        <v>291</v>
      </c>
      <c r="AM9" s="121">
        <f>ROUNDUP([1]GB!AM11*1.045,0)</f>
        <v>314</v>
      </c>
      <c r="AN9" s="121">
        <f>ROUNDUP([1]GB!AN11*1.045,0)</f>
        <v>404</v>
      </c>
      <c r="AO9" s="121">
        <f>ROUNDUP([1]GB!AO11*1.045,0)</f>
        <v>337</v>
      </c>
      <c r="AP9" s="121">
        <f>ROUNDUP([1]GB!AP11*1.045,0)</f>
        <v>404</v>
      </c>
      <c r="AQ9" s="121">
        <f>ROUNDUP([1]GB!AQ11*1.045,0)</f>
        <v>292</v>
      </c>
      <c r="AR9" s="121">
        <f>ROUNDUP([1]GB!AR11*1.045,0)</f>
        <v>291</v>
      </c>
      <c r="AS9" s="121">
        <f>ROUNDUP([1]GB!AS11*1.045,0)</f>
        <v>291</v>
      </c>
      <c r="AT9" s="121">
        <f>ROUNDUP([1]GB!AT11*1.045,0)</f>
        <v>314</v>
      </c>
      <c r="AU9" s="121">
        <f>ROUNDUP([1]GB!AU11*1.045,0)</f>
        <v>292</v>
      </c>
      <c r="AV9" s="121">
        <f>ROUNDUP([1]GB!AV11*1.045,0)</f>
        <v>291</v>
      </c>
      <c r="AW9" s="121">
        <f>ROUNDUP([1]GB!AW11*1.045,0)</f>
        <v>314</v>
      </c>
      <c r="AX9" s="121">
        <f>ROUNDUP([1]GB!AX11*1.045,0)</f>
        <v>292</v>
      </c>
      <c r="AY9" s="121">
        <f>ROUNDUP([1]GB!AY11*1.045,0)</f>
        <v>314</v>
      </c>
      <c r="AZ9" s="121">
        <f>ROUNDUP([1]GB!AZ11*1.045,0)</f>
        <v>291</v>
      </c>
      <c r="BA9" s="121">
        <f>ROUNDUP([1]GB!BA11*1.045,0)</f>
        <v>291</v>
      </c>
      <c r="BB9" s="121"/>
      <c r="BC9" s="121">
        <f>ROUNDUP([1]GB!BC11*1.045,0)</f>
        <v>404</v>
      </c>
      <c r="BD9" s="121">
        <f>ROUNDUP([1]GB!BD11*1.045,0)</f>
        <v>291</v>
      </c>
      <c r="BE9" s="121"/>
      <c r="BF9" s="121"/>
      <c r="BG9" s="121">
        <f>ROUNDUP([1]GB!BG11*1.045,0)</f>
        <v>314</v>
      </c>
      <c r="BH9" s="121">
        <f>ROUNDUP([1]GB!BH11*1.045,0)</f>
        <v>314</v>
      </c>
      <c r="BI9" s="121">
        <f>ROUNDUP([1]GB!BI11*1.045,0)</f>
        <v>314</v>
      </c>
      <c r="BJ9" s="121">
        <f>ROUNDUP([1]GB!BJ11*1.045,0)</f>
        <v>292</v>
      </c>
      <c r="BK9" s="121">
        <f>ROUNDUP([1]GB!BK11*1.045,0)</f>
        <v>337</v>
      </c>
      <c r="BL9" s="121">
        <f>ROUNDUP([1]GB!BL11*1.045,0)</f>
        <v>292</v>
      </c>
      <c r="BM9" s="121">
        <f>ROUNDUP([1]GB!BM11*1.045,0)</f>
        <v>292</v>
      </c>
      <c r="BN9" s="121">
        <f>ROUNDUP([1]GB!BN11*1.045,0)</f>
        <v>291</v>
      </c>
      <c r="BO9" s="121">
        <f>ROUNDUP([1]GB!BO11*1.045,0)</f>
        <v>314</v>
      </c>
      <c r="BP9" s="121">
        <f>ROUNDUP([1]GB!BP11*1.045,0)</f>
        <v>291</v>
      </c>
      <c r="BQ9" s="121">
        <f>ROUNDUP([1]GB!BQ11*1.045,0)</f>
        <v>292</v>
      </c>
      <c r="BR9" s="121">
        <f>ROUNDUP([1]GB!BR11*1.045,0)</f>
        <v>404</v>
      </c>
      <c r="BS9" s="121">
        <f>ROUNDUP([1]GB!BS11*1.045,0)</f>
        <v>291</v>
      </c>
      <c r="BT9" s="121">
        <f>ROUNDUP([1]GB!BT11*1.045,0)</f>
        <v>337</v>
      </c>
      <c r="BU9" s="121">
        <f>ROUNDUP([1]GB!BU11*1.045,0)</f>
        <v>292</v>
      </c>
      <c r="BV9" s="121">
        <f>ROUNDUP([1]GB!BV11*1.045,0)</f>
        <v>292</v>
      </c>
      <c r="BW9" s="121">
        <f>ROUNDUP([1]GB!BW11*1.045,0)</f>
        <v>314</v>
      </c>
      <c r="BX9" s="121">
        <f>ROUNDUP([1]GB!BX11*1.045,0)</f>
        <v>292</v>
      </c>
      <c r="BY9" s="121">
        <f>ROUNDUP([1]GB!BY11*1.045,0)</f>
        <v>291</v>
      </c>
      <c r="BZ9" s="121">
        <f>ROUNDUP([1]GB!BZ11*1.045,0)</f>
        <v>314</v>
      </c>
      <c r="CA9" s="121">
        <f>ROUNDUP([1]GB!CA11*1.045,0)</f>
        <v>292</v>
      </c>
      <c r="CB9" s="121"/>
      <c r="CC9" s="121">
        <f>ROUNDUP([1]GB!CC11*1.045,0)</f>
        <v>292</v>
      </c>
      <c r="CD9" s="121"/>
      <c r="CE9" s="121">
        <f>ROUNDUP([1]GB!CE11*1.045,0)</f>
        <v>404</v>
      </c>
      <c r="CF9" s="121">
        <f>ROUNDUP([1]GB!CF11*1.045,0)</f>
        <v>292</v>
      </c>
      <c r="CG9" s="121">
        <f>ROUNDUP([1]GB!CG11*1.045,0)</f>
        <v>314</v>
      </c>
      <c r="CH9" s="121">
        <f>ROUNDUP([1]GB!CH11*1.045,0)</f>
        <v>292</v>
      </c>
      <c r="CI9" s="121">
        <f>ROUNDUP([1]GB!CI11*1.045,0)</f>
        <v>291</v>
      </c>
      <c r="CJ9" s="121">
        <f>ROUNDUP([1]GB!CJ11*1.045,0)</f>
        <v>291</v>
      </c>
      <c r="CK9" s="121">
        <f>ROUNDUP([1]GB!CK11*1.045,0)</f>
        <v>292</v>
      </c>
      <c r="CL9" s="121">
        <f>ROUNDUP([1]GB!CL11*1.045,0)</f>
        <v>337</v>
      </c>
      <c r="CM9" s="121">
        <f>ROUNDUP([1]GB!CM11*1.045,0)</f>
        <v>291</v>
      </c>
      <c r="CN9" s="121">
        <f>ROUNDUP([1]GB!CN11*1.045,0)</f>
        <v>291</v>
      </c>
      <c r="CO9" s="121">
        <f>ROUNDUP([1]GB!CO11*1.045,0)</f>
        <v>314</v>
      </c>
      <c r="CP9" s="121">
        <f>ROUNDUP([1]GB!CP11*1.045,0)</f>
        <v>291</v>
      </c>
      <c r="CQ9" s="121">
        <f>ROUNDUP([1]GB!CQ11*1.045,0)</f>
        <v>291</v>
      </c>
      <c r="CR9" s="121">
        <f>ROUNDUP([1]GB!CR11*1.045,0)</f>
        <v>292</v>
      </c>
      <c r="CS9" s="121">
        <f>ROUNDUP([1]GB!CS11*1.045,0)</f>
        <v>292</v>
      </c>
      <c r="CT9" s="121">
        <f>ROUNDUP([1]GB!CT11*1.045,0)</f>
        <v>292</v>
      </c>
      <c r="CU9" s="121">
        <f>ROUNDUP([1]GB!CU11*1.045,0)</f>
        <v>337</v>
      </c>
      <c r="CV9" s="121">
        <f>ROUNDUP([1]GB!CV11*1.045,0)</f>
        <v>291</v>
      </c>
      <c r="CW9" s="121">
        <f>ROUNDUP([1]GB!CW11*1.045,0)</f>
        <v>314</v>
      </c>
      <c r="CX9" s="121">
        <f>ROUNDUP([1]GB!CX11*1.045,0)</f>
        <v>291</v>
      </c>
      <c r="CY9" s="121">
        <f>ROUNDUP([1]GB!CY11*1.045,0)</f>
        <v>314</v>
      </c>
      <c r="CZ9" s="121">
        <f>ROUNDUP([1]GB!CZ11*1.045,0)</f>
        <v>314</v>
      </c>
      <c r="DA9" s="121">
        <f>ROUNDUP([1]GB!DA11*1.045,0)</f>
        <v>337</v>
      </c>
      <c r="DB9" s="121">
        <f>ROUNDUP([1]GB!DB11*1.045,0)</f>
        <v>314</v>
      </c>
      <c r="DC9" s="121">
        <f>ROUNDUP([1]GB!DC11*1.045,0)</f>
        <v>292</v>
      </c>
      <c r="DD9" s="121">
        <f>ROUNDUP([1]GB!DD11*1.045,0)</f>
        <v>337</v>
      </c>
      <c r="DE9" s="121"/>
      <c r="DF9" s="121">
        <f>ROUNDUP([1]GB!DF11*1.045,0)</f>
        <v>314</v>
      </c>
      <c r="DG9" s="121">
        <f>ROUNDUP([1]GB!DG11*1.045,0)</f>
        <v>291</v>
      </c>
      <c r="DH9" s="121">
        <f>ROUNDUP([1]GB!DH11*1.045,0)</f>
        <v>291</v>
      </c>
      <c r="DI9" s="121">
        <f>ROUNDUP([1]GB!DI11*1.045,0)</f>
        <v>291</v>
      </c>
      <c r="DJ9" s="121">
        <f>ROUNDUP([1]GB!DJ11*1.045,0)</f>
        <v>314</v>
      </c>
      <c r="DK9" s="121">
        <f>ROUNDUP([1]GB!DK11*1.045,0)</f>
        <v>291</v>
      </c>
      <c r="DL9" s="121">
        <f>ROUNDUP([1]GB!DL11*1.045,0)</f>
        <v>291</v>
      </c>
      <c r="DM9" s="121">
        <f>ROUNDUP([1]GB!DM11*1.045,0)</f>
        <v>292</v>
      </c>
      <c r="DN9" s="121">
        <f>ROUNDUP([1]GB!DN11*1.045,0)</f>
        <v>314</v>
      </c>
      <c r="DO9" s="121">
        <f>ROUNDUP([1]GB!DO11*1.045,0)</f>
        <v>314</v>
      </c>
      <c r="DP9" s="121">
        <f>ROUNDUP([1]GB!DP11*1.045,0)</f>
        <v>314</v>
      </c>
      <c r="DQ9" s="121">
        <f>ROUNDUP([1]GB!DQ11*1.045,0)</f>
        <v>314</v>
      </c>
      <c r="DR9" s="121">
        <f>ROUNDUP([1]GB!DR11*1.045,0)</f>
        <v>292</v>
      </c>
    </row>
    <row r="10" spans="1:122" ht="15" customHeight="1">
      <c r="A10" s="2">
        <v>1050</v>
      </c>
      <c r="B10" s="64">
        <v>0.6</v>
      </c>
      <c r="C10" s="64"/>
      <c r="D10" s="64"/>
      <c r="E10" s="121"/>
      <c r="F10" s="121">
        <f>ROUNDUP([1]GB!F12*1.045,0)</f>
        <v>303</v>
      </c>
      <c r="G10" s="121">
        <f>ROUNDUP([1]GB!G12*1.045,0)</f>
        <v>327</v>
      </c>
      <c r="H10" s="121">
        <f>ROUNDUP([1]GB!H12*1.045,0)</f>
        <v>327</v>
      </c>
      <c r="I10" s="121">
        <f>ROUNDUP([1]GB!I12*1.045,0)</f>
        <v>327</v>
      </c>
      <c r="J10" s="121">
        <f>ROUNDUP([1]GB!J12*1.045,0)</f>
        <v>305</v>
      </c>
      <c r="K10" s="121">
        <f>ROUNDUP([1]GB!K12*1.045,0)</f>
        <v>327</v>
      </c>
      <c r="L10" s="121">
        <f>ROUNDUP([1]GB!L12*1.045,0)</f>
        <v>327</v>
      </c>
      <c r="M10" s="121">
        <f>ROUNDUP([1]GB!M12*1.045,0)</f>
        <v>305</v>
      </c>
      <c r="N10" s="121">
        <f>ROUNDUP([1]GB!N12*1.045,0)</f>
        <v>303</v>
      </c>
      <c r="O10" s="121">
        <f>ROUNDUP([1]GB!O12*1.045,0)</f>
        <v>327</v>
      </c>
      <c r="P10" s="121">
        <f>ROUNDUP([1]GB!P12*1.045,0)</f>
        <v>353</v>
      </c>
      <c r="Q10" s="121">
        <f>ROUNDUP([1]GB!Q12*1.045,0)</f>
        <v>303</v>
      </c>
      <c r="R10" s="121">
        <f>ROUNDUP([1]GB!R12*1.045,0)</f>
        <v>327</v>
      </c>
      <c r="S10" s="121">
        <f>ROUNDUP([1]GB!S12*1.045,0)</f>
        <v>327</v>
      </c>
      <c r="T10" s="121">
        <f>ROUNDUP([1]GB!T12*1.045,0)</f>
        <v>303</v>
      </c>
      <c r="U10" s="121">
        <f>ROUNDUP([1]GB!U12*1.045,0)</f>
        <v>303</v>
      </c>
      <c r="V10" s="121">
        <f>ROUNDUP([1]GB!V12*1.045,0)</f>
        <v>303</v>
      </c>
      <c r="W10" s="121">
        <f>ROUNDUP([1]GB!W12*1.045,0)</f>
        <v>305</v>
      </c>
      <c r="X10" s="121">
        <f>ROUNDUP([1]GB!X12*1.045,0)</f>
        <v>305</v>
      </c>
      <c r="Y10" s="121">
        <f>ROUNDUP([1]GB!Y12*1.045,0)</f>
        <v>327</v>
      </c>
      <c r="Z10" s="121">
        <f>ROUNDUP([1]GB!Z12*1.045,0)</f>
        <v>303</v>
      </c>
      <c r="AA10" s="121"/>
      <c r="AB10" s="121">
        <f>ROUNDUP([1]GB!AB12*1.045,0)</f>
        <v>305</v>
      </c>
      <c r="AC10" s="121">
        <f>ROUNDUP([1]GB!AC12*1.045,0)</f>
        <v>427</v>
      </c>
      <c r="AD10" s="121">
        <f>ROUNDUP([1]GB!AD12*1.045,0)</f>
        <v>353</v>
      </c>
      <c r="AE10" s="121">
        <f>ROUNDUP([1]GB!AE12*1.045,0)</f>
        <v>327</v>
      </c>
      <c r="AF10" s="121">
        <f>ROUNDUP([1]GB!AF12*1.045,0)</f>
        <v>305</v>
      </c>
      <c r="AG10" s="121">
        <f>ROUNDUP([1]GB!AG12*1.045,0)</f>
        <v>327</v>
      </c>
      <c r="AH10" s="121">
        <f>ROUNDUP([1]GB!AH12*1.045,0)</f>
        <v>327</v>
      </c>
      <c r="AI10" s="121">
        <f>ROUNDUP([1]GB!AI12*1.045,0)</f>
        <v>303</v>
      </c>
      <c r="AJ10" s="121">
        <f>ROUNDUP([1]GB!AJ12*1.045,0)</f>
        <v>303</v>
      </c>
      <c r="AK10" s="121">
        <f>ROUNDUP([1]GB!AK12*1.045,0)</f>
        <v>427</v>
      </c>
      <c r="AL10" s="121">
        <f>ROUNDUP([1]GB!AL12*1.045,0)</f>
        <v>303</v>
      </c>
      <c r="AM10" s="121">
        <f>ROUNDUP([1]GB!AM12*1.045,0)</f>
        <v>327</v>
      </c>
      <c r="AN10" s="121">
        <f>ROUNDUP([1]GB!AN12*1.045,0)</f>
        <v>427</v>
      </c>
      <c r="AO10" s="121">
        <f>ROUNDUP([1]GB!AO12*1.045,0)</f>
        <v>353</v>
      </c>
      <c r="AP10" s="121">
        <f>ROUNDUP([1]GB!AP12*1.045,0)</f>
        <v>427</v>
      </c>
      <c r="AQ10" s="121">
        <f>ROUNDUP([1]GB!AQ12*1.045,0)</f>
        <v>305</v>
      </c>
      <c r="AR10" s="121">
        <f>ROUNDUP([1]GB!AR12*1.045,0)</f>
        <v>303</v>
      </c>
      <c r="AS10" s="121">
        <f>ROUNDUP([1]GB!AS12*1.045,0)</f>
        <v>303</v>
      </c>
      <c r="AT10" s="121">
        <f>ROUNDUP([1]GB!AT12*1.045,0)</f>
        <v>327</v>
      </c>
      <c r="AU10" s="121">
        <f>ROUNDUP([1]GB!AU12*1.045,0)</f>
        <v>305</v>
      </c>
      <c r="AV10" s="121">
        <f>ROUNDUP([1]GB!AV12*1.045,0)</f>
        <v>303</v>
      </c>
      <c r="AW10" s="121">
        <f>ROUNDUP([1]GB!AW12*1.045,0)</f>
        <v>327</v>
      </c>
      <c r="AX10" s="121">
        <f>ROUNDUP([1]GB!AX12*1.045,0)</f>
        <v>305</v>
      </c>
      <c r="AY10" s="121">
        <f>ROUNDUP([1]GB!AY12*1.045,0)</f>
        <v>327</v>
      </c>
      <c r="AZ10" s="121">
        <f>ROUNDUP([1]GB!AZ12*1.045,0)</f>
        <v>303</v>
      </c>
      <c r="BA10" s="121">
        <f>ROUNDUP([1]GB!BA12*1.045,0)</f>
        <v>303</v>
      </c>
      <c r="BB10" s="121"/>
      <c r="BC10" s="121">
        <f>ROUNDUP([1]GB!BC12*1.045,0)</f>
        <v>427</v>
      </c>
      <c r="BD10" s="121">
        <f>ROUNDUP([1]GB!BD12*1.045,0)</f>
        <v>303</v>
      </c>
      <c r="BE10" s="121"/>
      <c r="BF10" s="121"/>
      <c r="BG10" s="121">
        <f>ROUNDUP([1]GB!BG12*1.045,0)</f>
        <v>327</v>
      </c>
      <c r="BH10" s="121">
        <f>ROUNDUP([1]GB!BH12*1.045,0)</f>
        <v>327</v>
      </c>
      <c r="BI10" s="121">
        <f>ROUNDUP([1]GB!BI12*1.045,0)</f>
        <v>327</v>
      </c>
      <c r="BJ10" s="121">
        <f>ROUNDUP([1]GB!BJ12*1.045,0)</f>
        <v>305</v>
      </c>
      <c r="BK10" s="121">
        <f>ROUNDUP([1]GB!BK12*1.045,0)</f>
        <v>353</v>
      </c>
      <c r="BL10" s="121">
        <f>ROUNDUP([1]GB!BL12*1.045,0)</f>
        <v>305</v>
      </c>
      <c r="BM10" s="121">
        <f>ROUNDUP([1]GB!BM12*1.045,0)</f>
        <v>305</v>
      </c>
      <c r="BN10" s="121">
        <f>ROUNDUP([1]GB!BN12*1.045,0)</f>
        <v>303</v>
      </c>
      <c r="BO10" s="121">
        <f>ROUNDUP([1]GB!BO12*1.045,0)</f>
        <v>327</v>
      </c>
      <c r="BP10" s="121">
        <f>ROUNDUP([1]GB!BP12*1.045,0)</f>
        <v>303</v>
      </c>
      <c r="BQ10" s="121">
        <f>ROUNDUP([1]GB!BQ12*1.045,0)</f>
        <v>305</v>
      </c>
      <c r="BR10" s="121">
        <f>ROUNDUP([1]GB!BR12*1.045,0)</f>
        <v>427</v>
      </c>
      <c r="BS10" s="121">
        <f>ROUNDUP([1]GB!BS12*1.045,0)</f>
        <v>303</v>
      </c>
      <c r="BT10" s="121">
        <f>ROUNDUP([1]GB!BT12*1.045,0)</f>
        <v>353</v>
      </c>
      <c r="BU10" s="121">
        <f>ROUNDUP([1]GB!BU12*1.045,0)</f>
        <v>305</v>
      </c>
      <c r="BV10" s="121">
        <f>ROUNDUP([1]GB!BV12*1.045,0)</f>
        <v>305</v>
      </c>
      <c r="BW10" s="121">
        <f>ROUNDUP([1]GB!BW12*1.045,0)</f>
        <v>327</v>
      </c>
      <c r="BX10" s="121">
        <f>ROUNDUP([1]GB!BX12*1.045,0)</f>
        <v>305</v>
      </c>
      <c r="BY10" s="121">
        <f>ROUNDUP([1]GB!BY12*1.045,0)</f>
        <v>303</v>
      </c>
      <c r="BZ10" s="121">
        <f>ROUNDUP([1]GB!BZ12*1.045,0)</f>
        <v>327</v>
      </c>
      <c r="CA10" s="121">
        <f>ROUNDUP([1]GB!CA12*1.045,0)</f>
        <v>305</v>
      </c>
      <c r="CB10" s="121"/>
      <c r="CC10" s="121">
        <f>ROUNDUP([1]GB!CC12*1.045,0)</f>
        <v>305</v>
      </c>
      <c r="CD10" s="121"/>
      <c r="CE10" s="121">
        <f>ROUNDUP([1]GB!CE12*1.045,0)</f>
        <v>427</v>
      </c>
      <c r="CF10" s="121">
        <f>ROUNDUP([1]GB!CF12*1.045,0)</f>
        <v>305</v>
      </c>
      <c r="CG10" s="121">
        <f>ROUNDUP([1]GB!CG12*1.045,0)</f>
        <v>327</v>
      </c>
      <c r="CH10" s="121">
        <f>ROUNDUP([1]GB!CH12*1.045,0)</f>
        <v>305</v>
      </c>
      <c r="CI10" s="121">
        <f>ROUNDUP([1]GB!CI12*1.045,0)</f>
        <v>303</v>
      </c>
      <c r="CJ10" s="121">
        <f>ROUNDUP([1]GB!CJ12*1.045,0)</f>
        <v>303</v>
      </c>
      <c r="CK10" s="121">
        <f>ROUNDUP([1]GB!CK12*1.045,0)</f>
        <v>305</v>
      </c>
      <c r="CL10" s="121">
        <f>ROUNDUP([1]GB!CL12*1.045,0)</f>
        <v>353</v>
      </c>
      <c r="CM10" s="121">
        <f>ROUNDUP([1]GB!CM12*1.045,0)</f>
        <v>303</v>
      </c>
      <c r="CN10" s="121">
        <f>ROUNDUP([1]GB!CN12*1.045,0)</f>
        <v>303</v>
      </c>
      <c r="CO10" s="121">
        <f>ROUNDUP([1]GB!CO12*1.045,0)</f>
        <v>327</v>
      </c>
      <c r="CP10" s="121">
        <f>ROUNDUP([1]GB!CP12*1.045,0)</f>
        <v>303</v>
      </c>
      <c r="CQ10" s="121">
        <f>ROUNDUP([1]GB!CQ12*1.045,0)</f>
        <v>303</v>
      </c>
      <c r="CR10" s="121">
        <f>ROUNDUP([1]GB!CR12*1.045,0)</f>
        <v>305</v>
      </c>
      <c r="CS10" s="121">
        <f>ROUNDUP([1]GB!CS12*1.045,0)</f>
        <v>305</v>
      </c>
      <c r="CT10" s="121">
        <f>ROUNDUP([1]GB!CT12*1.045,0)</f>
        <v>305</v>
      </c>
      <c r="CU10" s="121">
        <f>ROUNDUP([1]GB!CU12*1.045,0)</f>
        <v>353</v>
      </c>
      <c r="CV10" s="121">
        <f>ROUNDUP([1]GB!CV12*1.045,0)</f>
        <v>303</v>
      </c>
      <c r="CW10" s="121">
        <f>ROUNDUP([1]GB!CW12*1.045,0)</f>
        <v>327</v>
      </c>
      <c r="CX10" s="121">
        <f>ROUNDUP([1]GB!CX12*1.045,0)</f>
        <v>303</v>
      </c>
      <c r="CY10" s="121">
        <f>ROUNDUP([1]GB!CY12*1.045,0)</f>
        <v>327</v>
      </c>
      <c r="CZ10" s="121">
        <f>ROUNDUP([1]GB!CZ12*1.045,0)</f>
        <v>327</v>
      </c>
      <c r="DA10" s="121">
        <f>ROUNDUP([1]GB!DA12*1.045,0)</f>
        <v>353</v>
      </c>
      <c r="DB10" s="121">
        <f>ROUNDUP([1]GB!DB12*1.045,0)</f>
        <v>327</v>
      </c>
      <c r="DC10" s="121">
        <f>ROUNDUP([1]GB!DC12*1.045,0)</f>
        <v>305</v>
      </c>
      <c r="DD10" s="121">
        <f>ROUNDUP([1]GB!DD12*1.045,0)</f>
        <v>353</v>
      </c>
      <c r="DE10" s="121"/>
      <c r="DF10" s="121">
        <f>ROUNDUP([1]GB!DF12*1.045,0)</f>
        <v>327</v>
      </c>
      <c r="DG10" s="121">
        <f>ROUNDUP([1]GB!DG12*1.045,0)</f>
        <v>303</v>
      </c>
      <c r="DH10" s="121">
        <f>ROUNDUP([1]GB!DH12*1.045,0)</f>
        <v>303</v>
      </c>
      <c r="DI10" s="121">
        <f>ROUNDUP([1]GB!DI12*1.045,0)</f>
        <v>303</v>
      </c>
      <c r="DJ10" s="121">
        <f>ROUNDUP([1]GB!DJ12*1.045,0)</f>
        <v>327</v>
      </c>
      <c r="DK10" s="121">
        <f>ROUNDUP([1]GB!DK12*1.045,0)</f>
        <v>303</v>
      </c>
      <c r="DL10" s="121">
        <f>ROUNDUP([1]GB!DL12*1.045,0)</f>
        <v>303</v>
      </c>
      <c r="DM10" s="121">
        <f>ROUNDUP([1]GB!DM12*1.045,0)</f>
        <v>305</v>
      </c>
      <c r="DN10" s="121">
        <f>ROUNDUP([1]GB!DN12*1.045,0)</f>
        <v>327</v>
      </c>
      <c r="DO10" s="121">
        <f>ROUNDUP([1]GB!DO12*1.045,0)</f>
        <v>327</v>
      </c>
      <c r="DP10" s="121">
        <f>ROUNDUP([1]GB!DP12*1.045,0)</f>
        <v>327</v>
      </c>
      <c r="DQ10" s="121">
        <f>ROUNDUP([1]GB!DQ12*1.045,0)</f>
        <v>327</v>
      </c>
      <c r="DR10" s="121">
        <f>ROUNDUP([1]GB!DR12*1.045,0)</f>
        <v>305</v>
      </c>
    </row>
    <row r="11" spans="1:122" ht="15" customHeight="1">
      <c r="A11" s="2">
        <v>1400</v>
      </c>
      <c r="B11" s="64">
        <v>0.8</v>
      </c>
      <c r="C11" s="64">
        <v>2</v>
      </c>
      <c r="D11" s="64"/>
      <c r="E11" s="121"/>
      <c r="F11" s="121">
        <f>ROUNDUP([1]GB!F13*1.045,0)</f>
        <v>324</v>
      </c>
      <c r="G11" s="121">
        <f>ROUNDUP([1]GB!G13*1.045,0)</f>
        <v>365</v>
      </c>
      <c r="H11" s="121">
        <f>ROUNDUP([1]GB!H13*1.045,0)</f>
        <v>365</v>
      </c>
      <c r="I11" s="121">
        <f>ROUNDUP([1]GB!I13*1.045,0)</f>
        <v>365</v>
      </c>
      <c r="J11" s="121">
        <f>ROUNDUP([1]GB!J13*1.045,0)</f>
        <v>329</v>
      </c>
      <c r="K11" s="121">
        <f>ROUNDUP([1]GB!K13*1.045,0)</f>
        <v>365</v>
      </c>
      <c r="L11" s="121">
        <f>ROUNDUP([1]GB!L13*1.045,0)</f>
        <v>365</v>
      </c>
      <c r="M11" s="121">
        <f>ROUNDUP([1]GB!M13*1.045,0)</f>
        <v>329</v>
      </c>
      <c r="N11" s="121">
        <f>ROUNDUP([1]GB!N13*1.045,0)</f>
        <v>324</v>
      </c>
      <c r="O11" s="121">
        <f>ROUNDUP([1]GB!O13*1.045,0)</f>
        <v>365</v>
      </c>
      <c r="P11" s="121">
        <f>ROUNDUP([1]GB!P13*1.045,0)</f>
        <v>382</v>
      </c>
      <c r="Q11" s="121">
        <f>ROUNDUP([1]GB!Q13*1.045,0)</f>
        <v>324</v>
      </c>
      <c r="R11" s="121">
        <f>ROUNDUP([1]GB!R13*1.045,0)</f>
        <v>365</v>
      </c>
      <c r="S11" s="121">
        <f>ROUNDUP([1]GB!S13*1.045,0)</f>
        <v>365</v>
      </c>
      <c r="T11" s="121">
        <f>ROUNDUP([1]GB!T13*1.045,0)</f>
        <v>324</v>
      </c>
      <c r="U11" s="121">
        <f>ROUNDUP([1]GB!U13*1.045,0)</f>
        <v>324</v>
      </c>
      <c r="V11" s="121">
        <f>ROUNDUP([1]GB!V13*1.045,0)</f>
        <v>324</v>
      </c>
      <c r="W11" s="121">
        <f>ROUNDUP([1]GB!W13*1.045,0)</f>
        <v>329</v>
      </c>
      <c r="X11" s="121">
        <f>ROUNDUP([1]GB!X13*1.045,0)</f>
        <v>329</v>
      </c>
      <c r="Y11" s="121">
        <f>ROUNDUP([1]GB!Y13*1.045,0)</f>
        <v>365</v>
      </c>
      <c r="Z11" s="121">
        <f>ROUNDUP([1]GB!Z13*1.045,0)</f>
        <v>324</v>
      </c>
      <c r="AA11" s="121"/>
      <c r="AB11" s="121">
        <f>ROUNDUP([1]GB!AB13*1.045,0)</f>
        <v>329</v>
      </c>
      <c r="AC11" s="121">
        <f>ROUNDUP([1]GB!AC13*1.045,0)</f>
        <v>474</v>
      </c>
      <c r="AD11" s="121">
        <f>ROUNDUP([1]GB!AD13*1.045,0)</f>
        <v>382</v>
      </c>
      <c r="AE11" s="121">
        <f>ROUNDUP([1]GB!AE13*1.045,0)</f>
        <v>365</v>
      </c>
      <c r="AF11" s="121">
        <f>ROUNDUP([1]GB!AF13*1.045,0)</f>
        <v>329</v>
      </c>
      <c r="AG11" s="121">
        <f>ROUNDUP([1]GB!AG13*1.045,0)</f>
        <v>365</v>
      </c>
      <c r="AH11" s="121">
        <f>ROUNDUP([1]GB!AH13*1.045,0)</f>
        <v>365</v>
      </c>
      <c r="AI11" s="121">
        <f>ROUNDUP([1]GB!AI13*1.045,0)</f>
        <v>324</v>
      </c>
      <c r="AJ11" s="121">
        <f>ROUNDUP([1]GB!AJ13*1.045,0)</f>
        <v>324</v>
      </c>
      <c r="AK11" s="121">
        <f>ROUNDUP([1]GB!AK13*1.045,0)</f>
        <v>474</v>
      </c>
      <c r="AL11" s="121">
        <f>ROUNDUP([1]GB!AL13*1.045,0)</f>
        <v>324</v>
      </c>
      <c r="AM11" s="121">
        <f>ROUNDUP([1]GB!AM13*1.045,0)</f>
        <v>365</v>
      </c>
      <c r="AN11" s="121">
        <f>ROUNDUP([1]GB!AN13*1.045,0)</f>
        <v>474</v>
      </c>
      <c r="AO11" s="121">
        <f>ROUNDUP([1]GB!AO13*1.045,0)</f>
        <v>382</v>
      </c>
      <c r="AP11" s="121">
        <f>ROUNDUP([1]GB!AP13*1.045,0)</f>
        <v>474</v>
      </c>
      <c r="AQ11" s="121">
        <f>ROUNDUP([1]GB!AQ13*1.045,0)</f>
        <v>329</v>
      </c>
      <c r="AR11" s="121">
        <f>ROUNDUP([1]GB!AR13*1.045,0)</f>
        <v>324</v>
      </c>
      <c r="AS11" s="121">
        <f>ROUNDUP([1]GB!AS13*1.045,0)</f>
        <v>324</v>
      </c>
      <c r="AT11" s="121">
        <f>ROUNDUP([1]GB!AT13*1.045,0)</f>
        <v>365</v>
      </c>
      <c r="AU11" s="121">
        <f>ROUNDUP([1]GB!AU13*1.045,0)</f>
        <v>329</v>
      </c>
      <c r="AV11" s="121">
        <f>ROUNDUP([1]GB!AV13*1.045,0)</f>
        <v>324</v>
      </c>
      <c r="AW11" s="121">
        <f>ROUNDUP([1]GB!AW13*1.045,0)</f>
        <v>365</v>
      </c>
      <c r="AX11" s="121">
        <f>ROUNDUP([1]GB!AX13*1.045,0)</f>
        <v>329</v>
      </c>
      <c r="AY11" s="121">
        <f>ROUNDUP([1]GB!AY13*1.045,0)</f>
        <v>365</v>
      </c>
      <c r="AZ11" s="121">
        <f>ROUNDUP([1]GB!AZ13*1.045,0)</f>
        <v>324</v>
      </c>
      <c r="BA11" s="121">
        <f>ROUNDUP([1]GB!BA13*1.045,0)</f>
        <v>324</v>
      </c>
      <c r="BB11" s="121"/>
      <c r="BC11" s="121">
        <f>ROUNDUP([1]GB!BC13*1.045,0)</f>
        <v>474</v>
      </c>
      <c r="BD11" s="121">
        <f>ROUNDUP([1]GB!BD13*1.045,0)</f>
        <v>324</v>
      </c>
      <c r="BE11" s="121"/>
      <c r="BF11" s="121"/>
      <c r="BG11" s="121">
        <f>ROUNDUP([1]GB!BG13*1.045,0)</f>
        <v>365</v>
      </c>
      <c r="BH11" s="121">
        <f>ROUNDUP([1]GB!BH13*1.045,0)</f>
        <v>365</v>
      </c>
      <c r="BI11" s="121">
        <f>ROUNDUP([1]GB!BI13*1.045,0)</f>
        <v>365</v>
      </c>
      <c r="BJ11" s="121">
        <f>ROUNDUP([1]GB!BJ13*1.045,0)</f>
        <v>329</v>
      </c>
      <c r="BK11" s="121">
        <f>ROUNDUP([1]GB!BK13*1.045,0)</f>
        <v>382</v>
      </c>
      <c r="BL11" s="121">
        <f>ROUNDUP([1]GB!BL13*1.045,0)</f>
        <v>329</v>
      </c>
      <c r="BM11" s="121">
        <f>ROUNDUP([1]GB!BM13*1.045,0)</f>
        <v>329</v>
      </c>
      <c r="BN11" s="121">
        <f>ROUNDUP([1]GB!BN13*1.045,0)</f>
        <v>324</v>
      </c>
      <c r="BO11" s="121">
        <f>ROUNDUP([1]GB!BO13*1.045,0)</f>
        <v>365</v>
      </c>
      <c r="BP11" s="121">
        <f>ROUNDUP([1]GB!BP13*1.045,0)</f>
        <v>324</v>
      </c>
      <c r="BQ11" s="121">
        <f>ROUNDUP([1]GB!BQ13*1.045,0)</f>
        <v>329</v>
      </c>
      <c r="BR11" s="121">
        <f>ROUNDUP([1]GB!BR13*1.045,0)</f>
        <v>474</v>
      </c>
      <c r="BS11" s="121">
        <f>ROUNDUP([1]GB!BS13*1.045,0)</f>
        <v>324</v>
      </c>
      <c r="BT11" s="121">
        <f>ROUNDUP([1]GB!BT13*1.045,0)</f>
        <v>382</v>
      </c>
      <c r="BU11" s="121">
        <f>ROUNDUP([1]GB!BU13*1.045,0)</f>
        <v>329</v>
      </c>
      <c r="BV11" s="121">
        <f>ROUNDUP([1]GB!BV13*1.045,0)</f>
        <v>329</v>
      </c>
      <c r="BW11" s="121">
        <f>ROUNDUP([1]GB!BW13*1.045,0)</f>
        <v>365</v>
      </c>
      <c r="BX11" s="121">
        <f>ROUNDUP([1]GB!BX13*1.045,0)</f>
        <v>329</v>
      </c>
      <c r="BY11" s="121">
        <f>ROUNDUP([1]GB!BY13*1.045,0)</f>
        <v>324</v>
      </c>
      <c r="BZ11" s="121">
        <f>ROUNDUP([1]GB!BZ13*1.045,0)</f>
        <v>365</v>
      </c>
      <c r="CA11" s="121">
        <f>ROUNDUP([1]GB!CA13*1.045,0)</f>
        <v>329</v>
      </c>
      <c r="CB11" s="121"/>
      <c r="CC11" s="121">
        <f>ROUNDUP([1]GB!CC13*1.045,0)</f>
        <v>329</v>
      </c>
      <c r="CD11" s="121"/>
      <c r="CE11" s="121">
        <f>ROUNDUP([1]GB!CE13*1.045,0)</f>
        <v>474</v>
      </c>
      <c r="CF11" s="121">
        <f>ROUNDUP([1]GB!CF13*1.045,0)</f>
        <v>329</v>
      </c>
      <c r="CG11" s="121">
        <f>ROUNDUP([1]GB!CG13*1.045,0)</f>
        <v>365</v>
      </c>
      <c r="CH11" s="121">
        <f>ROUNDUP([1]GB!CH13*1.045,0)</f>
        <v>329</v>
      </c>
      <c r="CI11" s="121">
        <f>ROUNDUP([1]GB!CI13*1.045,0)</f>
        <v>324</v>
      </c>
      <c r="CJ11" s="121">
        <f>ROUNDUP([1]GB!CJ13*1.045,0)</f>
        <v>324</v>
      </c>
      <c r="CK11" s="121">
        <f>ROUNDUP([1]GB!CK13*1.045,0)</f>
        <v>329</v>
      </c>
      <c r="CL11" s="121">
        <f>ROUNDUP([1]GB!CL13*1.045,0)</f>
        <v>382</v>
      </c>
      <c r="CM11" s="121">
        <f>ROUNDUP([1]GB!CM13*1.045,0)</f>
        <v>324</v>
      </c>
      <c r="CN11" s="121">
        <f>ROUNDUP([1]GB!CN13*1.045,0)</f>
        <v>324</v>
      </c>
      <c r="CO11" s="121">
        <f>ROUNDUP([1]GB!CO13*1.045,0)</f>
        <v>365</v>
      </c>
      <c r="CP11" s="121">
        <f>ROUNDUP([1]GB!CP13*1.045,0)</f>
        <v>324</v>
      </c>
      <c r="CQ11" s="121">
        <f>ROUNDUP([1]GB!CQ13*1.045,0)</f>
        <v>324</v>
      </c>
      <c r="CR11" s="121">
        <f>ROUNDUP([1]GB!CR13*1.045,0)</f>
        <v>329</v>
      </c>
      <c r="CS11" s="121">
        <f>ROUNDUP([1]GB!CS13*1.045,0)</f>
        <v>329</v>
      </c>
      <c r="CT11" s="121">
        <f>ROUNDUP([1]GB!CT13*1.045,0)</f>
        <v>329</v>
      </c>
      <c r="CU11" s="121">
        <f>ROUNDUP([1]GB!CU13*1.045,0)</f>
        <v>382</v>
      </c>
      <c r="CV11" s="121">
        <f>ROUNDUP([1]GB!CV13*1.045,0)</f>
        <v>324</v>
      </c>
      <c r="CW11" s="121">
        <f>ROUNDUP([1]GB!CW13*1.045,0)</f>
        <v>365</v>
      </c>
      <c r="CX11" s="121">
        <f>ROUNDUP([1]GB!CX13*1.045,0)</f>
        <v>324</v>
      </c>
      <c r="CY11" s="121">
        <f>ROUNDUP([1]GB!CY13*1.045,0)</f>
        <v>365</v>
      </c>
      <c r="CZ11" s="121">
        <f>ROUNDUP([1]GB!CZ13*1.045,0)</f>
        <v>365</v>
      </c>
      <c r="DA11" s="121">
        <f>ROUNDUP([1]GB!DA13*1.045,0)</f>
        <v>382</v>
      </c>
      <c r="DB11" s="121">
        <f>ROUNDUP([1]GB!DB13*1.045,0)</f>
        <v>365</v>
      </c>
      <c r="DC11" s="121">
        <f>ROUNDUP([1]GB!DC13*1.045,0)</f>
        <v>329</v>
      </c>
      <c r="DD11" s="121">
        <f>ROUNDUP([1]GB!DD13*1.045,0)</f>
        <v>382</v>
      </c>
      <c r="DE11" s="121"/>
      <c r="DF11" s="121">
        <f>ROUNDUP([1]GB!DF13*1.045,0)</f>
        <v>365</v>
      </c>
      <c r="DG11" s="121">
        <f>ROUNDUP([1]GB!DG13*1.045,0)</f>
        <v>324</v>
      </c>
      <c r="DH11" s="121">
        <f>ROUNDUP([1]GB!DH13*1.045,0)</f>
        <v>324</v>
      </c>
      <c r="DI11" s="121">
        <f>ROUNDUP([1]GB!DI13*1.045,0)</f>
        <v>324</v>
      </c>
      <c r="DJ11" s="121">
        <f>ROUNDUP([1]GB!DJ13*1.045,0)</f>
        <v>365</v>
      </c>
      <c r="DK11" s="121">
        <f>ROUNDUP([1]GB!DK13*1.045,0)</f>
        <v>324</v>
      </c>
      <c r="DL11" s="121">
        <f>ROUNDUP([1]GB!DL13*1.045,0)</f>
        <v>324</v>
      </c>
      <c r="DM11" s="121">
        <f>ROUNDUP([1]GB!DM13*1.045,0)</f>
        <v>329</v>
      </c>
      <c r="DN11" s="121">
        <f>ROUNDUP([1]GB!DN13*1.045,0)</f>
        <v>365</v>
      </c>
      <c r="DO11" s="121">
        <f>ROUNDUP([1]GB!DO13*1.045,0)</f>
        <v>365</v>
      </c>
      <c r="DP11" s="121">
        <f>ROUNDUP([1]GB!DP13*1.045,0)</f>
        <v>365</v>
      </c>
      <c r="DQ11" s="121">
        <f>ROUNDUP([1]GB!DQ13*1.045,0)</f>
        <v>365</v>
      </c>
      <c r="DR11" s="121">
        <f>ROUNDUP([1]GB!DR13*1.045,0)</f>
        <v>329</v>
      </c>
    </row>
    <row r="12" spans="1:122" ht="15" customHeight="1">
      <c r="A12" s="2">
        <v>1750</v>
      </c>
      <c r="B12" s="64">
        <v>1</v>
      </c>
      <c r="C12" s="64"/>
      <c r="D12" s="64">
        <v>2</v>
      </c>
      <c r="E12" s="121"/>
      <c r="F12" s="121">
        <f>ROUNDUP([1]GB!F14*1.045,0)</f>
        <v>360</v>
      </c>
      <c r="G12" s="121">
        <f>ROUNDUP([1]GB!G14*1.045,0)</f>
        <v>389</v>
      </c>
      <c r="H12" s="121">
        <f>ROUNDUP([1]GB!H14*1.045,0)</f>
        <v>389</v>
      </c>
      <c r="I12" s="121">
        <f>ROUNDUP([1]GB!I14*1.045,0)</f>
        <v>389</v>
      </c>
      <c r="J12" s="121">
        <f>ROUNDUP([1]GB!J14*1.045,0)</f>
        <v>365</v>
      </c>
      <c r="K12" s="121">
        <f>ROUNDUP([1]GB!K14*1.045,0)</f>
        <v>389</v>
      </c>
      <c r="L12" s="121">
        <f>ROUNDUP([1]GB!L14*1.045,0)</f>
        <v>389</v>
      </c>
      <c r="M12" s="121">
        <f>ROUNDUP([1]GB!M14*1.045,0)</f>
        <v>365</v>
      </c>
      <c r="N12" s="121">
        <f>ROUNDUP([1]GB!N14*1.045,0)</f>
        <v>360</v>
      </c>
      <c r="O12" s="121">
        <f>ROUNDUP([1]GB!O14*1.045,0)</f>
        <v>389</v>
      </c>
      <c r="P12" s="121">
        <f>ROUNDUP([1]GB!P14*1.045,0)</f>
        <v>425</v>
      </c>
      <c r="Q12" s="121">
        <f>ROUNDUP([1]GB!Q14*1.045,0)</f>
        <v>360</v>
      </c>
      <c r="R12" s="121">
        <f>ROUNDUP([1]GB!R14*1.045,0)</f>
        <v>389</v>
      </c>
      <c r="S12" s="121">
        <f>ROUNDUP([1]GB!S14*1.045,0)</f>
        <v>389</v>
      </c>
      <c r="T12" s="121">
        <f>ROUNDUP([1]GB!T14*1.045,0)</f>
        <v>360</v>
      </c>
      <c r="U12" s="121">
        <f>ROUNDUP([1]GB!U14*1.045,0)</f>
        <v>360</v>
      </c>
      <c r="V12" s="121">
        <f>ROUNDUP([1]GB!V14*1.045,0)</f>
        <v>360</v>
      </c>
      <c r="W12" s="121">
        <f>ROUNDUP([1]GB!W14*1.045,0)</f>
        <v>365</v>
      </c>
      <c r="X12" s="121">
        <f>ROUNDUP([1]GB!X14*1.045,0)</f>
        <v>365</v>
      </c>
      <c r="Y12" s="121">
        <f>ROUNDUP([1]GB!Y14*1.045,0)</f>
        <v>389</v>
      </c>
      <c r="Z12" s="121">
        <f>ROUNDUP([1]GB!Z14*1.045,0)</f>
        <v>360</v>
      </c>
      <c r="AA12" s="121"/>
      <c r="AB12" s="121">
        <f>ROUNDUP([1]GB!AB14*1.045,0)</f>
        <v>365</v>
      </c>
      <c r="AC12" s="121">
        <f>ROUNDUP([1]GB!AC14*1.045,0)</f>
        <v>505</v>
      </c>
      <c r="AD12" s="121">
        <f>ROUNDUP([1]GB!AD14*1.045,0)</f>
        <v>425</v>
      </c>
      <c r="AE12" s="121">
        <f>ROUNDUP([1]GB!AE14*1.045,0)</f>
        <v>389</v>
      </c>
      <c r="AF12" s="121">
        <f>ROUNDUP([1]GB!AF14*1.045,0)</f>
        <v>365</v>
      </c>
      <c r="AG12" s="121">
        <f>ROUNDUP([1]GB!AG14*1.045,0)</f>
        <v>389</v>
      </c>
      <c r="AH12" s="121">
        <f>ROUNDUP([1]GB!AH14*1.045,0)</f>
        <v>389</v>
      </c>
      <c r="AI12" s="121">
        <f>ROUNDUP([1]GB!AI14*1.045,0)</f>
        <v>360</v>
      </c>
      <c r="AJ12" s="121">
        <f>ROUNDUP([1]GB!AJ14*1.045,0)</f>
        <v>360</v>
      </c>
      <c r="AK12" s="121">
        <f>ROUNDUP([1]GB!AK14*1.045,0)</f>
        <v>505</v>
      </c>
      <c r="AL12" s="121">
        <f>ROUNDUP([1]GB!AL14*1.045,0)</f>
        <v>360</v>
      </c>
      <c r="AM12" s="121">
        <f>ROUNDUP([1]GB!AM14*1.045,0)</f>
        <v>389</v>
      </c>
      <c r="AN12" s="121">
        <f>ROUNDUP([1]GB!AN14*1.045,0)</f>
        <v>505</v>
      </c>
      <c r="AO12" s="121">
        <f>ROUNDUP([1]GB!AO14*1.045,0)</f>
        <v>425</v>
      </c>
      <c r="AP12" s="121">
        <f>ROUNDUP([1]GB!AP14*1.045,0)</f>
        <v>505</v>
      </c>
      <c r="AQ12" s="121">
        <f>ROUNDUP([1]GB!AQ14*1.045,0)</f>
        <v>365</v>
      </c>
      <c r="AR12" s="121">
        <f>ROUNDUP([1]GB!AR14*1.045,0)</f>
        <v>360</v>
      </c>
      <c r="AS12" s="121">
        <f>ROUNDUP([1]GB!AS14*1.045,0)</f>
        <v>360</v>
      </c>
      <c r="AT12" s="121">
        <f>ROUNDUP([1]GB!AT14*1.045,0)</f>
        <v>389</v>
      </c>
      <c r="AU12" s="121">
        <f>ROUNDUP([1]GB!AU14*1.045,0)</f>
        <v>365</v>
      </c>
      <c r="AV12" s="121">
        <f>ROUNDUP([1]GB!AV14*1.045,0)</f>
        <v>360</v>
      </c>
      <c r="AW12" s="121">
        <f>ROUNDUP([1]GB!AW14*1.045,0)</f>
        <v>389</v>
      </c>
      <c r="AX12" s="121">
        <f>ROUNDUP([1]GB!AX14*1.045,0)</f>
        <v>365</v>
      </c>
      <c r="AY12" s="121">
        <f>ROUNDUP([1]GB!AY14*1.045,0)</f>
        <v>389</v>
      </c>
      <c r="AZ12" s="121">
        <f>ROUNDUP([1]GB!AZ14*1.045,0)</f>
        <v>360</v>
      </c>
      <c r="BA12" s="121">
        <f>ROUNDUP([1]GB!BA14*1.045,0)</f>
        <v>360</v>
      </c>
      <c r="BB12" s="121"/>
      <c r="BC12" s="121">
        <f>ROUNDUP([1]GB!BC14*1.045,0)</f>
        <v>505</v>
      </c>
      <c r="BD12" s="121">
        <f>ROUNDUP([1]GB!BD14*1.045,0)</f>
        <v>360</v>
      </c>
      <c r="BE12" s="121"/>
      <c r="BF12" s="121"/>
      <c r="BG12" s="121">
        <f>ROUNDUP([1]GB!BG14*1.045,0)</f>
        <v>389</v>
      </c>
      <c r="BH12" s="121">
        <f>ROUNDUP([1]GB!BH14*1.045,0)</f>
        <v>389</v>
      </c>
      <c r="BI12" s="121">
        <f>ROUNDUP([1]GB!BI14*1.045,0)</f>
        <v>389</v>
      </c>
      <c r="BJ12" s="121">
        <f>ROUNDUP([1]GB!BJ14*1.045,0)</f>
        <v>365</v>
      </c>
      <c r="BK12" s="121">
        <f>ROUNDUP([1]GB!BK14*1.045,0)</f>
        <v>425</v>
      </c>
      <c r="BL12" s="121">
        <f>ROUNDUP([1]GB!BL14*1.045,0)</f>
        <v>365</v>
      </c>
      <c r="BM12" s="121">
        <f>ROUNDUP([1]GB!BM14*1.045,0)</f>
        <v>365</v>
      </c>
      <c r="BN12" s="121">
        <f>ROUNDUP([1]GB!BN14*1.045,0)</f>
        <v>360</v>
      </c>
      <c r="BO12" s="121">
        <f>ROUNDUP([1]GB!BO14*1.045,0)</f>
        <v>389</v>
      </c>
      <c r="BP12" s="121">
        <f>ROUNDUP([1]GB!BP14*1.045,0)</f>
        <v>360</v>
      </c>
      <c r="BQ12" s="121">
        <f>ROUNDUP([1]GB!BQ14*1.045,0)</f>
        <v>365</v>
      </c>
      <c r="BR12" s="121">
        <f>ROUNDUP([1]GB!BR14*1.045,0)</f>
        <v>505</v>
      </c>
      <c r="BS12" s="121">
        <f>ROUNDUP([1]GB!BS14*1.045,0)</f>
        <v>360</v>
      </c>
      <c r="BT12" s="121">
        <f>ROUNDUP([1]GB!BT14*1.045,0)</f>
        <v>425</v>
      </c>
      <c r="BU12" s="121">
        <f>ROUNDUP([1]GB!BU14*1.045,0)</f>
        <v>365</v>
      </c>
      <c r="BV12" s="121">
        <f>ROUNDUP([1]GB!BV14*1.045,0)</f>
        <v>365</v>
      </c>
      <c r="BW12" s="121">
        <f>ROUNDUP([1]GB!BW14*1.045,0)</f>
        <v>389</v>
      </c>
      <c r="BX12" s="121">
        <f>ROUNDUP([1]GB!BX14*1.045,0)</f>
        <v>365</v>
      </c>
      <c r="BY12" s="121">
        <f>ROUNDUP([1]GB!BY14*1.045,0)</f>
        <v>360</v>
      </c>
      <c r="BZ12" s="121">
        <f>ROUNDUP([1]GB!BZ14*1.045,0)</f>
        <v>389</v>
      </c>
      <c r="CA12" s="121">
        <f>ROUNDUP([1]GB!CA14*1.045,0)</f>
        <v>365</v>
      </c>
      <c r="CB12" s="121"/>
      <c r="CC12" s="121">
        <f>ROUNDUP([1]GB!CC14*1.045,0)</f>
        <v>365</v>
      </c>
      <c r="CD12" s="121"/>
      <c r="CE12" s="121">
        <f>ROUNDUP([1]GB!CE14*1.045,0)</f>
        <v>505</v>
      </c>
      <c r="CF12" s="121">
        <f>ROUNDUP([1]GB!CF14*1.045,0)</f>
        <v>365</v>
      </c>
      <c r="CG12" s="121">
        <f>ROUNDUP([1]GB!CG14*1.045,0)</f>
        <v>389</v>
      </c>
      <c r="CH12" s="121">
        <f>ROUNDUP([1]GB!CH14*1.045,0)</f>
        <v>365</v>
      </c>
      <c r="CI12" s="121">
        <f>ROUNDUP([1]GB!CI14*1.045,0)</f>
        <v>360</v>
      </c>
      <c r="CJ12" s="121">
        <f>ROUNDUP([1]GB!CJ14*1.045,0)</f>
        <v>360</v>
      </c>
      <c r="CK12" s="121">
        <f>ROUNDUP([1]GB!CK14*1.045,0)</f>
        <v>365</v>
      </c>
      <c r="CL12" s="121">
        <f>ROUNDUP([1]GB!CL14*1.045,0)</f>
        <v>425</v>
      </c>
      <c r="CM12" s="121">
        <f>ROUNDUP([1]GB!CM14*1.045,0)</f>
        <v>360</v>
      </c>
      <c r="CN12" s="121">
        <f>ROUNDUP([1]GB!CN14*1.045,0)</f>
        <v>360</v>
      </c>
      <c r="CO12" s="121">
        <f>ROUNDUP([1]GB!CO14*1.045,0)</f>
        <v>389</v>
      </c>
      <c r="CP12" s="121">
        <f>ROUNDUP([1]GB!CP14*1.045,0)</f>
        <v>360</v>
      </c>
      <c r="CQ12" s="121">
        <f>ROUNDUP([1]GB!CQ14*1.045,0)</f>
        <v>360</v>
      </c>
      <c r="CR12" s="121">
        <f>ROUNDUP([1]GB!CR14*1.045,0)</f>
        <v>365</v>
      </c>
      <c r="CS12" s="121">
        <f>ROUNDUP([1]GB!CS14*1.045,0)</f>
        <v>365</v>
      </c>
      <c r="CT12" s="121">
        <f>ROUNDUP([1]GB!CT14*1.045,0)</f>
        <v>365</v>
      </c>
      <c r="CU12" s="121">
        <f>ROUNDUP([1]GB!CU14*1.045,0)</f>
        <v>425</v>
      </c>
      <c r="CV12" s="121">
        <f>ROUNDUP([1]GB!CV14*1.045,0)</f>
        <v>360</v>
      </c>
      <c r="CW12" s="121">
        <f>ROUNDUP([1]GB!CW14*1.045,0)</f>
        <v>389</v>
      </c>
      <c r="CX12" s="121">
        <f>ROUNDUP([1]GB!CX14*1.045,0)</f>
        <v>360</v>
      </c>
      <c r="CY12" s="121">
        <f>ROUNDUP([1]GB!CY14*1.045,0)</f>
        <v>389</v>
      </c>
      <c r="CZ12" s="121">
        <f>ROUNDUP([1]GB!CZ14*1.045,0)</f>
        <v>389</v>
      </c>
      <c r="DA12" s="121">
        <f>ROUNDUP([1]GB!DA14*1.045,0)</f>
        <v>425</v>
      </c>
      <c r="DB12" s="121">
        <f>ROUNDUP([1]GB!DB14*1.045,0)</f>
        <v>389</v>
      </c>
      <c r="DC12" s="121">
        <f>ROUNDUP([1]GB!DC14*1.045,0)</f>
        <v>365</v>
      </c>
      <c r="DD12" s="121">
        <f>ROUNDUP([1]GB!DD14*1.045,0)</f>
        <v>425</v>
      </c>
      <c r="DE12" s="121"/>
      <c r="DF12" s="121">
        <f>ROUNDUP([1]GB!DF14*1.045,0)</f>
        <v>389</v>
      </c>
      <c r="DG12" s="121">
        <f>ROUNDUP([1]GB!DG14*1.045,0)</f>
        <v>360</v>
      </c>
      <c r="DH12" s="121">
        <f>ROUNDUP([1]GB!DH14*1.045,0)</f>
        <v>360</v>
      </c>
      <c r="DI12" s="121">
        <f>ROUNDUP([1]GB!DI14*1.045,0)</f>
        <v>360</v>
      </c>
      <c r="DJ12" s="121">
        <f>ROUNDUP([1]GB!DJ14*1.045,0)</f>
        <v>389</v>
      </c>
      <c r="DK12" s="121">
        <f>ROUNDUP([1]GB!DK14*1.045,0)</f>
        <v>360</v>
      </c>
      <c r="DL12" s="121">
        <f>ROUNDUP([1]GB!DL14*1.045,0)</f>
        <v>360</v>
      </c>
      <c r="DM12" s="121">
        <f>ROUNDUP([1]GB!DM14*1.045,0)</f>
        <v>365</v>
      </c>
      <c r="DN12" s="121">
        <f>ROUNDUP([1]GB!DN14*1.045,0)</f>
        <v>389</v>
      </c>
      <c r="DO12" s="121">
        <f>ROUNDUP([1]GB!DO14*1.045,0)</f>
        <v>389</v>
      </c>
      <c r="DP12" s="121">
        <f>ROUNDUP([1]GB!DP14*1.045,0)</f>
        <v>389</v>
      </c>
      <c r="DQ12" s="121">
        <f>ROUNDUP([1]GB!DQ14*1.045,0)</f>
        <v>389</v>
      </c>
      <c r="DR12" s="121">
        <f>ROUNDUP([1]GB!DR14*1.045,0)</f>
        <v>365</v>
      </c>
    </row>
    <row r="13" spans="1:122" ht="15" customHeight="1">
      <c r="A13" s="2">
        <v>2100</v>
      </c>
      <c r="B13" s="64">
        <v>1.2</v>
      </c>
      <c r="C13" s="64">
        <v>3</v>
      </c>
      <c r="D13" s="64"/>
      <c r="E13" s="121"/>
      <c r="F13" s="121">
        <f>ROUNDUP([1]GB!F15*1.045,0)</f>
        <v>401</v>
      </c>
      <c r="G13" s="121">
        <f>ROUNDUP([1]GB!G15*1.045,0)</f>
        <v>434</v>
      </c>
      <c r="H13" s="121">
        <f>ROUNDUP([1]GB!H15*1.045,0)</f>
        <v>434</v>
      </c>
      <c r="I13" s="121">
        <f>ROUNDUP([1]GB!I15*1.045,0)</f>
        <v>434</v>
      </c>
      <c r="J13" s="121">
        <f>ROUNDUP([1]GB!J15*1.045,0)</f>
        <v>406</v>
      </c>
      <c r="K13" s="121">
        <f>ROUNDUP([1]GB!K15*1.045,0)</f>
        <v>434</v>
      </c>
      <c r="L13" s="121">
        <f>ROUNDUP([1]GB!L15*1.045,0)</f>
        <v>434</v>
      </c>
      <c r="M13" s="121">
        <f>ROUNDUP([1]GB!M15*1.045,0)</f>
        <v>406</v>
      </c>
      <c r="N13" s="121">
        <f>ROUNDUP([1]GB!N15*1.045,0)</f>
        <v>401</v>
      </c>
      <c r="O13" s="121">
        <f>ROUNDUP([1]GB!O15*1.045,0)</f>
        <v>434</v>
      </c>
      <c r="P13" s="121">
        <f>ROUNDUP([1]GB!P15*1.045,0)</f>
        <v>477</v>
      </c>
      <c r="Q13" s="121">
        <f>ROUNDUP([1]GB!Q15*1.045,0)</f>
        <v>401</v>
      </c>
      <c r="R13" s="121">
        <f>ROUNDUP([1]GB!R15*1.045,0)</f>
        <v>434</v>
      </c>
      <c r="S13" s="121">
        <f>ROUNDUP([1]GB!S15*1.045,0)</f>
        <v>434</v>
      </c>
      <c r="T13" s="121">
        <f>ROUNDUP([1]GB!T15*1.045,0)</f>
        <v>401</v>
      </c>
      <c r="U13" s="121">
        <f>ROUNDUP([1]GB!U15*1.045,0)</f>
        <v>401</v>
      </c>
      <c r="V13" s="121">
        <f>ROUNDUP([1]GB!V15*1.045,0)</f>
        <v>401</v>
      </c>
      <c r="W13" s="121">
        <f>ROUNDUP([1]GB!W15*1.045,0)</f>
        <v>406</v>
      </c>
      <c r="X13" s="121">
        <f>ROUNDUP([1]GB!X15*1.045,0)</f>
        <v>406</v>
      </c>
      <c r="Y13" s="121">
        <f>ROUNDUP([1]GB!Y15*1.045,0)</f>
        <v>434</v>
      </c>
      <c r="Z13" s="121">
        <f>ROUNDUP([1]GB!Z15*1.045,0)</f>
        <v>401</v>
      </c>
      <c r="AA13" s="121"/>
      <c r="AB13" s="121">
        <f>ROUNDUP([1]GB!AB15*1.045,0)</f>
        <v>406</v>
      </c>
      <c r="AC13" s="121">
        <f>ROUNDUP([1]GB!AC15*1.045,0)</f>
        <v>568</v>
      </c>
      <c r="AD13" s="121">
        <f>ROUNDUP([1]GB!AD15*1.045,0)</f>
        <v>477</v>
      </c>
      <c r="AE13" s="121">
        <f>ROUNDUP([1]GB!AE15*1.045,0)</f>
        <v>434</v>
      </c>
      <c r="AF13" s="121">
        <f>ROUNDUP([1]GB!AF15*1.045,0)</f>
        <v>406</v>
      </c>
      <c r="AG13" s="121">
        <f>ROUNDUP([1]GB!AG15*1.045,0)</f>
        <v>434</v>
      </c>
      <c r="AH13" s="121">
        <f>ROUNDUP([1]GB!AH15*1.045,0)</f>
        <v>434</v>
      </c>
      <c r="AI13" s="121">
        <f>ROUNDUP([1]GB!AI15*1.045,0)</f>
        <v>401</v>
      </c>
      <c r="AJ13" s="121">
        <f>ROUNDUP([1]GB!AJ15*1.045,0)</f>
        <v>401</v>
      </c>
      <c r="AK13" s="121">
        <f>ROUNDUP([1]GB!AK15*1.045,0)</f>
        <v>568</v>
      </c>
      <c r="AL13" s="121">
        <f>ROUNDUP([1]GB!AL15*1.045,0)</f>
        <v>401</v>
      </c>
      <c r="AM13" s="121">
        <f>ROUNDUP([1]GB!AM15*1.045,0)</f>
        <v>434</v>
      </c>
      <c r="AN13" s="121">
        <f>ROUNDUP([1]GB!AN15*1.045,0)</f>
        <v>568</v>
      </c>
      <c r="AO13" s="121">
        <f>ROUNDUP([1]GB!AO15*1.045,0)</f>
        <v>477</v>
      </c>
      <c r="AP13" s="121">
        <f>ROUNDUP([1]GB!AP15*1.045,0)</f>
        <v>568</v>
      </c>
      <c r="AQ13" s="121">
        <f>ROUNDUP([1]GB!AQ15*1.045,0)</f>
        <v>406</v>
      </c>
      <c r="AR13" s="121">
        <f>ROUNDUP([1]GB!AR15*1.045,0)</f>
        <v>401</v>
      </c>
      <c r="AS13" s="121">
        <f>ROUNDUP([1]GB!AS15*1.045,0)</f>
        <v>401</v>
      </c>
      <c r="AT13" s="121">
        <f>ROUNDUP([1]GB!AT15*1.045,0)</f>
        <v>434</v>
      </c>
      <c r="AU13" s="121">
        <f>ROUNDUP([1]GB!AU15*1.045,0)</f>
        <v>406</v>
      </c>
      <c r="AV13" s="121">
        <f>ROUNDUP([1]GB!AV15*1.045,0)</f>
        <v>401</v>
      </c>
      <c r="AW13" s="121">
        <f>ROUNDUP([1]GB!AW15*1.045,0)</f>
        <v>434</v>
      </c>
      <c r="AX13" s="121">
        <f>ROUNDUP([1]GB!AX15*1.045,0)</f>
        <v>406</v>
      </c>
      <c r="AY13" s="121">
        <f>ROUNDUP([1]GB!AY15*1.045,0)</f>
        <v>434</v>
      </c>
      <c r="AZ13" s="121">
        <f>ROUNDUP([1]GB!AZ15*1.045,0)</f>
        <v>401</v>
      </c>
      <c r="BA13" s="121">
        <f>ROUNDUP([1]GB!BA15*1.045,0)</f>
        <v>401</v>
      </c>
      <c r="BB13" s="121"/>
      <c r="BC13" s="121">
        <f>ROUNDUP([1]GB!BC15*1.045,0)</f>
        <v>568</v>
      </c>
      <c r="BD13" s="121">
        <f>ROUNDUP([1]GB!BD15*1.045,0)</f>
        <v>401</v>
      </c>
      <c r="BE13" s="121"/>
      <c r="BF13" s="121"/>
      <c r="BG13" s="121">
        <f>ROUNDUP([1]GB!BG15*1.045,0)</f>
        <v>434</v>
      </c>
      <c r="BH13" s="121">
        <f>ROUNDUP([1]GB!BH15*1.045,0)</f>
        <v>434</v>
      </c>
      <c r="BI13" s="121">
        <f>ROUNDUP([1]GB!BI15*1.045,0)</f>
        <v>434</v>
      </c>
      <c r="BJ13" s="121">
        <f>ROUNDUP([1]GB!BJ15*1.045,0)</f>
        <v>406</v>
      </c>
      <c r="BK13" s="121">
        <f>ROUNDUP([1]GB!BK15*1.045,0)</f>
        <v>477</v>
      </c>
      <c r="BL13" s="121">
        <f>ROUNDUP([1]GB!BL15*1.045,0)</f>
        <v>406</v>
      </c>
      <c r="BM13" s="121">
        <f>ROUNDUP([1]GB!BM15*1.045,0)</f>
        <v>406</v>
      </c>
      <c r="BN13" s="121">
        <f>ROUNDUP([1]GB!BN15*1.045,0)</f>
        <v>401</v>
      </c>
      <c r="BO13" s="121">
        <f>ROUNDUP([1]GB!BO15*1.045,0)</f>
        <v>434</v>
      </c>
      <c r="BP13" s="121">
        <f>ROUNDUP([1]GB!BP15*1.045,0)</f>
        <v>401</v>
      </c>
      <c r="BQ13" s="121">
        <f>ROUNDUP([1]GB!BQ15*1.045,0)</f>
        <v>406</v>
      </c>
      <c r="BR13" s="121">
        <f>ROUNDUP([1]GB!BR15*1.045,0)</f>
        <v>568</v>
      </c>
      <c r="BS13" s="121">
        <f>ROUNDUP([1]GB!BS15*1.045,0)</f>
        <v>401</v>
      </c>
      <c r="BT13" s="121">
        <f>ROUNDUP([1]GB!BT15*1.045,0)</f>
        <v>477</v>
      </c>
      <c r="BU13" s="121">
        <f>ROUNDUP([1]GB!BU15*1.045,0)</f>
        <v>406</v>
      </c>
      <c r="BV13" s="121">
        <f>ROUNDUP([1]GB!BV15*1.045,0)</f>
        <v>406</v>
      </c>
      <c r="BW13" s="121">
        <f>ROUNDUP([1]GB!BW15*1.045,0)</f>
        <v>434</v>
      </c>
      <c r="BX13" s="121">
        <f>ROUNDUP([1]GB!BX15*1.045,0)</f>
        <v>406</v>
      </c>
      <c r="BY13" s="121">
        <f>ROUNDUP([1]GB!BY15*1.045,0)</f>
        <v>401</v>
      </c>
      <c r="BZ13" s="121">
        <f>ROUNDUP([1]GB!BZ15*1.045,0)</f>
        <v>434</v>
      </c>
      <c r="CA13" s="121">
        <f>ROUNDUP([1]GB!CA15*1.045,0)</f>
        <v>406</v>
      </c>
      <c r="CB13" s="121"/>
      <c r="CC13" s="121">
        <f>ROUNDUP([1]GB!CC15*1.045,0)</f>
        <v>406</v>
      </c>
      <c r="CD13" s="121"/>
      <c r="CE13" s="121">
        <f>ROUNDUP([1]GB!CE15*1.045,0)</f>
        <v>568</v>
      </c>
      <c r="CF13" s="121">
        <f>ROUNDUP([1]GB!CF15*1.045,0)</f>
        <v>406</v>
      </c>
      <c r="CG13" s="121">
        <f>ROUNDUP([1]GB!CG15*1.045,0)</f>
        <v>434</v>
      </c>
      <c r="CH13" s="121">
        <f>ROUNDUP([1]GB!CH15*1.045,0)</f>
        <v>406</v>
      </c>
      <c r="CI13" s="121">
        <f>ROUNDUP([1]GB!CI15*1.045,0)</f>
        <v>401</v>
      </c>
      <c r="CJ13" s="121">
        <f>ROUNDUP([1]GB!CJ15*1.045,0)</f>
        <v>401</v>
      </c>
      <c r="CK13" s="121">
        <f>ROUNDUP([1]GB!CK15*1.045,0)</f>
        <v>406</v>
      </c>
      <c r="CL13" s="121">
        <f>ROUNDUP([1]GB!CL15*1.045,0)</f>
        <v>477</v>
      </c>
      <c r="CM13" s="121">
        <f>ROUNDUP([1]GB!CM15*1.045,0)</f>
        <v>401</v>
      </c>
      <c r="CN13" s="121">
        <f>ROUNDUP([1]GB!CN15*1.045,0)</f>
        <v>401</v>
      </c>
      <c r="CO13" s="121">
        <f>ROUNDUP([1]GB!CO15*1.045,0)</f>
        <v>434</v>
      </c>
      <c r="CP13" s="121">
        <f>ROUNDUP([1]GB!CP15*1.045,0)</f>
        <v>401</v>
      </c>
      <c r="CQ13" s="121">
        <f>ROUNDUP([1]GB!CQ15*1.045,0)</f>
        <v>401</v>
      </c>
      <c r="CR13" s="121">
        <f>ROUNDUP([1]GB!CR15*1.045,0)</f>
        <v>406</v>
      </c>
      <c r="CS13" s="121">
        <f>ROUNDUP([1]GB!CS15*1.045,0)</f>
        <v>406</v>
      </c>
      <c r="CT13" s="121">
        <f>ROUNDUP([1]GB!CT15*1.045,0)</f>
        <v>406</v>
      </c>
      <c r="CU13" s="121">
        <f>ROUNDUP([1]GB!CU15*1.045,0)</f>
        <v>477</v>
      </c>
      <c r="CV13" s="121">
        <f>ROUNDUP([1]GB!CV15*1.045,0)</f>
        <v>401</v>
      </c>
      <c r="CW13" s="121">
        <f>ROUNDUP([1]GB!CW15*1.045,0)</f>
        <v>434</v>
      </c>
      <c r="CX13" s="121">
        <f>ROUNDUP([1]GB!CX15*1.045,0)</f>
        <v>401</v>
      </c>
      <c r="CY13" s="121">
        <f>ROUNDUP([1]GB!CY15*1.045,0)</f>
        <v>434</v>
      </c>
      <c r="CZ13" s="121">
        <f>ROUNDUP([1]GB!CZ15*1.045,0)</f>
        <v>434</v>
      </c>
      <c r="DA13" s="121">
        <f>ROUNDUP([1]GB!DA15*1.045,0)</f>
        <v>477</v>
      </c>
      <c r="DB13" s="121">
        <f>ROUNDUP([1]GB!DB15*1.045,0)</f>
        <v>434</v>
      </c>
      <c r="DC13" s="121">
        <f>ROUNDUP([1]GB!DC15*1.045,0)</f>
        <v>406</v>
      </c>
      <c r="DD13" s="121">
        <f>ROUNDUP([1]GB!DD15*1.045,0)</f>
        <v>477</v>
      </c>
      <c r="DE13" s="121"/>
      <c r="DF13" s="121">
        <f>ROUNDUP([1]GB!DF15*1.045,0)</f>
        <v>434</v>
      </c>
      <c r="DG13" s="121">
        <f>ROUNDUP([1]GB!DG15*1.045,0)</f>
        <v>401</v>
      </c>
      <c r="DH13" s="121">
        <f>ROUNDUP([1]GB!DH15*1.045,0)</f>
        <v>401</v>
      </c>
      <c r="DI13" s="121">
        <f>ROUNDUP([1]GB!DI15*1.045,0)</f>
        <v>401</v>
      </c>
      <c r="DJ13" s="121">
        <f>ROUNDUP([1]GB!DJ15*1.045,0)</f>
        <v>434</v>
      </c>
      <c r="DK13" s="121">
        <f>ROUNDUP([1]GB!DK15*1.045,0)</f>
        <v>401</v>
      </c>
      <c r="DL13" s="121">
        <f>ROUNDUP([1]GB!DL15*1.045,0)</f>
        <v>401</v>
      </c>
      <c r="DM13" s="121">
        <f>ROUNDUP([1]GB!DM15*1.045,0)</f>
        <v>406</v>
      </c>
      <c r="DN13" s="121">
        <f>ROUNDUP([1]GB!DN15*1.045,0)</f>
        <v>434</v>
      </c>
      <c r="DO13" s="121">
        <f>ROUNDUP([1]GB!DO15*1.045,0)</f>
        <v>434</v>
      </c>
      <c r="DP13" s="121">
        <f>ROUNDUP([1]GB!DP15*1.045,0)</f>
        <v>434</v>
      </c>
      <c r="DQ13" s="121">
        <f>ROUNDUP([1]GB!DQ15*1.045,0)</f>
        <v>434</v>
      </c>
      <c r="DR13" s="121">
        <f>ROUNDUP([1]GB!DR15*1.045,0)</f>
        <v>406</v>
      </c>
    </row>
    <row r="14" spans="1:122" ht="15" customHeight="1">
      <c r="A14" s="2">
        <v>2625</v>
      </c>
      <c r="B14" s="64">
        <v>1.5</v>
      </c>
      <c r="C14" s="64"/>
      <c r="D14" s="64">
        <v>3</v>
      </c>
      <c r="E14" s="121"/>
      <c r="F14" s="121">
        <f>ROUNDUP([1]GB!F16*1.045,0)</f>
        <v>440</v>
      </c>
      <c r="G14" s="121">
        <f>ROUNDUP([1]GB!G16*1.045,0)</f>
        <v>480</v>
      </c>
      <c r="H14" s="121">
        <f>ROUNDUP([1]GB!H16*1.045,0)</f>
        <v>480</v>
      </c>
      <c r="I14" s="121">
        <f>ROUNDUP([1]GB!I16*1.045,0)</f>
        <v>480</v>
      </c>
      <c r="J14" s="121">
        <f>ROUNDUP([1]GB!J16*1.045,0)</f>
        <v>450</v>
      </c>
      <c r="K14" s="121">
        <f>ROUNDUP([1]GB!K16*1.045,0)</f>
        <v>480</v>
      </c>
      <c r="L14" s="121">
        <f>ROUNDUP([1]GB!L16*1.045,0)</f>
        <v>480</v>
      </c>
      <c r="M14" s="121">
        <f>ROUNDUP([1]GB!M16*1.045,0)</f>
        <v>450</v>
      </c>
      <c r="N14" s="121">
        <f>ROUNDUP([1]GB!N16*1.045,0)</f>
        <v>440</v>
      </c>
      <c r="O14" s="121">
        <f>ROUNDUP([1]GB!O16*1.045,0)</f>
        <v>480</v>
      </c>
      <c r="P14" s="121">
        <f>ROUNDUP([1]GB!P16*1.045,0)</f>
        <v>529</v>
      </c>
      <c r="Q14" s="121">
        <f>ROUNDUP([1]GB!Q16*1.045,0)</f>
        <v>440</v>
      </c>
      <c r="R14" s="121">
        <f>ROUNDUP([1]GB!R16*1.045,0)</f>
        <v>480</v>
      </c>
      <c r="S14" s="121">
        <f>ROUNDUP([1]GB!S16*1.045,0)</f>
        <v>480</v>
      </c>
      <c r="T14" s="121">
        <f>ROUNDUP([1]GB!T16*1.045,0)</f>
        <v>440</v>
      </c>
      <c r="U14" s="121">
        <f>ROUNDUP([1]GB!U16*1.045,0)</f>
        <v>440</v>
      </c>
      <c r="V14" s="121">
        <f>ROUNDUP([1]GB!V16*1.045,0)</f>
        <v>440</v>
      </c>
      <c r="W14" s="121">
        <f>ROUNDUP([1]GB!W16*1.045,0)</f>
        <v>450</v>
      </c>
      <c r="X14" s="121">
        <f>ROUNDUP([1]GB!X16*1.045,0)</f>
        <v>450</v>
      </c>
      <c r="Y14" s="121">
        <f>ROUNDUP([1]GB!Y16*1.045,0)</f>
        <v>480</v>
      </c>
      <c r="Z14" s="121">
        <f>ROUNDUP([1]GB!Z16*1.045,0)</f>
        <v>440</v>
      </c>
      <c r="AA14" s="121"/>
      <c r="AB14" s="121">
        <f>ROUNDUP([1]GB!AB16*1.045,0)</f>
        <v>450</v>
      </c>
      <c r="AC14" s="121">
        <f>ROUNDUP([1]GB!AC16*1.045,0)</f>
        <v>630</v>
      </c>
      <c r="AD14" s="121">
        <f>ROUNDUP([1]GB!AD16*1.045,0)</f>
        <v>529</v>
      </c>
      <c r="AE14" s="121">
        <f>ROUNDUP([1]GB!AE16*1.045,0)</f>
        <v>480</v>
      </c>
      <c r="AF14" s="121">
        <f>ROUNDUP([1]GB!AF16*1.045,0)</f>
        <v>450</v>
      </c>
      <c r="AG14" s="121">
        <f>ROUNDUP([1]GB!AG16*1.045,0)</f>
        <v>480</v>
      </c>
      <c r="AH14" s="121">
        <f>ROUNDUP([1]GB!AH16*1.045,0)</f>
        <v>480</v>
      </c>
      <c r="AI14" s="121">
        <f>ROUNDUP([1]GB!AI16*1.045,0)</f>
        <v>440</v>
      </c>
      <c r="AJ14" s="121">
        <f>ROUNDUP([1]GB!AJ16*1.045,0)</f>
        <v>440</v>
      </c>
      <c r="AK14" s="121">
        <f>ROUNDUP([1]GB!AK16*1.045,0)</f>
        <v>630</v>
      </c>
      <c r="AL14" s="121">
        <f>ROUNDUP([1]GB!AL16*1.045,0)</f>
        <v>440</v>
      </c>
      <c r="AM14" s="121">
        <f>ROUNDUP([1]GB!AM16*1.045,0)</f>
        <v>480</v>
      </c>
      <c r="AN14" s="121">
        <f>ROUNDUP([1]GB!AN16*1.045,0)</f>
        <v>630</v>
      </c>
      <c r="AO14" s="121">
        <f>ROUNDUP([1]GB!AO16*1.045,0)</f>
        <v>529</v>
      </c>
      <c r="AP14" s="121">
        <f>ROUNDUP([1]GB!AP16*1.045,0)</f>
        <v>630</v>
      </c>
      <c r="AQ14" s="121">
        <f>ROUNDUP([1]GB!AQ16*1.045,0)</f>
        <v>450</v>
      </c>
      <c r="AR14" s="121">
        <f>ROUNDUP([1]GB!AR16*1.045,0)</f>
        <v>440</v>
      </c>
      <c r="AS14" s="121">
        <f>ROUNDUP([1]GB!AS16*1.045,0)</f>
        <v>440</v>
      </c>
      <c r="AT14" s="121">
        <f>ROUNDUP([1]GB!AT16*1.045,0)</f>
        <v>480</v>
      </c>
      <c r="AU14" s="121">
        <f>ROUNDUP([1]GB!AU16*1.045,0)</f>
        <v>450</v>
      </c>
      <c r="AV14" s="121">
        <f>ROUNDUP([1]GB!AV16*1.045,0)</f>
        <v>440</v>
      </c>
      <c r="AW14" s="121">
        <f>ROUNDUP([1]GB!AW16*1.045,0)</f>
        <v>480</v>
      </c>
      <c r="AX14" s="121">
        <f>ROUNDUP([1]GB!AX16*1.045,0)</f>
        <v>450</v>
      </c>
      <c r="AY14" s="121">
        <f>ROUNDUP([1]GB!AY16*1.045,0)</f>
        <v>480</v>
      </c>
      <c r="AZ14" s="121">
        <f>ROUNDUP([1]GB!AZ16*1.045,0)</f>
        <v>440</v>
      </c>
      <c r="BA14" s="121">
        <f>ROUNDUP([1]GB!BA16*1.045,0)</f>
        <v>440</v>
      </c>
      <c r="BB14" s="121"/>
      <c r="BC14" s="121">
        <f>ROUNDUP([1]GB!BC16*1.045,0)</f>
        <v>630</v>
      </c>
      <c r="BD14" s="121">
        <f>ROUNDUP([1]GB!BD16*1.045,0)</f>
        <v>440</v>
      </c>
      <c r="BE14" s="121"/>
      <c r="BF14" s="121"/>
      <c r="BG14" s="121">
        <f>ROUNDUP([1]GB!BG16*1.045,0)</f>
        <v>480</v>
      </c>
      <c r="BH14" s="121">
        <f>ROUNDUP([1]GB!BH16*1.045,0)</f>
        <v>480</v>
      </c>
      <c r="BI14" s="121">
        <f>ROUNDUP([1]GB!BI16*1.045,0)</f>
        <v>480</v>
      </c>
      <c r="BJ14" s="121">
        <f>ROUNDUP([1]GB!BJ16*1.045,0)</f>
        <v>450</v>
      </c>
      <c r="BK14" s="121">
        <f>ROUNDUP([1]GB!BK16*1.045,0)</f>
        <v>529</v>
      </c>
      <c r="BL14" s="121">
        <f>ROUNDUP([1]GB!BL16*1.045,0)</f>
        <v>450</v>
      </c>
      <c r="BM14" s="121">
        <f>ROUNDUP([1]GB!BM16*1.045,0)</f>
        <v>450</v>
      </c>
      <c r="BN14" s="121">
        <f>ROUNDUP([1]GB!BN16*1.045,0)</f>
        <v>440</v>
      </c>
      <c r="BO14" s="121">
        <f>ROUNDUP([1]GB!BO16*1.045,0)</f>
        <v>480</v>
      </c>
      <c r="BP14" s="121">
        <f>ROUNDUP([1]GB!BP16*1.045,0)</f>
        <v>440</v>
      </c>
      <c r="BQ14" s="121">
        <f>ROUNDUP([1]GB!BQ16*1.045,0)</f>
        <v>450</v>
      </c>
      <c r="BR14" s="121">
        <f>ROUNDUP([1]GB!BR16*1.045,0)</f>
        <v>630</v>
      </c>
      <c r="BS14" s="121">
        <f>ROUNDUP([1]GB!BS16*1.045,0)</f>
        <v>440</v>
      </c>
      <c r="BT14" s="121">
        <f>ROUNDUP([1]GB!BT16*1.045,0)</f>
        <v>529</v>
      </c>
      <c r="BU14" s="121">
        <f>ROUNDUP([1]GB!BU16*1.045,0)</f>
        <v>450</v>
      </c>
      <c r="BV14" s="121">
        <f>ROUNDUP([1]GB!BV16*1.045,0)</f>
        <v>450</v>
      </c>
      <c r="BW14" s="121">
        <f>ROUNDUP([1]GB!BW16*1.045,0)</f>
        <v>480</v>
      </c>
      <c r="BX14" s="121">
        <f>ROUNDUP([1]GB!BX16*1.045,0)</f>
        <v>450</v>
      </c>
      <c r="BY14" s="121">
        <f>ROUNDUP([1]GB!BY16*1.045,0)</f>
        <v>440</v>
      </c>
      <c r="BZ14" s="121">
        <f>ROUNDUP([1]GB!BZ16*1.045,0)</f>
        <v>480</v>
      </c>
      <c r="CA14" s="121">
        <f>ROUNDUP([1]GB!CA16*1.045,0)</f>
        <v>450</v>
      </c>
      <c r="CB14" s="121"/>
      <c r="CC14" s="121">
        <f>ROUNDUP([1]GB!CC16*1.045,0)</f>
        <v>450</v>
      </c>
      <c r="CD14" s="121"/>
      <c r="CE14" s="121">
        <f>ROUNDUP([1]GB!CE16*1.045,0)</f>
        <v>630</v>
      </c>
      <c r="CF14" s="121">
        <f>ROUNDUP([1]GB!CF16*1.045,0)</f>
        <v>450</v>
      </c>
      <c r="CG14" s="121">
        <f>ROUNDUP([1]GB!CG16*1.045,0)</f>
        <v>480</v>
      </c>
      <c r="CH14" s="121">
        <f>ROUNDUP([1]GB!CH16*1.045,0)</f>
        <v>450</v>
      </c>
      <c r="CI14" s="121">
        <f>ROUNDUP([1]GB!CI16*1.045,0)</f>
        <v>440</v>
      </c>
      <c r="CJ14" s="121">
        <f>ROUNDUP([1]GB!CJ16*1.045,0)</f>
        <v>440</v>
      </c>
      <c r="CK14" s="121">
        <f>ROUNDUP([1]GB!CK16*1.045,0)</f>
        <v>450</v>
      </c>
      <c r="CL14" s="121">
        <f>ROUNDUP([1]GB!CL16*1.045,0)</f>
        <v>529</v>
      </c>
      <c r="CM14" s="121">
        <f>ROUNDUP([1]GB!CM16*1.045,0)</f>
        <v>440</v>
      </c>
      <c r="CN14" s="121">
        <f>ROUNDUP([1]GB!CN16*1.045,0)</f>
        <v>440</v>
      </c>
      <c r="CO14" s="121">
        <f>ROUNDUP([1]GB!CO16*1.045,0)</f>
        <v>480</v>
      </c>
      <c r="CP14" s="121">
        <f>ROUNDUP([1]GB!CP16*1.045,0)</f>
        <v>440</v>
      </c>
      <c r="CQ14" s="121">
        <f>ROUNDUP([1]GB!CQ16*1.045,0)</f>
        <v>440</v>
      </c>
      <c r="CR14" s="121">
        <f>ROUNDUP([1]GB!CR16*1.045,0)</f>
        <v>450</v>
      </c>
      <c r="CS14" s="121">
        <f>ROUNDUP([1]GB!CS16*1.045,0)</f>
        <v>450</v>
      </c>
      <c r="CT14" s="121">
        <f>ROUNDUP([1]GB!CT16*1.045,0)</f>
        <v>450</v>
      </c>
      <c r="CU14" s="121">
        <f>ROUNDUP([1]GB!CU16*1.045,0)</f>
        <v>529</v>
      </c>
      <c r="CV14" s="121">
        <f>ROUNDUP([1]GB!CV16*1.045,0)</f>
        <v>440</v>
      </c>
      <c r="CW14" s="121">
        <f>ROUNDUP([1]GB!CW16*1.045,0)</f>
        <v>480</v>
      </c>
      <c r="CX14" s="121">
        <f>ROUNDUP([1]GB!CX16*1.045,0)</f>
        <v>440</v>
      </c>
      <c r="CY14" s="121">
        <f>ROUNDUP([1]GB!CY16*1.045,0)</f>
        <v>480</v>
      </c>
      <c r="CZ14" s="121">
        <f>ROUNDUP([1]GB!CZ16*1.045,0)</f>
        <v>480</v>
      </c>
      <c r="DA14" s="121">
        <f>ROUNDUP([1]GB!DA16*1.045,0)</f>
        <v>529</v>
      </c>
      <c r="DB14" s="121">
        <f>ROUNDUP([1]GB!DB16*1.045,0)</f>
        <v>480</v>
      </c>
      <c r="DC14" s="121">
        <f>ROUNDUP([1]GB!DC16*1.045,0)</f>
        <v>450</v>
      </c>
      <c r="DD14" s="121">
        <f>ROUNDUP([1]GB!DD16*1.045,0)</f>
        <v>529</v>
      </c>
      <c r="DE14" s="121"/>
      <c r="DF14" s="121">
        <f>ROUNDUP([1]GB!DF16*1.045,0)</f>
        <v>480</v>
      </c>
      <c r="DG14" s="121">
        <f>ROUNDUP([1]GB!DG16*1.045,0)</f>
        <v>440</v>
      </c>
      <c r="DH14" s="121">
        <f>ROUNDUP([1]GB!DH16*1.045,0)</f>
        <v>440</v>
      </c>
      <c r="DI14" s="121">
        <f>ROUNDUP([1]GB!DI16*1.045,0)</f>
        <v>440</v>
      </c>
      <c r="DJ14" s="121">
        <f>ROUNDUP([1]GB!DJ16*1.045,0)</f>
        <v>480</v>
      </c>
      <c r="DK14" s="121">
        <f>ROUNDUP([1]GB!DK16*1.045,0)</f>
        <v>440</v>
      </c>
      <c r="DL14" s="121">
        <f>ROUNDUP([1]GB!DL16*1.045,0)</f>
        <v>440</v>
      </c>
      <c r="DM14" s="121">
        <f>ROUNDUP([1]GB!DM16*1.045,0)</f>
        <v>450</v>
      </c>
      <c r="DN14" s="121">
        <f>ROUNDUP([1]GB!DN16*1.045,0)</f>
        <v>480</v>
      </c>
      <c r="DO14" s="121">
        <f>ROUNDUP([1]GB!DO16*1.045,0)</f>
        <v>480</v>
      </c>
      <c r="DP14" s="121">
        <f>ROUNDUP([1]GB!DP16*1.045,0)</f>
        <v>480</v>
      </c>
      <c r="DQ14" s="121">
        <f>ROUNDUP([1]GB!DQ16*1.045,0)</f>
        <v>480</v>
      </c>
      <c r="DR14" s="121">
        <f>ROUNDUP([1]GB!DR16*1.045,0)</f>
        <v>450</v>
      </c>
    </row>
    <row r="15" spans="1:122" ht="15" customHeight="1">
      <c r="A15" s="2">
        <v>2800</v>
      </c>
      <c r="B15" s="64">
        <v>1.6</v>
      </c>
      <c r="C15" s="64">
        <v>4</v>
      </c>
      <c r="D15" s="64"/>
      <c r="E15" s="121"/>
      <c r="F15" s="121">
        <f>ROUNDUP([1]GB!F17*1.045,0)</f>
        <v>460</v>
      </c>
      <c r="G15" s="121">
        <f>ROUNDUP([1]GB!G17*1.045,0)</f>
        <v>502</v>
      </c>
      <c r="H15" s="121">
        <f>ROUNDUP([1]GB!H17*1.045,0)</f>
        <v>502</v>
      </c>
      <c r="I15" s="121">
        <f>ROUNDUP([1]GB!I17*1.045,0)</f>
        <v>502</v>
      </c>
      <c r="J15" s="121">
        <f>ROUNDUP([1]GB!J17*1.045,0)</f>
        <v>482</v>
      </c>
      <c r="K15" s="121">
        <f>ROUNDUP([1]GB!K17*1.045,0)</f>
        <v>502</v>
      </c>
      <c r="L15" s="121">
        <f>ROUNDUP([1]GB!L17*1.045,0)</f>
        <v>502</v>
      </c>
      <c r="M15" s="121">
        <f>ROUNDUP([1]GB!M17*1.045,0)</f>
        <v>482</v>
      </c>
      <c r="N15" s="121">
        <f>ROUNDUP([1]GB!N17*1.045,0)</f>
        <v>460</v>
      </c>
      <c r="O15" s="121">
        <f>ROUNDUP([1]GB!O17*1.045,0)</f>
        <v>502</v>
      </c>
      <c r="P15" s="121">
        <f>ROUNDUP([1]GB!P17*1.045,0)</f>
        <v>571</v>
      </c>
      <c r="Q15" s="121">
        <f>ROUNDUP([1]GB!Q17*1.045,0)</f>
        <v>460</v>
      </c>
      <c r="R15" s="121">
        <f>ROUNDUP([1]GB!R17*1.045,0)</f>
        <v>502</v>
      </c>
      <c r="S15" s="121">
        <f>ROUNDUP([1]GB!S17*1.045,0)</f>
        <v>502</v>
      </c>
      <c r="T15" s="121">
        <f>ROUNDUP([1]GB!T17*1.045,0)</f>
        <v>460</v>
      </c>
      <c r="U15" s="121">
        <f>ROUNDUP([1]GB!U17*1.045,0)</f>
        <v>460</v>
      </c>
      <c r="V15" s="121">
        <f>ROUNDUP([1]GB!V17*1.045,0)</f>
        <v>460</v>
      </c>
      <c r="W15" s="121">
        <f>ROUNDUP([1]GB!W17*1.045,0)</f>
        <v>482</v>
      </c>
      <c r="X15" s="121">
        <f>ROUNDUP([1]GB!X17*1.045,0)</f>
        <v>482</v>
      </c>
      <c r="Y15" s="121">
        <f>ROUNDUP([1]GB!Y17*1.045,0)</f>
        <v>502</v>
      </c>
      <c r="Z15" s="121">
        <f>ROUNDUP([1]GB!Z17*1.045,0)</f>
        <v>460</v>
      </c>
      <c r="AA15" s="121"/>
      <c r="AB15" s="121">
        <f>ROUNDUP([1]GB!AB17*1.045,0)</f>
        <v>482</v>
      </c>
      <c r="AC15" s="121">
        <f>ROUNDUP([1]GB!AC17*1.045,0)</f>
        <v>661</v>
      </c>
      <c r="AD15" s="121">
        <f>ROUNDUP([1]GB!AD17*1.045,0)</f>
        <v>571</v>
      </c>
      <c r="AE15" s="121">
        <f>ROUNDUP([1]GB!AE17*1.045,0)</f>
        <v>502</v>
      </c>
      <c r="AF15" s="121">
        <f>ROUNDUP([1]GB!AF17*1.045,0)</f>
        <v>482</v>
      </c>
      <c r="AG15" s="121">
        <f>ROUNDUP([1]GB!AG17*1.045,0)</f>
        <v>502</v>
      </c>
      <c r="AH15" s="121">
        <f>ROUNDUP([1]GB!AH17*1.045,0)</f>
        <v>502</v>
      </c>
      <c r="AI15" s="121">
        <f>ROUNDUP([1]GB!AI17*1.045,0)</f>
        <v>460</v>
      </c>
      <c r="AJ15" s="121">
        <f>ROUNDUP([1]GB!AJ17*1.045,0)</f>
        <v>460</v>
      </c>
      <c r="AK15" s="121">
        <f>ROUNDUP([1]GB!AK17*1.045,0)</f>
        <v>661</v>
      </c>
      <c r="AL15" s="121">
        <f>ROUNDUP([1]GB!AL17*1.045,0)</f>
        <v>460</v>
      </c>
      <c r="AM15" s="121">
        <f>ROUNDUP([1]GB!AM17*1.045,0)</f>
        <v>502</v>
      </c>
      <c r="AN15" s="121">
        <f>ROUNDUP([1]GB!AN17*1.045,0)</f>
        <v>661</v>
      </c>
      <c r="AO15" s="121">
        <f>ROUNDUP([1]GB!AO17*1.045,0)</f>
        <v>571</v>
      </c>
      <c r="AP15" s="121">
        <f>ROUNDUP([1]GB!AP17*1.045,0)</f>
        <v>661</v>
      </c>
      <c r="AQ15" s="121">
        <f>ROUNDUP([1]GB!AQ17*1.045,0)</f>
        <v>482</v>
      </c>
      <c r="AR15" s="121">
        <f>ROUNDUP([1]GB!AR17*1.045,0)</f>
        <v>460</v>
      </c>
      <c r="AS15" s="121">
        <f>ROUNDUP([1]GB!AS17*1.045,0)</f>
        <v>460</v>
      </c>
      <c r="AT15" s="121">
        <f>ROUNDUP([1]GB!AT17*1.045,0)</f>
        <v>502</v>
      </c>
      <c r="AU15" s="121">
        <f>ROUNDUP([1]GB!AU17*1.045,0)</f>
        <v>482</v>
      </c>
      <c r="AV15" s="121">
        <f>ROUNDUP([1]GB!AV17*1.045,0)</f>
        <v>460</v>
      </c>
      <c r="AW15" s="121">
        <f>ROUNDUP([1]GB!AW17*1.045,0)</f>
        <v>502</v>
      </c>
      <c r="AX15" s="121">
        <f>ROUNDUP([1]GB!AX17*1.045,0)</f>
        <v>482</v>
      </c>
      <c r="AY15" s="121">
        <f>ROUNDUP([1]GB!AY17*1.045,0)</f>
        <v>502</v>
      </c>
      <c r="AZ15" s="121">
        <f>ROUNDUP([1]GB!AZ17*1.045,0)</f>
        <v>460</v>
      </c>
      <c r="BA15" s="121">
        <f>ROUNDUP([1]GB!BA17*1.045,0)</f>
        <v>460</v>
      </c>
      <c r="BB15" s="121"/>
      <c r="BC15" s="121">
        <f>ROUNDUP([1]GB!BC17*1.045,0)</f>
        <v>661</v>
      </c>
      <c r="BD15" s="121">
        <f>ROUNDUP([1]GB!BD17*1.045,0)</f>
        <v>460</v>
      </c>
      <c r="BE15" s="121"/>
      <c r="BF15" s="121"/>
      <c r="BG15" s="121">
        <f>ROUNDUP([1]GB!BG17*1.045,0)</f>
        <v>502</v>
      </c>
      <c r="BH15" s="121">
        <f>ROUNDUP([1]GB!BH17*1.045,0)</f>
        <v>502</v>
      </c>
      <c r="BI15" s="121">
        <f>ROUNDUP([1]GB!BI17*1.045,0)</f>
        <v>502</v>
      </c>
      <c r="BJ15" s="121">
        <f>ROUNDUP([1]GB!BJ17*1.045,0)</f>
        <v>482</v>
      </c>
      <c r="BK15" s="121">
        <f>ROUNDUP([1]GB!BK17*1.045,0)</f>
        <v>571</v>
      </c>
      <c r="BL15" s="121">
        <f>ROUNDUP([1]GB!BL17*1.045,0)</f>
        <v>482</v>
      </c>
      <c r="BM15" s="121">
        <f>ROUNDUP([1]GB!BM17*1.045,0)</f>
        <v>482</v>
      </c>
      <c r="BN15" s="121">
        <f>ROUNDUP([1]GB!BN17*1.045,0)</f>
        <v>460</v>
      </c>
      <c r="BO15" s="121">
        <f>ROUNDUP([1]GB!BO17*1.045,0)</f>
        <v>502</v>
      </c>
      <c r="BP15" s="121">
        <f>ROUNDUP([1]GB!BP17*1.045,0)</f>
        <v>460</v>
      </c>
      <c r="BQ15" s="121">
        <f>ROUNDUP([1]GB!BQ17*1.045,0)</f>
        <v>482</v>
      </c>
      <c r="BR15" s="121">
        <f>ROUNDUP([1]GB!BR17*1.045,0)</f>
        <v>661</v>
      </c>
      <c r="BS15" s="121">
        <f>ROUNDUP([1]GB!BS17*1.045,0)</f>
        <v>460</v>
      </c>
      <c r="BT15" s="121">
        <f>ROUNDUP([1]GB!BT17*1.045,0)</f>
        <v>571</v>
      </c>
      <c r="BU15" s="121">
        <f>ROUNDUP([1]GB!BU17*1.045,0)</f>
        <v>482</v>
      </c>
      <c r="BV15" s="121">
        <f>ROUNDUP([1]GB!BV17*1.045,0)</f>
        <v>482</v>
      </c>
      <c r="BW15" s="121">
        <f>ROUNDUP([1]GB!BW17*1.045,0)</f>
        <v>502</v>
      </c>
      <c r="BX15" s="121">
        <f>ROUNDUP([1]GB!BX17*1.045,0)</f>
        <v>482</v>
      </c>
      <c r="BY15" s="121">
        <f>ROUNDUP([1]GB!BY17*1.045,0)</f>
        <v>460</v>
      </c>
      <c r="BZ15" s="121">
        <f>ROUNDUP([1]GB!BZ17*1.045,0)</f>
        <v>502</v>
      </c>
      <c r="CA15" s="121">
        <f>ROUNDUP([1]GB!CA17*1.045,0)</f>
        <v>482</v>
      </c>
      <c r="CB15" s="121"/>
      <c r="CC15" s="121">
        <f>ROUNDUP([1]GB!CC17*1.045,0)</f>
        <v>482</v>
      </c>
      <c r="CD15" s="121"/>
      <c r="CE15" s="121">
        <f>ROUNDUP([1]GB!CE17*1.045,0)</f>
        <v>661</v>
      </c>
      <c r="CF15" s="121">
        <f>ROUNDUP([1]GB!CF17*1.045,0)</f>
        <v>482</v>
      </c>
      <c r="CG15" s="121">
        <f>ROUNDUP([1]GB!CG17*1.045,0)</f>
        <v>502</v>
      </c>
      <c r="CH15" s="121">
        <f>ROUNDUP([1]GB!CH17*1.045,0)</f>
        <v>482</v>
      </c>
      <c r="CI15" s="121">
        <f>ROUNDUP([1]GB!CI17*1.045,0)</f>
        <v>460</v>
      </c>
      <c r="CJ15" s="121">
        <f>ROUNDUP([1]GB!CJ17*1.045,0)</f>
        <v>460</v>
      </c>
      <c r="CK15" s="121">
        <f>ROUNDUP([1]GB!CK17*1.045,0)</f>
        <v>482</v>
      </c>
      <c r="CL15" s="121">
        <f>ROUNDUP([1]GB!CL17*1.045,0)</f>
        <v>571</v>
      </c>
      <c r="CM15" s="121">
        <f>ROUNDUP([1]GB!CM17*1.045,0)</f>
        <v>460</v>
      </c>
      <c r="CN15" s="121">
        <f>ROUNDUP([1]GB!CN17*1.045,0)</f>
        <v>460</v>
      </c>
      <c r="CO15" s="121">
        <f>ROUNDUP([1]GB!CO17*1.045,0)</f>
        <v>502</v>
      </c>
      <c r="CP15" s="121">
        <f>ROUNDUP([1]GB!CP17*1.045,0)</f>
        <v>460</v>
      </c>
      <c r="CQ15" s="121">
        <f>ROUNDUP([1]GB!CQ17*1.045,0)</f>
        <v>460</v>
      </c>
      <c r="CR15" s="121">
        <f>ROUNDUP([1]GB!CR17*1.045,0)</f>
        <v>482</v>
      </c>
      <c r="CS15" s="121">
        <f>ROUNDUP([1]GB!CS17*1.045,0)</f>
        <v>482</v>
      </c>
      <c r="CT15" s="121">
        <f>ROUNDUP([1]GB!CT17*1.045,0)</f>
        <v>482</v>
      </c>
      <c r="CU15" s="121">
        <f>ROUNDUP([1]GB!CU17*1.045,0)</f>
        <v>571</v>
      </c>
      <c r="CV15" s="121">
        <f>ROUNDUP([1]GB!CV17*1.045,0)</f>
        <v>460</v>
      </c>
      <c r="CW15" s="121">
        <f>ROUNDUP([1]GB!CW17*1.045,0)</f>
        <v>502</v>
      </c>
      <c r="CX15" s="121">
        <f>ROUNDUP([1]GB!CX17*1.045,0)</f>
        <v>460</v>
      </c>
      <c r="CY15" s="121">
        <f>ROUNDUP([1]GB!CY17*1.045,0)</f>
        <v>502</v>
      </c>
      <c r="CZ15" s="121">
        <f>ROUNDUP([1]GB!CZ17*1.045,0)</f>
        <v>502</v>
      </c>
      <c r="DA15" s="121">
        <f>ROUNDUP([1]GB!DA17*1.045,0)</f>
        <v>571</v>
      </c>
      <c r="DB15" s="121">
        <f>ROUNDUP([1]GB!DB17*1.045,0)</f>
        <v>502</v>
      </c>
      <c r="DC15" s="121">
        <f>ROUNDUP([1]GB!DC17*1.045,0)</f>
        <v>482</v>
      </c>
      <c r="DD15" s="121">
        <f>ROUNDUP([1]GB!DD17*1.045,0)</f>
        <v>571</v>
      </c>
      <c r="DE15" s="121"/>
      <c r="DF15" s="121">
        <f>ROUNDUP([1]GB!DF17*1.045,0)</f>
        <v>502</v>
      </c>
      <c r="DG15" s="121">
        <f>ROUNDUP([1]GB!DG17*1.045,0)</f>
        <v>460</v>
      </c>
      <c r="DH15" s="121">
        <f>ROUNDUP([1]GB!DH17*1.045,0)</f>
        <v>460</v>
      </c>
      <c r="DI15" s="121">
        <f>ROUNDUP([1]GB!DI17*1.045,0)</f>
        <v>460</v>
      </c>
      <c r="DJ15" s="121">
        <f>ROUNDUP([1]GB!DJ17*1.045,0)</f>
        <v>502</v>
      </c>
      <c r="DK15" s="121">
        <f>ROUNDUP([1]GB!DK17*1.045,0)</f>
        <v>460</v>
      </c>
      <c r="DL15" s="121">
        <f>ROUNDUP([1]GB!DL17*1.045,0)</f>
        <v>460</v>
      </c>
      <c r="DM15" s="121">
        <f>ROUNDUP([1]GB!DM17*1.045,0)</f>
        <v>482</v>
      </c>
      <c r="DN15" s="121">
        <f>ROUNDUP([1]GB!DN17*1.045,0)</f>
        <v>502</v>
      </c>
      <c r="DO15" s="121">
        <f>ROUNDUP([1]GB!DO17*1.045,0)</f>
        <v>502</v>
      </c>
      <c r="DP15" s="121">
        <f>ROUNDUP([1]GB!DP17*1.045,0)</f>
        <v>502</v>
      </c>
      <c r="DQ15" s="121">
        <f>ROUNDUP([1]GB!DQ17*1.045,0)</f>
        <v>502</v>
      </c>
      <c r="DR15" s="121">
        <f>ROUNDUP([1]GB!DR17*1.045,0)</f>
        <v>482</v>
      </c>
    </row>
    <row r="16" spans="1:122" ht="15" customHeight="1">
      <c r="A16" s="2">
        <v>3500</v>
      </c>
      <c r="B16" s="64">
        <v>2</v>
      </c>
      <c r="C16" s="64">
        <v>5</v>
      </c>
      <c r="D16" s="64">
        <v>4</v>
      </c>
      <c r="E16" s="121"/>
      <c r="F16" s="121">
        <f>ROUNDUP([1]GB!F18*1.045,0)</f>
        <v>521</v>
      </c>
      <c r="G16" s="121">
        <f>ROUNDUP([1]GB!G18*1.045,0)</f>
        <v>571</v>
      </c>
      <c r="H16" s="121">
        <f>ROUNDUP([1]GB!H18*1.045,0)</f>
        <v>571</v>
      </c>
      <c r="I16" s="121">
        <f>ROUNDUP([1]GB!I18*1.045,0)</f>
        <v>571</v>
      </c>
      <c r="J16" s="121">
        <f>ROUNDUP([1]GB!J18*1.045,0)</f>
        <v>536</v>
      </c>
      <c r="K16" s="121">
        <f>ROUNDUP([1]GB!K18*1.045,0)</f>
        <v>571</v>
      </c>
      <c r="L16" s="121">
        <f>ROUNDUP([1]GB!L18*1.045,0)</f>
        <v>571</v>
      </c>
      <c r="M16" s="121">
        <f>ROUNDUP([1]GB!M18*1.045,0)</f>
        <v>536</v>
      </c>
      <c r="N16" s="121">
        <f>ROUNDUP([1]GB!N18*1.045,0)</f>
        <v>521</v>
      </c>
      <c r="O16" s="121">
        <f>ROUNDUP([1]GB!O18*1.045,0)</f>
        <v>571</v>
      </c>
      <c r="P16" s="121">
        <f>ROUNDUP([1]GB!P18*1.045,0)</f>
        <v>633</v>
      </c>
      <c r="Q16" s="121">
        <f>ROUNDUP([1]GB!Q18*1.045,0)</f>
        <v>521</v>
      </c>
      <c r="R16" s="121">
        <f>ROUNDUP([1]GB!R18*1.045,0)</f>
        <v>571</v>
      </c>
      <c r="S16" s="121">
        <f>ROUNDUP([1]GB!S18*1.045,0)</f>
        <v>571</v>
      </c>
      <c r="T16" s="121">
        <f>ROUNDUP([1]GB!T18*1.045,0)</f>
        <v>521</v>
      </c>
      <c r="U16" s="121">
        <f>ROUNDUP([1]GB!U18*1.045,0)</f>
        <v>521</v>
      </c>
      <c r="V16" s="121">
        <f>ROUNDUP([1]GB!V18*1.045,0)</f>
        <v>521</v>
      </c>
      <c r="W16" s="121">
        <f>ROUNDUP([1]GB!W18*1.045,0)</f>
        <v>536</v>
      </c>
      <c r="X16" s="121">
        <f>ROUNDUP([1]GB!X18*1.045,0)</f>
        <v>536</v>
      </c>
      <c r="Y16" s="121">
        <f>ROUNDUP([1]GB!Y18*1.045,0)</f>
        <v>571</v>
      </c>
      <c r="Z16" s="121">
        <f>ROUNDUP([1]GB!Z18*1.045,0)</f>
        <v>521</v>
      </c>
      <c r="AA16" s="121"/>
      <c r="AB16" s="121">
        <f>ROUNDUP([1]GB!AB18*1.045,0)</f>
        <v>536</v>
      </c>
      <c r="AC16" s="121">
        <f>ROUNDUP([1]GB!AC18*1.045,0)</f>
        <v>755</v>
      </c>
      <c r="AD16" s="121">
        <f>ROUNDUP([1]GB!AD18*1.045,0)</f>
        <v>633</v>
      </c>
      <c r="AE16" s="121">
        <f>ROUNDUP([1]GB!AE18*1.045,0)</f>
        <v>571</v>
      </c>
      <c r="AF16" s="121">
        <f>ROUNDUP([1]GB!AF18*1.045,0)</f>
        <v>536</v>
      </c>
      <c r="AG16" s="121">
        <f>ROUNDUP([1]GB!AG18*1.045,0)</f>
        <v>571</v>
      </c>
      <c r="AH16" s="121">
        <f>ROUNDUP([1]GB!AH18*1.045,0)</f>
        <v>571</v>
      </c>
      <c r="AI16" s="121">
        <f>ROUNDUP([1]GB!AI18*1.045,0)</f>
        <v>521</v>
      </c>
      <c r="AJ16" s="121">
        <f>ROUNDUP([1]GB!AJ18*1.045,0)</f>
        <v>521</v>
      </c>
      <c r="AK16" s="121">
        <f>ROUNDUP([1]GB!AK18*1.045,0)</f>
        <v>755</v>
      </c>
      <c r="AL16" s="121">
        <f>ROUNDUP([1]GB!AL18*1.045,0)</f>
        <v>521</v>
      </c>
      <c r="AM16" s="121">
        <f>ROUNDUP([1]GB!AM18*1.045,0)</f>
        <v>571</v>
      </c>
      <c r="AN16" s="121">
        <f>ROUNDUP([1]GB!AN18*1.045,0)</f>
        <v>755</v>
      </c>
      <c r="AO16" s="121">
        <f>ROUNDUP([1]GB!AO18*1.045,0)</f>
        <v>633</v>
      </c>
      <c r="AP16" s="121">
        <f>ROUNDUP([1]GB!AP18*1.045,0)</f>
        <v>755</v>
      </c>
      <c r="AQ16" s="121">
        <f>ROUNDUP([1]GB!AQ18*1.045,0)</f>
        <v>536</v>
      </c>
      <c r="AR16" s="121">
        <f>ROUNDUP([1]GB!AR18*1.045,0)</f>
        <v>521</v>
      </c>
      <c r="AS16" s="121">
        <f>ROUNDUP([1]GB!AS18*1.045,0)</f>
        <v>521</v>
      </c>
      <c r="AT16" s="121">
        <f>ROUNDUP([1]GB!AT18*1.045,0)</f>
        <v>571</v>
      </c>
      <c r="AU16" s="121">
        <f>ROUNDUP([1]GB!AU18*1.045,0)</f>
        <v>536</v>
      </c>
      <c r="AV16" s="121">
        <f>ROUNDUP([1]GB!AV18*1.045,0)</f>
        <v>521</v>
      </c>
      <c r="AW16" s="121">
        <f>ROUNDUP([1]GB!AW18*1.045,0)</f>
        <v>571</v>
      </c>
      <c r="AX16" s="121">
        <f>ROUNDUP([1]GB!AX18*1.045,0)</f>
        <v>536</v>
      </c>
      <c r="AY16" s="121">
        <f>ROUNDUP([1]GB!AY18*1.045,0)</f>
        <v>571</v>
      </c>
      <c r="AZ16" s="121">
        <f>ROUNDUP([1]GB!AZ18*1.045,0)</f>
        <v>521</v>
      </c>
      <c r="BA16" s="121">
        <f>ROUNDUP([1]GB!BA18*1.045,0)</f>
        <v>521</v>
      </c>
      <c r="BB16" s="121"/>
      <c r="BC16" s="121">
        <f>ROUNDUP([1]GB!BC18*1.045,0)</f>
        <v>755</v>
      </c>
      <c r="BD16" s="121">
        <f>ROUNDUP([1]GB!BD18*1.045,0)</f>
        <v>521</v>
      </c>
      <c r="BE16" s="121"/>
      <c r="BF16" s="121"/>
      <c r="BG16" s="121">
        <f>ROUNDUP([1]GB!BG18*1.045,0)</f>
        <v>571</v>
      </c>
      <c r="BH16" s="121">
        <f>ROUNDUP([1]GB!BH18*1.045,0)</f>
        <v>571</v>
      </c>
      <c r="BI16" s="121">
        <f>ROUNDUP([1]GB!BI18*1.045,0)</f>
        <v>571</v>
      </c>
      <c r="BJ16" s="121">
        <f>ROUNDUP([1]GB!BJ18*1.045,0)</f>
        <v>536</v>
      </c>
      <c r="BK16" s="121">
        <f>ROUNDUP([1]GB!BK18*1.045,0)</f>
        <v>633</v>
      </c>
      <c r="BL16" s="121">
        <f>ROUNDUP([1]GB!BL18*1.045,0)</f>
        <v>536</v>
      </c>
      <c r="BM16" s="121">
        <f>ROUNDUP([1]GB!BM18*1.045,0)</f>
        <v>536</v>
      </c>
      <c r="BN16" s="121">
        <f>ROUNDUP([1]GB!BN18*1.045,0)</f>
        <v>521</v>
      </c>
      <c r="BO16" s="121">
        <f>ROUNDUP([1]GB!BO18*1.045,0)</f>
        <v>571</v>
      </c>
      <c r="BP16" s="121">
        <f>ROUNDUP([1]GB!BP18*1.045,0)</f>
        <v>521</v>
      </c>
      <c r="BQ16" s="121">
        <f>ROUNDUP([1]GB!BQ18*1.045,0)</f>
        <v>536</v>
      </c>
      <c r="BR16" s="121">
        <f>ROUNDUP([1]GB!BR18*1.045,0)</f>
        <v>755</v>
      </c>
      <c r="BS16" s="121">
        <f>ROUNDUP([1]GB!BS18*1.045,0)</f>
        <v>521</v>
      </c>
      <c r="BT16" s="121">
        <f>ROUNDUP([1]GB!BT18*1.045,0)</f>
        <v>633</v>
      </c>
      <c r="BU16" s="121">
        <f>ROUNDUP([1]GB!BU18*1.045,0)</f>
        <v>536</v>
      </c>
      <c r="BV16" s="121">
        <f>ROUNDUP([1]GB!BV18*1.045,0)</f>
        <v>536</v>
      </c>
      <c r="BW16" s="121">
        <f>ROUNDUP([1]GB!BW18*1.045,0)</f>
        <v>571</v>
      </c>
      <c r="BX16" s="121">
        <f>ROUNDUP([1]GB!BX18*1.045,0)</f>
        <v>536</v>
      </c>
      <c r="BY16" s="121">
        <f>ROUNDUP([1]GB!BY18*1.045,0)</f>
        <v>521</v>
      </c>
      <c r="BZ16" s="121">
        <f>ROUNDUP([1]GB!BZ18*1.045,0)</f>
        <v>571</v>
      </c>
      <c r="CA16" s="121">
        <f>ROUNDUP([1]GB!CA18*1.045,0)</f>
        <v>536</v>
      </c>
      <c r="CB16" s="121"/>
      <c r="CC16" s="121">
        <f>ROUNDUP([1]GB!CC18*1.045,0)</f>
        <v>536</v>
      </c>
      <c r="CD16" s="121"/>
      <c r="CE16" s="121">
        <f>ROUNDUP([1]GB!CE18*1.045,0)</f>
        <v>755</v>
      </c>
      <c r="CF16" s="121">
        <f>ROUNDUP([1]GB!CF18*1.045,0)</f>
        <v>536</v>
      </c>
      <c r="CG16" s="121">
        <f>ROUNDUP([1]GB!CG18*1.045,0)</f>
        <v>571</v>
      </c>
      <c r="CH16" s="121">
        <f>ROUNDUP([1]GB!CH18*1.045,0)</f>
        <v>536</v>
      </c>
      <c r="CI16" s="121">
        <f>ROUNDUP([1]GB!CI18*1.045,0)</f>
        <v>521</v>
      </c>
      <c r="CJ16" s="121">
        <f>ROUNDUP([1]GB!CJ18*1.045,0)</f>
        <v>521</v>
      </c>
      <c r="CK16" s="121">
        <f>ROUNDUP([1]GB!CK18*1.045,0)</f>
        <v>536</v>
      </c>
      <c r="CL16" s="121">
        <f>ROUNDUP([1]GB!CL18*1.045,0)</f>
        <v>633</v>
      </c>
      <c r="CM16" s="121">
        <f>ROUNDUP([1]GB!CM18*1.045,0)</f>
        <v>521</v>
      </c>
      <c r="CN16" s="121">
        <f>ROUNDUP([1]GB!CN18*1.045,0)</f>
        <v>521</v>
      </c>
      <c r="CO16" s="121">
        <f>ROUNDUP([1]GB!CO18*1.045,0)</f>
        <v>571</v>
      </c>
      <c r="CP16" s="121">
        <f>ROUNDUP([1]GB!CP18*1.045,0)</f>
        <v>521</v>
      </c>
      <c r="CQ16" s="121">
        <f>ROUNDUP([1]GB!CQ18*1.045,0)</f>
        <v>521</v>
      </c>
      <c r="CR16" s="121">
        <f>ROUNDUP([1]GB!CR18*1.045,0)</f>
        <v>536</v>
      </c>
      <c r="CS16" s="121">
        <f>ROUNDUP([1]GB!CS18*1.045,0)</f>
        <v>536</v>
      </c>
      <c r="CT16" s="121">
        <f>ROUNDUP([1]GB!CT18*1.045,0)</f>
        <v>536</v>
      </c>
      <c r="CU16" s="121">
        <f>ROUNDUP([1]GB!CU18*1.045,0)</f>
        <v>633</v>
      </c>
      <c r="CV16" s="121">
        <f>ROUNDUP([1]GB!CV18*1.045,0)</f>
        <v>521</v>
      </c>
      <c r="CW16" s="121">
        <f>ROUNDUP([1]GB!CW18*1.045,0)</f>
        <v>571</v>
      </c>
      <c r="CX16" s="121">
        <f>ROUNDUP([1]GB!CX18*1.045,0)</f>
        <v>521</v>
      </c>
      <c r="CY16" s="121">
        <f>ROUNDUP([1]GB!CY18*1.045,0)</f>
        <v>571</v>
      </c>
      <c r="CZ16" s="121">
        <f>ROUNDUP([1]GB!CZ18*1.045,0)</f>
        <v>571</v>
      </c>
      <c r="DA16" s="121">
        <f>ROUNDUP([1]GB!DA18*1.045,0)</f>
        <v>633</v>
      </c>
      <c r="DB16" s="121">
        <f>ROUNDUP([1]GB!DB18*1.045,0)</f>
        <v>571</v>
      </c>
      <c r="DC16" s="121">
        <f>ROUNDUP([1]GB!DC18*1.045,0)</f>
        <v>536</v>
      </c>
      <c r="DD16" s="121">
        <f>ROUNDUP([1]GB!DD18*1.045,0)</f>
        <v>633</v>
      </c>
      <c r="DE16" s="121"/>
      <c r="DF16" s="121">
        <f>ROUNDUP([1]GB!DF18*1.045,0)</f>
        <v>571</v>
      </c>
      <c r="DG16" s="121">
        <f>ROUNDUP([1]GB!DG18*1.045,0)</f>
        <v>521</v>
      </c>
      <c r="DH16" s="121">
        <f>ROUNDUP([1]GB!DH18*1.045,0)</f>
        <v>521</v>
      </c>
      <c r="DI16" s="121">
        <f>ROUNDUP([1]GB!DI18*1.045,0)</f>
        <v>521</v>
      </c>
      <c r="DJ16" s="121">
        <f>ROUNDUP([1]GB!DJ18*1.045,0)</f>
        <v>571</v>
      </c>
      <c r="DK16" s="121">
        <f>ROUNDUP([1]GB!DK18*1.045,0)</f>
        <v>521</v>
      </c>
      <c r="DL16" s="121">
        <f>ROUNDUP([1]GB!DL18*1.045,0)</f>
        <v>521</v>
      </c>
      <c r="DM16" s="121">
        <f>ROUNDUP([1]GB!DM18*1.045,0)</f>
        <v>536</v>
      </c>
      <c r="DN16" s="121">
        <f>ROUNDUP([1]GB!DN18*1.045,0)</f>
        <v>571</v>
      </c>
      <c r="DO16" s="121">
        <f>ROUNDUP([1]GB!DO18*1.045,0)</f>
        <v>571</v>
      </c>
      <c r="DP16" s="121">
        <f>ROUNDUP([1]GB!DP18*1.045,0)</f>
        <v>571</v>
      </c>
      <c r="DQ16" s="121">
        <f>ROUNDUP([1]GB!DQ18*1.045,0)</f>
        <v>571</v>
      </c>
      <c r="DR16" s="121">
        <f>ROUNDUP([1]GB!DR18*1.045,0)</f>
        <v>536</v>
      </c>
    </row>
    <row r="17" spans="1:122" ht="15" customHeight="1">
      <c r="A17" s="2">
        <v>4200</v>
      </c>
      <c r="B17" s="2">
        <v>2.4</v>
      </c>
      <c r="C17" s="2">
        <v>6</v>
      </c>
      <c r="D17" s="2"/>
      <c r="E17" s="121"/>
      <c r="F17" s="121">
        <f>ROUNDUP([1]GB!F19*1.045,0)</f>
        <v>585</v>
      </c>
      <c r="G17" s="121">
        <f>ROUNDUP([1]GB!G19*1.045,0)</f>
        <v>643</v>
      </c>
      <c r="H17" s="121">
        <f>ROUNDUP([1]GB!H19*1.045,0)</f>
        <v>643</v>
      </c>
      <c r="I17" s="121">
        <f>ROUNDUP([1]GB!I19*1.045,0)</f>
        <v>643</v>
      </c>
      <c r="J17" s="121">
        <f>ROUNDUP([1]GB!J19*1.045,0)</f>
        <v>605</v>
      </c>
      <c r="K17" s="121">
        <f>ROUNDUP([1]GB!K19*1.045,0)</f>
        <v>643</v>
      </c>
      <c r="L17" s="121">
        <f>ROUNDUP([1]GB!L19*1.045,0)</f>
        <v>643</v>
      </c>
      <c r="M17" s="121">
        <f>ROUNDUP([1]GB!M19*1.045,0)</f>
        <v>605</v>
      </c>
      <c r="N17" s="121">
        <f>ROUNDUP([1]GB!N19*1.045,0)</f>
        <v>585</v>
      </c>
      <c r="O17" s="121">
        <f>ROUNDUP([1]GB!O19*1.045,0)</f>
        <v>643</v>
      </c>
      <c r="P17" s="121">
        <f>ROUNDUP([1]GB!P19*1.045,0)</f>
        <v>716</v>
      </c>
      <c r="Q17" s="121">
        <f>ROUNDUP([1]GB!Q19*1.045,0)</f>
        <v>585</v>
      </c>
      <c r="R17" s="121">
        <f>ROUNDUP([1]GB!R19*1.045,0)</f>
        <v>643</v>
      </c>
      <c r="S17" s="121">
        <f>ROUNDUP([1]GB!S19*1.045,0)</f>
        <v>643</v>
      </c>
      <c r="T17" s="121">
        <f>ROUNDUP([1]GB!T19*1.045,0)</f>
        <v>585</v>
      </c>
      <c r="U17" s="121">
        <f>ROUNDUP([1]GB!U19*1.045,0)</f>
        <v>585</v>
      </c>
      <c r="V17" s="121">
        <f>ROUNDUP([1]GB!V19*1.045,0)</f>
        <v>585</v>
      </c>
      <c r="W17" s="121">
        <f>ROUNDUP([1]GB!W19*1.045,0)</f>
        <v>605</v>
      </c>
      <c r="X17" s="121">
        <f>ROUNDUP([1]GB!X19*1.045,0)</f>
        <v>605</v>
      </c>
      <c r="Y17" s="121">
        <f>ROUNDUP([1]GB!Y19*1.045,0)</f>
        <v>643</v>
      </c>
      <c r="Z17" s="121">
        <f>ROUNDUP([1]GB!Z19*1.045,0)</f>
        <v>585</v>
      </c>
      <c r="AA17" s="121"/>
      <c r="AB17" s="121">
        <f>ROUNDUP([1]GB!AB19*1.045,0)</f>
        <v>605</v>
      </c>
      <c r="AC17" s="121">
        <f>ROUNDUP([1]GB!AC19*1.045,0)</f>
        <v>854</v>
      </c>
      <c r="AD17" s="121">
        <f>ROUNDUP([1]GB!AD19*1.045,0)</f>
        <v>716</v>
      </c>
      <c r="AE17" s="121">
        <f>ROUNDUP([1]GB!AE19*1.045,0)</f>
        <v>643</v>
      </c>
      <c r="AF17" s="121">
        <f>ROUNDUP([1]GB!AF19*1.045,0)</f>
        <v>605</v>
      </c>
      <c r="AG17" s="121">
        <f>ROUNDUP([1]GB!AG19*1.045,0)</f>
        <v>643</v>
      </c>
      <c r="AH17" s="121">
        <f>ROUNDUP([1]GB!AH19*1.045,0)</f>
        <v>643</v>
      </c>
      <c r="AI17" s="121">
        <f>ROUNDUP([1]GB!AI19*1.045,0)</f>
        <v>585</v>
      </c>
      <c r="AJ17" s="121">
        <f>ROUNDUP([1]GB!AJ19*1.045,0)</f>
        <v>585</v>
      </c>
      <c r="AK17" s="121">
        <f>ROUNDUP([1]GB!AK19*1.045,0)</f>
        <v>854</v>
      </c>
      <c r="AL17" s="121">
        <f>ROUNDUP([1]GB!AL19*1.045,0)</f>
        <v>585</v>
      </c>
      <c r="AM17" s="121">
        <f>ROUNDUP([1]GB!AM19*1.045,0)</f>
        <v>643</v>
      </c>
      <c r="AN17" s="121">
        <f>ROUNDUP([1]GB!AN19*1.045,0)</f>
        <v>854</v>
      </c>
      <c r="AO17" s="121">
        <f>ROUNDUP([1]GB!AO19*1.045,0)</f>
        <v>716</v>
      </c>
      <c r="AP17" s="121">
        <f>ROUNDUP([1]GB!AP19*1.045,0)</f>
        <v>854</v>
      </c>
      <c r="AQ17" s="121">
        <f>ROUNDUP([1]GB!AQ19*1.045,0)</f>
        <v>605</v>
      </c>
      <c r="AR17" s="121">
        <f>ROUNDUP([1]GB!AR19*1.045,0)</f>
        <v>585</v>
      </c>
      <c r="AS17" s="121">
        <f>ROUNDUP([1]GB!AS19*1.045,0)</f>
        <v>585</v>
      </c>
      <c r="AT17" s="121">
        <f>ROUNDUP([1]GB!AT19*1.045,0)</f>
        <v>643</v>
      </c>
      <c r="AU17" s="121">
        <f>ROUNDUP([1]GB!AU19*1.045,0)</f>
        <v>605</v>
      </c>
      <c r="AV17" s="121">
        <f>ROUNDUP([1]GB!AV19*1.045,0)</f>
        <v>585</v>
      </c>
      <c r="AW17" s="121">
        <f>ROUNDUP([1]GB!AW19*1.045,0)</f>
        <v>643</v>
      </c>
      <c r="AX17" s="121">
        <f>ROUNDUP([1]GB!AX19*1.045,0)</f>
        <v>605</v>
      </c>
      <c r="AY17" s="121">
        <f>ROUNDUP([1]GB!AY19*1.045,0)</f>
        <v>643</v>
      </c>
      <c r="AZ17" s="121">
        <f>ROUNDUP([1]GB!AZ19*1.045,0)</f>
        <v>585</v>
      </c>
      <c r="BA17" s="121">
        <f>ROUNDUP([1]GB!BA19*1.045,0)</f>
        <v>585</v>
      </c>
      <c r="BB17" s="121"/>
      <c r="BC17" s="121">
        <f>ROUNDUP([1]GB!BC19*1.045,0)</f>
        <v>854</v>
      </c>
      <c r="BD17" s="121">
        <f>ROUNDUP([1]GB!BD19*1.045,0)</f>
        <v>585</v>
      </c>
      <c r="BE17" s="121"/>
      <c r="BF17" s="121"/>
      <c r="BG17" s="121">
        <f>ROUNDUP([1]GB!BG19*1.045,0)</f>
        <v>643</v>
      </c>
      <c r="BH17" s="121">
        <f>ROUNDUP([1]GB!BH19*1.045,0)</f>
        <v>643</v>
      </c>
      <c r="BI17" s="121">
        <f>ROUNDUP([1]GB!BI19*1.045,0)</f>
        <v>643</v>
      </c>
      <c r="BJ17" s="121">
        <f>ROUNDUP([1]GB!BJ19*1.045,0)</f>
        <v>605</v>
      </c>
      <c r="BK17" s="121">
        <f>ROUNDUP([1]GB!BK19*1.045,0)</f>
        <v>716</v>
      </c>
      <c r="BL17" s="121">
        <f>ROUNDUP([1]GB!BL19*1.045,0)</f>
        <v>605</v>
      </c>
      <c r="BM17" s="121">
        <f>ROUNDUP([1]GB!BM19*1.045,0)</f>
        <v>605</v>
      </c>
      <c r="BN17" s="121">
        <f>ROUNDUP([1]GB!BN19*1.045,0)</f>
        <v>585</v>
      </c>
      <c r="BO17" s="121">
        <f>ROUNDUP([1]GB!BO19*1.045,0)</f>
        <v>643</v>
      </c>
      <c r="BP17" s="121">
        <f>ROUNDUP([1]GB!BP19*1.045,0)</f>
        <v>585</v>
      </c>
      <c r="BQ17" s="121">
        <f>ROUNDUP([1]GB!BQ19*1.045,0)</f>
        <v>605</v>
      </c>
      <c r="BR17" s="121">
        <f>ROUNDUP([1]GB!BR19*1.045,0)</f>
        <v>854</v>
      </c>
      <c r="BS17" s="121">
        <f>ROUNDUP([1]GB!BS19*1.045,0)</f>
        <v>585</v>
      </c>
      <c r="BT17" s="121">
        <f>ROUNDUP([1]GB!BT19*1.045,0)</f>
        <v>716</v>
      </c>
      <c r="BU17" s="121">
        <f>ROUNDUP([1]GB!BU19*1.045,0)</f>
        <v>605</v>
      </c>
      <c r="BV17" s="121">
        <f>ROUNDUP([1]GB!BV19*1.045,0)</f>
        <v>605</v>
      </c>
      <c r="BW17" s="121">
        <f>ROUNDUP([1]GB!BW19*1.045,0)</f>
        <v>643</v>
      </c>
      <c r="BX17" s="121">
        <f>ROUNDUP([1]GB!BX19*1.045,0)</f>
        <v>605</v>
      </c>
      <c r="BY17" s="121">
        <f>ROUNDUP([1]GB!BY19*1.045,0)</f>
        <v>585</v>
      </c>
      <c r="BZ17" s="121">
        <f>ROUNDUP([1]GB!BZ19*1.045,0)</f>
        <v>643</v>
      </c>
      <c r="CA17" s="121">
        <f>ROUNDUP([1]GB!CA19*1.045,0)</f>
        <v>605</v>
      </c>
      <c r="CB17" s="121"/>
      <c r="CC17" s="121">
        <f>ROUNDUP([1]GB!CC19*1.045,0)</f>
        <v>605</v>
      </c>
      <c r="CD17" s="121"/>
      <c r="CE17" s="121">
        <f>ROUNDUP([1]GB!CE19*1.045,0)</f>
        <v>854</v>
      </c>
      <c r="CF17" s="121">
        <f>ROUNDUP([1]GB!CF19*1.045,0)</f>
        <v>605</v>
      </c>
      <c r="CG17" s="121">
        <f>ROUNDUP([1]GB!CG19*1.045,0)</f>
        <v>643</v>
      </c>
      <c r="CH17" s="121">
        <f>ROUNDUP([1]GB!CH19*1.045,0)</f>
        <v>605</v>
      </c>
      <c r="CI17" s="121">
        <f>ROUNDUP([1]GB!CI19*1.045,0)</f>
        <v>585</v>
      </c>
      <c r="CJ17" s="121">
        <f>ROUNDUP([1]GB!CJ19*1.045,0)</f>
        <v>585</v>
      </c>
      <c r="CK17" s="121">
        <f>ROUNDUP([1]GB!CK19*1.045,0)</f>
        <v>605</v>
      </c>
      <c r="CL17" s="121">
        <f>ROUNDUP([1]GB!CL19*1.045,0)</f>
        <v>716</v>
      </c>
      <c r="CM17" s="121">
        <f>ROUNDUP([1]GB!CM19*1.045,0)</f>
        <v>585</v>
      </c>
      <c r="CN17" s="121">
        <f>ROUNDUP([1]GB!CN19*1.045,0)</f>
        <v>585</v>
      </c>
      <c r="CO17" s="121">
        <f>ROUNDUP([1]GB!CO19*1.045,0)</f>
        <v>643</v>
      </c>
      <c r="CP17" s="121">
        <f>ROUNDUP([1]GB!CP19*1.045,0)</f>
        <v>585</v>
      </c>
      <c r="CQ17" s="121">
        <f>ROUNDUP([1]GB!CQ19*1.045,0)</f>
        <v>585</v>
      </c>
      <c r="CR17" s="121">
        <f>ROUNDUP([1]GB!CR19*1.045,0)</f>
        <v>605</v>
      </c>
      <c r="CS17" s="121">
        <f>ROUNDUP([1]GB!CS19*1.045,0)</f>
        <v>605</v>
      </c>
      <c r="CT17" s="121">
        <f>ROUNDUP([1]GB!CT19*1.045,0)</f>
        <v>605</v>
      </c>
      <c r="CU17" s="121">
        <f>ROUNDUP([1]GB!CU19*1.045,0)</f>
        <v>716</v>
      </c>
      <c r="CV17" s="121">
        <f>ROUNDUP([1]GB!CV19*1.045,0)</f>
        <v>585</v>
      </c>
      <c r="CW17" s="121">
        <f>ROUNDUP([1]GB!CW19*1.045,0)</f>
        <v>643</v>
      </c>
      <c r="CX17" s="121">
        <f>ROUNDUP([1]GB!CX19*1.045,0)</f>
        <v>585</v>
      </c>
      <c r="CY17" s="121">
        <f>ROUNDUP([1]GB!CY19*1.045,0)</f>
        <v>643</v>
      </c>
      <c r="CZ17" s="121">
        <f>ROUNDUP([1]GB!CZ19*1.045,0)</f>
        <v>643</v>
      </c>
      <c r="DA17" s="121">
        <f>ROUNDUP([1]GB!DA19*1.045,0)</f>
        <v>716</v>
      </c>
      <c r="DB17" s="121">
        <f>ROUNDUP([1]GB!DB19*1.045,0)</f>
        <v>643</v>
      </c>
      <c r="DC17" s="121">
        <f>ROUNDUP([1]GB!DC19*1.045,0)</f>
        <v>605</v>
      </c>
      <c r="DD17" s="121">
        <f>ROUNDUP([1]GB!DD19*1.045,0)</f>
        <v>716</v>
      </c>
      <c r="DE17" s="121"/>
      <c r="DF17" s="121">
        <f>ROUNDUP([1]GB!DF19*1.045,0)</f>
        <v>643</v>
      </c>
      <c r="DG17" s="121">
        <f>ROUNDUP([1]GB!DG19*1.045,0)</f>
        <v>585</v>
      </c>
      <c r="DH17" s="121">
        <f>ROUNDUP([1]GB!DH19*1.045,0)</f>
        <v>585</v>
      </c>
      <c r="DI17" s="121">
        <f>ROUNDUP([1]GB!DI19*1.045,0)</f>
        <v>585</v>
      </c>
      <c r="DJ17" s="121">
        <f>ROUNDUP([1]GB!DJ19*1.045,0)</f>
        <v>643</v>
      </c>
      <c r="DK17" s="121">
        <f>ROUNDUP([1]GB!DK19*1.045,0)</f>
        <v>585</v>
      </c>
      <c r="DL17" s="121">
        <f>ROUNDUP([1]GB!DL19*1.045,0)</f>
        <v>585</v>
      </c>
      <c r="DM17" s="121">
        <f>ROUNDUP([1]GB!DM19*1.045,0)</f>
        <v>605</v>
      </c>
      <c r="DN17" s="121">
        <f>ROUNDUP([1]GB!DN19*1.045,0)</f>
        <v>643</v>
      </c>
      <c r="DO17" s="121">
        <f>ROUNDUP([1]GB!DO19*1.045,0)</f>
        <v>643</v>
      </c>
      <c r="DP17" s="121">
        <f>ROUNDUP([1]GB!DP19*1.045,0)</f>
        <v>643</v>
      </c>
      <c r="DQ17" s="121">
        <f>ROUNDUP([1]GB!DQ19*1.045,0)</f>
        <v>643</v>
      </c>
      <c r="DR17" s="121">
        <f>ROUNDUP([1]GB!DR19*1.045,0)</f>
        <v>605</v>
      </c>
    </row>
    <row r="18" spans="1:122" ht="15" customHeight="1">
      <c r="A18" s="2">
        <v>4375</v>
      </c>
      <c r="B18" s="2">
        <v>2.5</v>
      </c>
      <c r="C18" s="2"/>
      <c r="D18" s="2">
        <v>5</v>
      </c>
      <c r="E18" s="121"/>
      <c r="F18" s="121">
        <f>ROUNDUP([1]GB!F20*1.045,0)</f>
        <v>600</v>
      </c>
      <c r="G18" s="121">
        <f>ROUNDUP([1]GB!G20*1.045,0)</f>
        <v>662</v>
      </c>
      <c r="H18" s="121">
        <f>ROUNDUP([1]GB!H20*1.045,0)</f>
        <v>662</v>
      </c>
      <c r="I18" s="121">
        <f>ROUNDUP([1]GB!I20*1.045,0)</f>
        <v>662</v>
      </c>
      <c r="J18" s="121">
        <f>ROUNDUP([1]GB!J20*1.045,0)</f>
        <v>620</v>
      </c>
      <c r="K18" s="121">
        <f>ROUNDUP([1]GB!K20*1.045,0)</f>
        <v>662</v>
      </c>
      <c r="L18" s="121">
        <f>ROUNDUP([1]GB!L20*1.045,0)</f>
        <v>662</v>
      </c>
      <c r="M18" s="121">
        <f>ROUNDUP([1]GB!M20*1.045,0)</f>
        <v>620</v>
      </c>
      <c r="N18" s="121">
        <f>ROUNDUP([1]GB!N20*1.045,0)</f>
        <v>600</v>
      </c>
      <c r="O18" s="121">
        <f>ROUNDUP([1]GB!O20*1.045,0)</f>
        <v>662</v>
      </c>
      <c r="P18" s="121">
        <f>ROUNDUP([1]GB!P20*1.045,0)</f>
        <v>738</v>
      </c>
      <c r="Q18" s="121">
        <f>ROUNDUP([1]GB!Q20*1.045,0)</f>
        <v>600</v>
      </c>
      <c r="R18" s="121">
        <f>ROUNDUP([1]GB!R20*1.045,0)</f>
        <v>662</v>
      </c>
      <c r="S18" s="121">
        <f>ROUNDUP([1]GB!S20*1.045,0)</f>
        <v>662</v>
      </c>
      <c r="T18" s="121">
        <f>ROUNDUP([1]GB!T20*1.045,0)</f>
        <v>600</v>
      </c>
      <c r="U18" s="121">
        <f>ROUNDUP([1]GB!U20*1.045,0)</f>
        <v>600</v>
      </c>
      <c r="V18" s="121">
        <f>ROUNDUP([1]GB!V20*1.045,0)</f>
        <v>600</v>
      </c>
      <c r="W18" s="121">
        <f>ROUNDUP([1]GB!W20*1.045,0)</f>
        <v>620</v>
      </c>
      <c r="X18" s="121">
        <f>ROUNDUP([1]GB!X20*1.045,0)</f>
        <v>620</v>
      </c>
      <c r="Y18" s="121">
        <f>ROUNDUP([1]GB!Y20*1.045,0)</f>
        <v>662</v>
      </c>
      <c r="Z18" s="121">
        <f>ROUNDUP([1]GB!Z20*1.045,0)</f>
        <v>600</v>
      </c>
      <c r="AA18" s="121"/>
      <c r="AB18" s="121">
        <f>ROUNDUP([1]GB!AB20*1.045,0)</f>
        <v>620</v>
      </c>
      <c r="AC18" s="121">
        <f>ROUNDUP([1]GB!AC20*1.045,0)</f>
        <v>880</v>
      </c>
      <c r="AD18" s="121">
        <f>ROUNDUP([1]GB!AD20*1.045,0)</f>
        <v>738</v>
      </c>
      <c r="AE18" s="121">
        <f>ROUNDUP([1]GB!AE20*1.045,0)</f>
        <v>662</v>
      </c>
      <c r="AF18" s="121">
        <f>ROUNDUP([1]GB!AF20*1.045,0)</f>
        <v>620</v>
      </c>
      <c r="AG18" s="121">
        <f>ROUNDUP([1]GB!AG20*1.045,0)</f>
        <v>662</v>
      </c>
      <c r="AH18" s="121">
        <f>ROUNDUP([1]GB!AH20*1.045,0)</f>
        <v>662</v>
      </c>
      <c r="AI18" s="121">
        <f>ROUNDUP([1]GB!AI20*1.045,0)</f>
        <v>600</v>
      </c>
      <c r="AJ18" s="121">
        <f>ROUNDUP([1]GB!AJ20*1.045,0)</f>
        <v>600</v>
      </c>
      <c r="AK18" s="121">
        <f>ROUNDUP([1]GB!AK20*1.045,0)</f>
        <v>880</v>
      </c>
      <c r="AL18" s="121">
        <f>ROUNDUP([1]GB!AL20*1.045,0)</f>
        <v>600</v>
      </c>
      <c r="AM18" s="121">
        <f>ROUNDUP([1]GB!AM20*1.045,0)</f>
        <v>662</v>
      </c>
      <c r="AN18" s="121">
        <f>ROUNDUP([1]GB!AN20*1.045,0)</f>
        <v>880</v>
      </c>
      <c r="AO18" s="121">
        <f>ROUNDUP([1]GB!AO20*1.045,0)</f>
        <v>738</v>
      </c>
      <c r="AP18" s="121">
        <f>ROUNDUP([1]GB!AP20*1.045,0)</f>
        <v>880</v>
      </c>
      <c r="AQ18" s="121">
        <f>ROUNDUP([1]GB!AQ20*1.045,0)</f>
        <v>620</v>
      </c>
      <c r="AR18" s="121">
        <f>ROUNDUP([1]GB!AR20*1.045,0)</f>
        <v>600</v>
      </c>
      <c r="AS18" s="121">
        <f>ROUNDUP([1]GB!AS20*1.045,0)</f>
        <v>600</v>
      </c>
      <c r="AT18" s="121">
        <f>ROUNDUP([1]GB!AT20*1.045,0)</f>
        <v>662</v>
      </c>
      <c r="AU18" s="121">
        <f>ROUNDUP([1]GB!AU20*1.045,0)</f>
        <v>620</v>
      </c>
      <c r="AV18" s="121">
        <f>ROUNDUP([1]GB!AV20*1.045,0)</f>
        <v>600</v>
      </c>
      <c r="AW18" s="121">
        <f>ROUNDUP([1]GB!AW20*1.045,0)</f>
        <v>662</v>
      </c>
      <c r="AX18" s="121">
        <f>ROUNDUP([1]GB!AX20*1.045,0)</f>
        <v>620</v>
      </c>
      <c r="AY18" s="121">
        <f>ROUNDUP([1]GB!AY20*1.045,0)</f>
        <v>662</v>
      </c>
      <c r="AZ18" s="121">
        <f>ROUNDUP([1]GB!AZ20*1.045,0)</f>
        <v>600</v>
      </c>
      <c r="BA18" s="121">
        <f>ROUNDUP([1]GB!BA20*1.045,0)</f>
        <v>600</v>
      </c>
      <c r="BB18" s="121"/>
      <c r="BC18" s="121">
        <f>ROUNDUP([1]GB!BC20*1.045,0)</f>
        <v>880</v>
      </c>
      <c r="BD18" s="121">
        <f>ROUNDUP([1]GB!BD20*1.045,0)</f>
        <v>600</v>
      </c>
      <c r="BE18" s="121"/>
      <c r="BF18" s="121"/>
      <c r="BG18" s="121">
        <f>ROUNDUP([1]GB!BG20*1.045,0)</f>
        <v>662</v>
      </c>
      <c r="BH18" s="121">
        <f>ROUNDUP([1]GB!BH20*1.045,0)</f>
        <v>662</v>
      </c>
      <c r="BI18" s="121">
        <f>ROUNDUP([1]GB!BI20*1.045,0)</f>
        <v>662</v>
      </c>
      <c r="BJ18" s="121">
        <f>ROUNDUP([1]GB!BJ20*1.045,0)</f>
        <v>620</v>
      </c>
      <c r="BK18" s="121">
        <f>ROUNDUP([1]GB!BK20*1.045,0)</f>
        <v>738</v>
      </c>
      <c r="BL18" s="121">
        <f>ROUNDUP([1]GB!BL20*1.045,0)</f>
        <v>620</v>
      </c>
      <c r="BM18" s="121">
        <f>ROUNDUP([1]GB!BM20*1.045,0)</f>
        <v>620</v>
      </c>
      <c r="BN18" s="121">
        <f>ROUNDUP([1]GB!BN20*1.045,0)</f>
        <v>600</v>
      </c>
      <c r="BO18" s="121">
        <f>ROUNDUP([1]GB!BO20*1.045,0)</f>
        <v>662</v>
      </c>
      <c r="BP18" s="121">
        <f>ROUNDUP([1]GB!BP20*1.045,0)</f>
        <v>600</v>
      </c>
      <c r="BQ18" s="121">
        <f>ROUNDUP([1]GB!BQ20*1.045,0)</f>
        <v>620</v>
      </c>
      <c r="BR18" s="121">
        <f>ROUNDUP([1]GB!BR20*1.045,0)</f>
        <v>880</v>
      </c>
      <c r="BS18" s="121">
        <f>ROUNDUP([1]GB!BS20*1.045,0)</f>
        <v>600</v>
      </c>
      <c r="BT18" s="121">
        <f>ROUNDUP([1]GB!BT20*1.045,0)</f>
        <v>738</v>
      </c>
      <c r="BU18" s="121">
        <f>ROUNDUP([1]GB!BU20*1.045,0)</f>
        <v>620</v>
      </c>
      <c r="BV18" s="121">
        <f>ROUNDUP([1]GB!BV20*1.045,0)</f>
        <v>620</v>
      </c>
      <c r="BW18" s="121">
        <f>ROUNDUP([1]GB!BW20*1.045,0)</f>
        <v>662</v>
      </c>
      <c r="BX18" s="121">
        <f>ROUNDUP([1]GB!BX20*1.045,0)</f>
        <v>620</v>
      </c>
      <c r="BY18" s="121">
        <f>ROUNDUP([1]GB!BY20*1.045,0)</f>
        <v>600</v>
      </c>
      <c r="BZ18" s="121">
        <f>ROUNDUP([1]GB!BZ20*1.045,0)</f>
        <v>662</v>
      </c>
      <c r="CA18" s="121">
        <f>ROUNDUP([1]GB!CA20*1.045,0)</f>
        <v>620</v>
      </c>
      <c r="CB18" s="121"/>
      <c r="CC18" s="121">
        <f>ROUNDUP([1]GB!CC20*1.045,0)</f>
        <v>620</v>
      </c>
      <c r="CD18" s="121"/>
      <c r="CE18" s="121">
        <f>ROUNDUP([1]GB!CE20*1.045,0)</f>
        <v>880</v>
      </c>
      <c r="CF18" s="121">
        <f>ROUNDUP([1]GB!CF20*1.045,0)</f>
        <v>620</v>
      </c>
      <c r="CG18" s="121">
        <f>ROUNDUP([1]GB!CG20*1.045,0)</f>
        <v>662</v>
      </c>
      <c r="CH18" s="121">
        <f>ROUNDUP([1]GB!CH20*1.045,0)</f>
        <v>620</v>
      </c>
      <c r="CI18" s="121">
        <f>ROUNDUP([1]GB!CI20*1.045,0)</f>
        <v>600</v>
      </c>
      <c r="CJ18" s="121">
        <f>ROUNDUP([1]GB!CJ20*1.045,0)</f>
        <v>600</v>
      </c>
      <c r="CK18" s="121">
        <f>ROUNDUP([1]GB!CK20*1.045,0)</f>
        <v>620</v>
      </c>
      <c r="CL18" s="121">
        <f>ROUNDUP([1]GB!CL20*1.045,0)</f>
        <v>738</v>
      </c>
      <c r="CM18" s="121">
        <f>ROUNDUP([1]GB!CM20*1.045,0)</f>
        <v>600</v>
      </c>
      <c r="CN18" s="121">
        <f>ROUNDUP([1]GB!CN20*1.045,0)</f>
        <v>600</v>
      </c>
      <c r="CO18" s="121">
        <f>ROUNDUP([1]GB!CO20*1.045,0)</f>
        <v>662</v>
      </c>
      <c r="CP18" s="121">
        <f>ROUNDUP([1]GB!CP20*1.045,0)</f>
        <v>600</v>
      </c>
      <c r="CQ18" s="121">
        <f>ROUNDUP([1]GB!CQ20*1.045,0)</f>
        <v>600</v>
      </c>
      <c r="CR18" s="121">
        <f>ROUNDUP([1]GB!CR20*1.045,0)</f>
        <v>620</v>
      </c>
      <c r="CS18" s="121">
        <f>ROUNDUP([1]GB!CS20*1.045,0)</f>
        <v>620</v>
      </c>
      <c r="CT18" s="121">
        <f>ROUNDUP([1]GB!CT20*1.045,0)</f>
        <v>620</v>
      </c>
      <c r="CU18" s="121">
        <f>ROUNDUP([1]GB!CU20*1.045,0)</f>
        <v>738</v>
      </c>
      <c r="CV18" s="121">
        <f>ROUNDUP([1]GB!CV20*1.045,0)</f>
        <v>600</v>
      </c>
      <c r="CW18" s="121">
        <f>ROUNDUP([1]GB!CW20*1.045,0)</f>
        <v>662</v>
      </c>
      <c r="CX18" s="121">
        <f>ROUNDUP([1]GB!CX20*1.045,0)</f>
        <v>600</v>
      </c>
      <c r="CY18" s="121">
        <f>ROUNDUP([1]GB!CY20*1.045,0)</f>
        <v>662</v>
      </c>
      <c r="CZ18" s="121">
        <f>ROUNDUP([1]GB!CZ20*1.045,0)</f>
        <v>662</v>
      </c>
      <c r="DA18" s="121">
        <f>ROUNDUP([1]GB!DA20*1.045,0)</f>
        <v>738</v>
      </c>
      <c r="DB18" s="121">
        <f>ROUNDUP([1]GB!DB20*1.045,0)</f>
        <v>662</v>
      </c>
      <c r="DC18" s="121">
        <f>ROUNDUP([1]GB!DC20*1.045,0)</f>
        <v>620</v>
      </c>
      <c r="DD18" s="121">
        <f>ROUNDUP([1]GB!DD20*1.045,0)</f>
        <v>738</v>
      </c>
      <c r="DE18" s="121"/>
      <c r="DF18" s="121">
        <f>ROUNDUP([1]GB!DF20*1.045,0)</f>
        <v>662</v>
      </c>
      <c r="DG18" s="121">
        <f>ROUNDUP([1]GB!DG20*1.045,0)</f>
        <v>600</v>
      </c>
      <c r="DH18" s="121">
        <f>ROUNDUP([1]GB!DH20*1.045,0)</f>
        <v>600</v>
      </c>
      <c r="DI18" s="121">
        <f>ROUNDUP([1]GB!DI20*1.045,0)</f>
        <v>600</v>
      </c>
      <c r="DJ18" s="121">
        <f>ROUNDUP([1]GB!DJ20*1.045,0)</f>
        <v>662</v>
      </c>
      <c r="DK18" s="121">
        <f>ROUNDUP([1]GB!DK20*1.045,0)</f>
        <v>600</v>
      </c>
      <c r="DL18" s="121">
        <f>ROUNDUP([1]GB!DL20*1.045,0)</f>
        <v>600</v>
      </c>
      <c r="DM18" s="121">
        <f>ROUNDUP([1]GB!DM20*1.045,0)</f>
        <v>620</v>
      </c>
      <c r="DN18" s="121">
        <f>ROUNDUP([1]GB!DN20*1.045,0)</f>
        <v>662</v>
      </c>
      <c r="DO18" s="121">
        <f>ROUNDUP([1]GB!DO20*1.045,0)</f>
        <v>662</v>
      </c>
      <c r="DP18" s="121">
        <f>ROUNDUP([1]GB!DP20*1.045,0)</f>
        <v>662</v>
      </c>
      <c r="DQ18" s="121">
        <f>ROUNDUP([1]GB!DQ20*1.045,0)</f>
        <v>662</v>
      </c>
      <c r="DR18" s="121">
        <f>ROUNDUP([1]GB!DR20*1.045,0)</f>
        <v>620</v>
      </c>
    </row>
    <row r="19" spans="1:122" ht="15" customHeight="1">
      <c r="A19" s="2">
        <v>4900</v>
      </c>
      <c r="B19" s="2">
        <v>2.8</v>
      </c>
      <c r="C19" s="2">
        <v>7</v>
      </c>
      <c r="D19" s="2"/>
      <c r="E19" s="121"/>
      <c r="F19" s="121">
        <f>ROUNDUP([1]GB!F21*1.045,0)</f>
        <v>649</v>
      </c>
      <c r="G19" s="121">
        <f>ROUNDUP([1]GB!G21*1.045,0)</f>
        <v>717</v>
      </c>
      <c r="H19" s="121">
        <f>ROUNDUP([1]GB!H21*1.045,0)</f>
        <v>717</v>
      </c>
      <c r="I19" s="121">
        <f>ROUNDUP([1]GB!I21*1.045,0)</f>
        <v>717</v>
      </c>
      <c r="J19" s="121">
        <f>ROUNDUP([1]GB!J21*1.045,0)</f>
        <v>672</v>
      </c>
      <c r="K19" s="121">
        <f>ROUNDUP([1]GB!K21*1.045,0)</f>
        <v>717</v>
      </c>
      <c r="L19" s="121">
        <f>ROUNDUP([1]GB!L21*1.045,0)</f>
        <v>717</v>
      </c>
      <c r="M19" s="121">
        <f>ROUNDUP([1]GB!M21*1.045,0)</f>
        <v>672</v>
      </c>
      <c r="N19" s="121">
        <f>ROUNDUP([1]GB!N21*1.045,0)</f>
        <v>649</v>
      </c>
      <c r="O19" s="121">
        <f>ROUNDUP([1]GB!O21*1.045,0)</f>
        <v>717</v>
      </c>
      <c r="P19" s="121">
        <f>ROUNDUP([1]GB!P21*1.045,0)</f>
        <v>800</v>
      </c>
      <c r="Q19" s="121">
        <f>ROUNDUP([1]GB!Q21*1.045,0)</f>
        <v>649</v>
      </c>
      <c r="R19" s="121">
        <f>ROUNDUP([1]GB!R21*1.045,0)</f>
        <v>717</v>
      </c>
      <c r="S19" s="121">
        <f>ROUNDUP([1]GB!S21*1.045,0)</f>
        <v>717</v>
      </c>
      <c r="T19" s="121">
        <f>ROUNDUP([1]GB!T21*1.045,0)</f>
        <v>649</v>
      </c>
      <c r="U19" s="121">
        <f>ROUNDUP([1]GB!U21*1.045,0)</f>
        <v>649</v>
      </c>
      <c r="V19" s="121">
        <f>ROUNDUP([1]GB!V21*1.045,0)</f>
        <v>649</v>
      </c>
      <c r="W19" s="121">
        <f>ROUNDUP([1]GB!W21*1.045,0)</f>
        <v>672</v>
      </c>
      <c r="X19" s="121">
        <f>ROUNDUP([1]GB!X21*1.045,0)</f>
        <v>672</v>
      </c>
      <c r="Y19" s="121">
        <f>ROUNDUP([1]GB!Y21*1.045,0)</f>
        <v>717</v>
      </c>
      <c r="Z19" s="121">
        <f>ROUNDUP([1]GB!Z21*1.045,0)</f>
        <v>649</v>
      </c>
      <c r="AA19" s="121"/>
      <c r="AB19" s="121">
        <f>ROUNDUP([1]GB!AB21*1.045,0)</f>
        <v>672</v>
      </c>
      <c r="AC19" s="121">
        <f>ROUNDUP([1]GB!AC21*1.045,0)</f>
        <v>956</v>
      </c>
      <c r="AD19" s="121">
        <f>ROUNDUP([1]GB!AD21*1.045,0)</f>
        <v>800</v>
      </c>
      <c r="AE19" s="121">
        <f>ROUNDUP([1]GB!AE21*1.045,0)</f>
        <v>717</v>
      </c>
      <c r="AF19" s="121">
        <f>ROUNDUP([1]GB!AF21*1.045,0)</f>
        <v>672</v>
      </c>
      <c r="AG19" s="121">
        <f>ROUNDUP([1]GB!AG21*1.045,0)</f>
        <v>717</v>
      </c>
      <c r="AH19" s="121">
        <f>ROUNDUP([1]GB!AH21*1.045,0)</f>
        <v>717</v>
      </c>
      <c r="AI19" s="121">
        <f>ROUNDUP([1]GB!AI21*1.045,0)</f>
        <v>649</v>
      </c>
      <c r="AJ19" s="121">
        <f>ROUNDUP([1]GB!AJ21*1.045,0)</f>
        <v>649</v>
      </c>
      <c r="AK19" s="121">
        <f>ROUNDUP([1]GB!AK21*1.045,0)</f>
        <v>956</v>
      </c>
      <c r="AL19" s="121">
        <f>ROUNDUP([1]GB!AL21*1.045,0)</f>
        <v>649</v>
      </c>
      <c r="AM19" s="121">
        <f>ROUNDUP([1]GB!AM21*1.045,0)</f>
        <v>717</v>
      </c>
      <c r="AN19" s="121">
        <f>ROUNDUP([1]GB!AN21*1.045,0)</f>
        <v>956</v>
      </c>
      <c r="AO19" s="121">
        <f>ROUNDUP([1]GB!AO21*1.045,0)</f>
        <v>800</v>
      </c>
      <c r="AP19" s="121">
        <f>ROUNDUP([1]GB!AP21*1.045,0)</f>
        <v>956</v>
      </c>
      <c r="AQ19" s="121">
        <f>ROUNDUP([1]GB!AQ21*1.045,0)</f>
        <v>672</v>
      </c>
      <c r="AR19" s="121">
        <f>ROUNDUP([1]GB!AR21*1.045,0)</f>
        <v>649</v>
      </c>
      <c r="AS19" s="121">
        <f>ROUNDUP([1]GB!AS21*1.045,0)</f>
        <v>649</v>
      </c>
      <c r="AT19" s="121">
        <f>ROUNDUP([1]GB!AT21*1.045,0)</f>
        <v>717</v>
      </c>
      <c r="AU19" s="121">
        <f>ROUNDUP([1]GB!AU21*1.045,0)</f>
        <v>672</v>
      </c>
      <c r="AV19" s="121">
        <f>ROUNDUP([1]GB!AV21*1.045,0)</f>
        <v>649</v>
      </c>
      <c r="AW19" s="121">
        <f>ROUNDUP([1]GB!AW21*1.045,0)</f>
        <v>717</v>
      </c>
      <c r="AX19" s="121">
        <f>ROUNDUP([1]GB!AX21*1.045,0)</f>
        <v>672</v>
      </c>
      <c r="AY19" s="121">
        <f>ROUNDUP([1]GB!AY21*1.045,0)</f>
        <v>717</v>
      </c>
      <c r="AZ19" s="121">
        <f>ROUNDUP([1]GB!AZ21*1.045,0)</f>
        <v>649</v>
      </c>
      <c r="BA19" s="121">
        <f>ROUNDUP([1]GB!BA21*1.045,0)</f>
        <v>649</v>
      </c>
      <c r="BB19" s="121"/>
      <c r="BC19" s="121">
        <f>ROUNDUP([1]GB!BC21*1.045,0)</f>
        <v>956</v>
      </c>
      <c r="BD19" s="121">
        <f>ROUNDUP([1]GB!BD21*1.045,0)</f>
        <v>649</v>
      </c>
      <c r="BE19" s="121"/>
      <c r="BF19" s="121"/>
      <c r="BG19" s="121">
        <f>ROUNDUP([1]GB!BG21*1.045,0)</f>
        <v>717</v>
      </c>
      <c r="BH19" s="121">
        <f>ROUNDUP([1]GB!BH21*1.045,0)</f>
        <v>717</v>
      </c>
      <c r="BI19" s="121">
        <f>ROUNDUP([1]GB!BI21*1.045,0)</f>
        <v>717</v>
      </c>
      <c r="BJ19" s="121">
        <f>ROUNDUP([1]GB!BJ21*1.045,0)</f>
        <v>672</v>
      </c>
      <c r="BK19" s="121">
        <f>ROUNDUP([1]GB!BK21*1.045,0)</f>
        <v>800</v>
      </c>
      <c r="BL19" s="121">
        <f>ROUNDUP([1]GB!BL21*1.045,0)</f>
        <v>672</v>
      </c>
      <c r="BM19" s="121">
        <f>ROUNDUP([1]GB!BM21*1.045,0)</f>
        <v>672</v>
      </c>
      <c r="BN19" s="121">
        <f>ROUNDUP([1]GB!BN21*1.045,0)</f>
        <v>649</v>
      </c>
      <c r="BO19" s="121">
        <f>ROUNDUP([1]GB!BO21*1.045,0)</f>
        <v>717</v>
      </c>
      <c r="BP19" s="121">
        <f>ROUNDUP([1]GB!BP21*1.045,0)</f>
        <v>649</v>
      </c>
      <c r="BQ19" s="121">
        <f>ROUNDUP([1]GB!BQ21*1.045,0)</f>
        <v>672</v>
      </c>
      <c r="BR19" s="121">
        <f>ROUNDUP([1]GB!BR21*1.045,0)</f>
        <v>956</v>
      </c>
      <c r="BS19" s="121">
        <f>ROUNDUP([1]GB!BS21*1.045,0)</f>
        <v>649</v>
      </c>
      <c r="BT19" s="121">
        <f>ROUNDUP([1]GB!BT21*1.045,0)</f>
        <v>800</v>
      </c>
      <c r="BU19" s="121">
        <f>ROUNDUP([1]GB!BU21*1.045,0)</f>
        <v>672</v>
      </c>
      <c r="BV19" s="121">
        <f>ROUNDUP([1]GB!BV21*1.045,0)</f>
        <v>672</v>
      </c>
      <c r="BW19" s="121">
        <f>ROUNDUP([1]GB!BW21*1.045,0)</f>
        <v>717</v>
      </c>
      <c r="BX19" s="121">
        <f>ROUNDUP([1]GB!BX21*1.045,0)</f>
        <v>672</v>
      </c>
      <c r="BY19" s="121">
        <f>ROUNDUP([1]GB!BY21*1.045,0)</f>
        <v>649</v>
      </c>
      <c r="BZ19" s="121">
        <f>ROUNDUP([1]GB!BZ21*1.045,0)</f>
        <v>717</v>
      </c>
      <c r="CA19" s="121">
        <f>ROUNDUP([1]GB!CA21*1.045,0)</f>
        <v>672</v>
      </c>
      <c r="CB19" s="121"/>
      <c r="CC19" s="121">
        <f>ROUNDUP([1]GB!CC21*1.045,0)</f>
        <v>672</v>
      </c>
      <c r="CD19" s="121"/>
      <c r="CE19" s="121">
        <f>ROUNDUP([1]GB!CE21*1.045,0)</f>
        <v>956</v>
      </c>
      <c r="CF19" s="121">
        <f>ROUNDUP([1]GB!CF21*1.045,0)</f>
        <v>672</v>
      </c>
      <c r="CG19" s="121">
        <f>ROUNDUP([1]GB!CG21*1.045,0)</f>
        <v>717</v>
      </c>
      <c r="CH19" s="121">
        <f>ROUNDUP([1]GB!CH21*1.045,0)</f>
        <v>672</v>
      </c>
      <c r="CI19" s="121">
        <f>ROUNDUP([1]GB!CI21*1.045,0)</f>
        <v>649</v>
      </c>
      <c r="CJ19" s="121">
        <f>ROUNDUP([1]GB!CJ21*1.045,0)</f>
        <v>649</v>
      </c>
      <c r="CK19" s="121">
        <f>ROUNDUP([1]GB!CK21*1.045,0)</f>
        <v>672</v>
      </c>
      <c r="CL19" s="121">
        <f>ROUNDUP([1]GB!CL21*1.045,0)</f>
        <v>800</v>
      </c>
      <c r="CM19" s="121">
        <f>ROUNDUP([1]GB!CM21*1.045,0)</f>
        <v>649</v>
      </c>
      <c r="CN19" s="121">
        <f>ROUNDUP([1]GB!CN21*1.045,0)</f>
        <v>649</v>
      </c>
      <c r="CO19" s="121">
        <f>ROUNDUP([1]GB!CO21*1.045,0)</f>
        <v>717</v>
      </c>
      <c r="CP19" s="121">
        <f>ROUNDUP([1]GB!CP21*1.045,0)</f>
        <v>649</v>
      </c>
      <c r="CQ19" s="121">
        <f>ROUNDUP([1]GB!CQ21*1.045,0)</f>
        <v>649</v>
      </c>
      <c r="CR19" s="121">
        <f>ROUNDUP([1]GB!CR21*1.045,0)</f>
        <v>672</v>
      </c>
      <c r="CS19" s="121">
        <f>ROUNDUP([1]GB!CS21*1.045,0)</f>
        <v>672</v>
      </c>
      <c r="CT19" s="121">
        <f>ROUNDUP([1]GB!CT21*1.045,0)</f>
        <v>672</v>
      </c>
      <c r="CU19" s="121">
        <f>ROUNDUP([1]GB!CU21*1.045,0)</f>
        <v>800</v>
      </c>
      <c r="CV19" s="121">
        <f>ROUNDUP([1]GB!CV21*1.045,0)</f>
        <v>649</v>
      </c>
      <c r="CW19" s="121">
        <f>ROUNDUP([1]GB!CW21*1.045,0)</f>
        <v>717</v>
      </c>
      <c r="CX19" s="121">
        <f>ROUNDUP([1]GB!CX21*1.045,0)</f>
        <v>649</v>
      </c>
      <c r="CY19" s="121">
        <f>ROUNDUP([1]GB!CY21*1.045,0)</f>
        <v>717</v>
      </c>
      <c r="CZ19" s="121">
        <f>ROUNDUP([1]GB!CZ21*1.045,0)</f>
        <v>717</v>
      </c>
      <c r="DA19" s="121">
        <f>ROUNDUP([1]GB!DA21*1.045,0)</f>
        <v>800</v>
      </c>
      <c r="DB19" s="121">
        <f>ROUNDUP([1]GB!DB21*1.045,0)</f>
        <v>717</v>
      </c>
      <c r="DC19" s="121">
        <f>ROUNDUP([1]GB!DC21*1.045,0)</f>
        <v>672</v>
      </c>
      <c r="DD19" s="121">
        <f>ROUNDUP([1]GB!DD21*1.045,0)</f>
        <v>800</v>
      </c>
      <c r="DE19" s="121"/>
      <c r="DF19" s="121">
        <f>ROUNDUP([1]GB!DF21*1.045,0)</f>
        <v>717</v>
      </c>
      <c r="DG19" s="121">
        <f>ROUNDUP([1]GB!DG21*1.045,0)</f>
        <v>649</v>
      </c>
      <c r="DH19" s="121">
        <f>ROUNDUP([1]GB!DH21*1.045,0)</f>
        <v>649</v>
      </c>
      <c r="DI19" s="121">
        <f>ROUNDUP([1]GB!DI21*1.045,0)</f>
        <v>649</v>
      </c>
      <c r="DJ19" s="121">
        <f>ROUNDUP([1]GB!DJ21*1.045,0)</f>
        <v>717</v>
      </c>
      <c r="DK19" s="121">
        <f>ROUNDUP([1]GB!DK21*1.045,0)</f>
        <v>649</v>
      </c>
      <c r="DL19" s="121">
        <f>ROUNDUP([1]GB!DL21*1.045,0)</f>
        <v>649</v>
      </c>
      <c r="DM19" s="121">
        <f>ROUNDUP([1]GB!DM21*1.045,0)</f>
        <v>672</v>
      </c>
      <c r="DN19" s="121">
        <f>ROUNDUP([1]GB!DN21*1.045,0)</f>
        <v>717</v>
      </c>
      <c r="DO19" s="121">
        <f>ROUNDUP([1]GB!DO21*1.045,0)</f>
        <v>717</v>
      </c>
      <c r="DP19" s="121">
        <f>ROUNDUP([1]GB!DP21*1.045,0)</f>
        <v>717</v>
      </c>
      <c r="DQ19" s="121">
        <f>ROUNDUP([1]GB!DQ21*1.045,0)</f>
        <v>717</v>
      </c>
      <c r="DR19" s="121">
        <f>ROUNDUP([1]GB!DR21*1.045,0)</f>
        <v>672</v>
      </c>
    </row>
    <row r="20" spans="1:122" ht="15" customHeight="1">
      <c r="A20" s="2">
        <v>5250</v>
      </c>
      <c r="B20" s="2">
        <v>3</v>
      </c>
      <c r="C20" s="2"/>
      <c r="D20" s="2">
        <v>6</v>
      </c>
      <c r="E20" s="121"/>
      <c r="F20" s="121">
        <f>ROUNDUP([1]GB!F22*1.045,0)</f>
        <v>653</v>
      </c>
      <c r="G20" s="121">
        <f>ROUNDUP([1]GB!G22*1.045,0)</f>
        <v>723</v>
      </c>
      <c r="H20" s="121">
        <f>ROUNDUP([1]GB!H22*1.045,0)</f>
        <v>723</v>
      </c>
      <c r="I20" s="121">
        <f>ROUNDUP([1]GB!I22*1.045,0)</f>
        <v>723</v>
      </c>
      <c r="J20" s="121">
        <f>ROUNDUP([1]GB!J22*1.045,0)</f>
        <v>677</v>
      </c>
      <c r="K20" s="121">
        <f>ROUNDUP([1]GB!K22*1.045,0)</f>
        <v>723</v>
      </c>
      <c r="L20" s="121">
        <f>ROUNDUP([1]GB!L22*1.045,0)</f>
        <v>723</v>
      </c>
      <c r="M20" s="121">
        <f>ROUNDUP([1]GB!M22*1.045,0)</f>
        <v>677</v>
      </c>
      <c r="N20" s="121">
        <f>ROUNDUP([1]GB!N22*1.045,0)</f>
        <v>653</v>
      </c>
      <c r="O20" s="121">
        <f>ROUNDUP([1]GB!O22*1.045,0)</f>
        <v>723</v>
      </c>
      <c r="P20" s="121">
        <f>ROUNDUP([1]GB!P22*1.045,0)</f>
        <v>806</v>
      </c>
      <c r="Q20" s="121">
        <f>ROUNDUP([1]GB!Q22*1.045,0)</f>
        <v>653</v>
      </c>
      <c r="R20" s="121">
        <f>ROUNDUP([1]GB!R22*1.045,0)</f>
        <v>723</v>
      </c>
      <c r="S20" s="121">
        <f>ROUNDUP([1]GB!S22*1.045,0)</f>
        <v>723</v>
      </c>
      <c r="T20" s="121">
        <f>ROUNDUP([1]GB!T22*1.045,0)</f>
        <v>653</v>
      </c>
      <c r="U20" s="121">
        <f>ROUNDUP([1]GB!U22*1.045,0)</f>
        <v>653</v>
      </c>
      <c r="V20" s="121">
        <f>ROUNDUP([1]GB!V22*1.045,0)</f>
        <v>653</v>
      </c>
      <c r="W20" s="121">
        <f>ROUNDUP([1]GB!W22*1.045,0)</f>
        <v>677</v>
      </c>
      <c r="X20" s="121">
        <f>ROUNDUP([1]GB!X22*1.045,0)</f>
        <v>677</v>
      </c>
      <c r="Y20" s="121">
        <f>ROUNDUP([1]GB!Y22*1.045,0)</f>
        <v>723</v>
      </c>
      <c r="Z20" s="121">
        <f>ROUNDUP([1]GB!Z22*1.045,0)</f>
        <v>653</v>
      </c>
      <c r="AA20" s="121"/>
      <c r="AB20" s="121">
        <f>ROUNDUP([1]GB!AB22*1.045,0)</f>
        <v>677</v>
      </c>
      <c r="AC20" s="121">
        <f>ROUNDUP([1]GB!AC22*1.045,0)</f>
        <v>963</v>
      </c>
      <c r="AD20" s="121">
        <f>ROUNDUP([1]GB!AD22*1.045,0)</f>
        <v>806</v>
      </c>
      <c r="AE20" s="121">
        <f>ROUNDUP([1]GB!AE22*1.045,0)</f>
        <v>723</v>
      </c>
      <c r="AF20" s="121">
        <f>ROUNDUP([1]GB!AF22*1.045,0)</f>
        <v>677</v>
      </c>
      <c r="AG20" s="121">
        <f>ROUNDUP([1]GB!AG22*1.045,0)</f>
        <v>723</v>
      </c>
      <c r="AH20" s="121">
        <f>ROUNDUP([1]GB!AH22*1.045,0)</f>
        <v>723</v>
      </c>
      <c r="AI20" s="121">
        <f>ROUNDUP([1]GB!AI22*1.045,0)</f>
        <v>653</v>
      </c>
      <c r="AJ20" s="121">
        <f>ROUNDUP([1]GB!AJ22*1.045,0)</f>
        <v>653</v>
      </c>
      <c r="AK20" s="121">
        <f>ROUNDUP([1]GB!AK22*1.045,0)</f>
        <v>963</v>
      </c>
      <c r="AL20" s="121">
        <f>ROUNDUP([1]GB!AL22*1.045,0)</f>
        <v>653</v>
      </c>
      <c r="AM20" s="121">
        <f>ROUNDUP([1]GB!AM22*1.045,0)</f>
        <v>723</v>
      </c>
      <c r="AN20" s="121">
        <f>ROUNDUP([1]GB!AN22*1.045,0)</f>
        <v>963</v>
      </c>
      <c r="AO20" s="121">
        <f>ROUNDUP([1]GB!AO22*1.045,0)</f>
        <v>806</v>
      </c>
      <c r="AP20" s="121">
        <f>ROUNDUP([1]GB!AP22*1.045,0)</f>
        <v>963</v>
      </c>
      <c r="AQ20" s="121">
        <f>ROUNDUP([1]GB!AQ22*1.045,0)</f>
        <v>677</v>
      </c>
      <c r="AR20" s="121">
        <f>ROUNDUP([1]GB!AR22*1.045,0)</f>
        <v>653</v>
      </c>
      <c r="AS20" s="121">
        <f>ROUNDUP([1]GB!AS22*1.045,0)</f>
        <v>653</v>
      </c>
      <c r="AT20" s="121">
        <f>ROUNDUP([1]GB!AT22*1.045,0)</f>
        <v>723</v>
      </c>
      <c r="AU20" s="121">
        <f>ROUNDUP([1]GB!AU22*1.045,0)</f>
        <v>677</v>
      </c>
      <c r="AV20" s="121">
        <f>ROUNDUP([1]GB!AV22*1.045,0)</f>
        <v>653</v>
      </c>
      <c r="AW20" s="121">
        <f>ROUNDUP([1]GB!AW22*1.045,0)</f>
        <v>723</v>
      </c>
      <c r="AX20" s="121">
        <f>ROUNDUP([1]GB!AX22*1.045,0)</f>
        <v>677</v>
      </c>
      <c r="AY20" s="121">
        <f>ROUNDUP([1]GB!AY22*1.045,0)</f>
        <v>723</v>
      </c>
      <c r="AZ20" s="121">
        <f>ROUNDUP([1]GB!AZ22*1.045,0)</f>
        <v>653</v>
      </c>
      <c r="BA20" s="121">
        <f>ROUNDUP([1]GB!BA22*1.045,0)</f>
        <v>653</v>
      </c>
      <c r="BB20" s="121"/>
      <c r="BC20" s="121">
        <f>ROUNDUP([1]GB!BC22*1.045,0)</f>
        <v>963</v>
      </c>
      <c r="BD20" s="121">
        <f>ROUNDUP([1]GB!BD22*1.045,0)</f>
        <v>653</v>
      </c>
      <c r="BE20" s="121"/>
      <c r="BF20" s="121"/>
      <c r="BG20" s="121">
        <f>ROUNDUP([1]GB!BG22*1.045,0)</f>
        <v>723</v>
      </c>
      <c r="BH20" s="121">
        <f>ROUNDUP([1]GB!BH22*1.045,0)</f>
        <v>723</v>
      </c>
      <c r="BI20" s="121">
        <f>ROUNDUP([1]GB!BI22*1.045,0)</f>
        <v>723</v>
      </c>
      <c r="BJ20" s="121">
        <f>ROUNDUP([1]GB!BJ22*1.045,0)</f>
        <v>677</v>
      </c>
      <c r="BK20" s="121">
        <f>ROUNDUP([1]GB!BK22*1.045,0)</f>
        <v>806</v>
      </c>
      <c r="BL20" s="121">
        <f>ROUNDUP([1]GB!BL22*1.045,0)</f>
        <v>677</v>
      </c>
      <c r="BM20" s="121">
        <f>ROUNDUP([1]GB!BM22*1.045,0)</f>
        <v>677</v>
      </c>
      <c r="BN20" s="121">
        <f>ROUNDUP([1]GB!BN22*1.045,0)</f>
        <v>653</v>
      </c>
      <c r="BO20" s="121">
        <f>ROUNDUP([1]GB!BO22*1.045,0)</f>
        <v>723</v>
      </c>
      <c r="BP20" s="121">
        <f>ROUNDUP([1]GB!BP22*1.045,0)</f>
        <v>653</v>
      </c>
      <c r="BQ20" s="121">
        <f>ROUNDUP([1]GB!BQ22*1.045,0)</f>
        <v>677</v>
      </c>
      <c r="BR20" s="121">
        <f>ROUNDUP([1]GB!BR22*1.045,0)</f>
        <v>963</v>
      </c>
      <c r="BS20" s="121">
        <f>ROUNDUP([1]GB!BS22*1.045,0)</f>
        <v>653</v>
      </c>
      <c r="BT20" s="121">
        <f>ROUNDUP([1]GB!BT22*1.045,0)</f>
        <v>806</v>
      </c>
      <c r="BU20" s="121">
        <f>ROUNDUP([1]GB!BU22*1.045,0)</f>
        <v>677</v>
      </c>
      <c r="BV20" s="121">
        <f>ROUNDUP([1]GB!BV22*1.045,0)</f>
        <v>677</v>
      </c>
      <c r="BW20" s="121">
        <f>ROUNDUP([1]GB!BW22*1.045,0)</f>
        <v>723</v>
      </c>
      <c r="BX20" s="121">
        <f>ROUNDUP([1]GB!BX22*1.045,0)</f>
        <v>677</v>
      </c>
      <c r="BY20" s="121">
        <f>ROUNDUP([1]GB!BY22*1.045,0)</f>
        <v>653</v>
      </c>
      <c r="BZ20" s="121">
        <f>ROUNDUP([1]GB!BZ22*1.045,0)</f>
        <v>723</v>
      </c>
      <c r="CA20" s="121">
        <f>ROUNDUP([1]GB!CA22*1.045,0)</f>
        <v>677</v>
      </c>
      <c r="CB20" s="121"/>
      <c r="CC20" s="121">
        <f>ROUNDUP([1]GB!CC22*1.045,0)</f>
        <v>677</v>
      </c>
      <c r="CD20" s="121"/>
      <c r="CE20" s="121">
        <f>ROUNDUP([1]GB!CE22*1.045,0)</f>
        <v>963</v>
      </c>
      <c r="CF20" s="121">
        <f>ROUNDUP([1]GB!CF22*1.045,0)</f>
        <v>677</v>
      </c>
      <c r="CG20" s="121">
        <f>ROUNDUP([1]GB!CG22*1.045,0)</f>
        <v>723</v>
      </c>
      <c r="CH20" s="121">
        <f>ROUNDUP([1]GB!CH22*1.045,0)</f>
        <v>677</v>
      </c>
      <c r="CI20" s="121">
        <f>ROUNDUP([1]GB!CI22*1.045,0)</f>
        <v>653</v>
      </c>
      <c r="CJ20" s="121">
        <f>ROUNDUP([1]GB!CJ22*1.045,0)</f>
        <v>653</v>
      </c>
      <c r="CK20" s="121">
        <f>ROUNDUP([1]GB!CK22*1.045,0)</f>
        <v>677</v>
      </c>
      <c r="CL20" s="121">
        <f>ROUNDUP([1]GB!CL22*1.045,0)</f>
        <v>806</v>
      </c>
      <c r="CM20" s="121">
        <f>ROUNDUP([1]GB!CM22*1.045,0)</f>
        <v>653</v>
      </c>
      <c r="CN20" s="121">
        <f>ROUNDUP([1]GB!CN22*1.045,0)</f>
        <v>653</v>
      </c>
      <c r="CO20" s="121">
        <f>ROUNDUP([1]GB!CO22*1.045,0)</f>
        <v>723</v>
      </c>
      <c r="CP20" s="121">
        <f>ROUNDUP([1]GB!CP22*1.045,0)</f>
        <v>653</v>
      </c>
      <c r="CQ20" s="121">
        <f>ROUNDUP([1]GB!CQ22*1.045,0)</f>
        <v>653</v>
      </c>
      <c r="CR20" s="121">
        <f>ROUNDUP([1]GB!CR22*1.045,0)</f>
        <v>677</v>
      </c>
      <c r="CS20" s="121">
        <f>ROUNDUP([1]GB!CS22*1.045,0)</f>
        <v>677</v>
      </c>
      <c r="CT20" s="121">
        <f>ROUNDUP([1]GB!CT22*1.045,0)</f>
        <v>677</v>
      </c>
      <c r="CU20" s="121">
        <f>ROUNDUP([1]GB!CU22*1.045,0)</f>
        <v>806</v>
      </c>
      <c r="CV20" s="121">
        <f>ROUNDUP([1]GB!CV22*1.045,0)</f>
        <v>653</v>
      </c>
      <c r="CW20" s="121">
        <f>ROUNDUP([1]GB!CW22*1.045,0)</f>
        <v>723</v>
      </c>
      <c r="CX20" s="121">
        <f>ROUNDUP([1]GB!CX22*1.045,0)</f>
        <v>653</v>
      </c>
      <c r="CY20" s="121">
        <f>ROUNDUP([1]GB!CY22*1.045,0)</f>
        <v>723</v>
      </c>
      <c r="CZ20" s="121">
        <f>ROUNDUP([1]GB!CZ22*1.045,0)</f>
        <v>723</v>
      </c>
      <c r="DA20" s="121">
        <f>ROUNDUP([1]GB!DA22*1.045,0)</f>
        <v>806</v>
      </c>
      <c r="DB20" s="121">
        <f>ROUNDUP([1]GB!DB22*1.045,0)</f>
        <v>723</v>
      </c>
      <c r="DC20" s="121">
        <f>ROUNDUP([1]GB!DC22*1.045,0)</f>
        <v>677</v>
      </c>
      <c r="DD20" s="121">
        <f>ROUNDUP([1]GB!DD22*1.045,0)</f>
        <v>806</v>
      </c>
      <c r="DE20" s="121"/>
      <c r="DF20" s="121">
        <f>ROUNDUP([1]GB!DF22*1.045,0)</f>
        <v>723</v>
      </c>
      <c r="DG20" s="121">
        <f>ROUNDUP([1]GB!DG22*1.045,0)</f>
        <v>653</v>
      </c>
      <c r="DH20" s="121">
        <f>ROUNDUP([1]GB!DH22*1.045,0)</f>
        <v>653</v>
      </c>
      <c r="DI20" s="121">
        <f>ROUNDUP([1]GB!DI22*1.045,0)</f>
        <v>653</v>
      </c>
      <c r="DJ20" s="121">
        <f>ROUNDUP([1]GB!DJ22*1.045,0)</f>
        <v>723</v>
      </c>
      <c r="DK20" s="121">
        <f>ROUNDUP([1]GB!DK22*1.045,0)</f>
        <v>653</v>
      </c>
      <c r="DL20" s="121">
        <f>ROUNDUP([1]GB!DL22*1.045,0)</f>
        <v>653</v>
      </c>
      <c r="DM20" s="121">
        <f>ROUNDUP([1]GB!DM22*1.045,0)</f>
        <v>677</v>
      </c>
      <c r="DN20" s="121">
        <f>ROUNDUP([1]GB!DN22*1.045,0)</f>
        <v>723</v>
      </c>
      <c r="DO20" s="121">
        <f>ROUNDUP([1]GB!DO22*1.045,0)</f>
        <v>723</v>
      </c>
      <c r="DP20" s="121">
        <f>ROUNDUP([1]GB!DP22*1.045,0)</f>
        <v>723</v>
      </c>
      <c r="DQ20" s="121">
        <f>ROUNDUP([1]GB!DQ22*1.045,0)</f>
        <v>723</v>
      </c>
      <c r="DR20" s="121">
        <f>ROUNDUP([1]GB!DR22*1.045,0)</f>
        <v>677</v>
      </c>
    </row>
    <row r="21" spans="1:122" ht="15" customHeight="1">
      <c r="A21" s="2">
        <v>5600</v>
      </c>
      <c r="B21" s="2">
        <v>3.2</v>
      </c>
      <c r="C21" s="2">
        <v>8</v>
      </c>
      <c r="D21" s="2"/>
      <c r="E21" s="121"/>
      <c r="F21" s="121">
        <f>ROUNDUP([1]GB!F23*1.045,0)</f>
        <v>683</v>
      </c>
      <c r="G21" s="121">
        <f>ROUNDUP([1]GB!G23*1.045,0)</f>
        <v>758</v>
      </c>
      <c r="H21" s="121">
        <f>ROUNDUP([1]GB!H23*1.045,0)</f>
        <v>758</v>
      </c>
      <c r="I21" s="121">
        <f>ROUNDUP([1]GB!I23*1.045,0)</f>
        <v>758</v>
      </c>
      <c r="J21" s="121">
        <f>ROUNDUP([1]GB!J23*1.045,0)</f>
        <v>711</v>
      </c>
      <c r="K21" s="121">
        <f>ROUNDUP([1]GB!K23*1.045,0)</f>
        <v>758</v>
      </c>
      <c r="L21" s="121">
        <f>ROUNDUP([1]GB!L23*1.045,0)</f>
        <v>758</v>
      </c>
      <c r="M21" s="121">
        <f>ROUNDUP([1]GB!M23*1.045,0)</f>
        <v>711</v>
      </c>
      <c r="N21" s="121">
        <f>ROUNDUP([1]GB!N23*1.045,0)</f>
        <v>683</v>
      </c>
      <c r="O21" s="121">
        <f>ROUNDUP([1]GB!O23*1.045,0)</f>
        <v>758</v>
      </c>
      <c r="P21" s="121">
        <f>ROUNDUP([1]GB!P23*1.045,0)</f>
        <v>846</v>
      </c>
      <c r="Q21" s="121">
        <f>ROUNDUP([1]GB!Q23*1.045,0)</f>
        <v>683</v>
      </c>
      <c r="R21" s="121">
        <f>ROUNDUP([1]GB!R23*1.045,0)</f>
        <v>758</v>
      </c>
      <c r="S21" s="121">
        <f>ROUNDUP([1]GB!S23*1.045,0)</f>
        <v>758</v>
      </c>
      <c r="T21" s="121">
        <f>ROUNDUP([1]GB!T23*1.045,0)</f>
        <v>683</v>
      </c>
      <c r="U21" s="121">
        <f>ROUNDUP([1]GB!U23*1.045,0)</f>
        <v>683</v>
      </c>
      <c r="V21" s="121">
        <f>ROUNDUP([1]GB!V23*1.045,0)</f>
        <v>683</v>
      </c>
      <c r="W21" s="121">
        <f>ROUNDUP([1]GB!W23*1.045,0)</f>
        <v>711</v>
      </c>
      <c r="X21" s="121">
        <f>ROUNDUP([1]GB!X23*1.045,0)</f>
        <v>711</v>
      </c>
      <c r="Y21" s="121">
        <f>ROUNDUP([1]GB!Y23*1.045,0)</f>
        <v>758</v>
      </c>
      <c r="Z21" s="121">
        <f>ROUNDUP([1]GB!Z23*1.045,0)</f>
        <v>683</v>
      </c>
      <c r="AA21" s="121"/>
      <c r="AB21" s="121">
        <f>ROUNDUP([1]GB!AB23*1.045,0)</f>
        <v>711</v>
      </c>
      <c r="AC21" s="121">
        <f>ROUNDUP([1]GB!AC23*1.045,0)</f>
        <v>1011</v>
      </c>
      <c r="AD21" s="121">
        <f>ROUNDUP([1]GB!AD23*1.045,0)</f>
        <v>846</v>
      </c>
      <c r="AE21" s="121">
        <f>ROUNDUP([1]GB!AE23*1.045,0)</f>
        <v>758</v>
      </c>
      <c r="AF21" s="121">
        <f>ROUNDUP([1]GB!AF23*1.045,0)</f>
        <v>711</v>
      </c>
      <c r="AG21" s="121">
        <f>ROUNDUP([1]GB!AG23*1.045,0)</f>
        <v>758</v>
      </c>
      <c r="AH21" s="121">
        <f>ROUNDUP([1]GB!AH23*1.045,0)</f>
        <v>758</v>
      </c>
      <c r="AI21" s="121">
        <f>ROUNDUP([1]GB!AI23*1.045,0)</f>
        <v>683</v>
      </c>
      <c r="AJ21" s="121">
        <f>ROUNDUP([1]GB!AJ23*1.045,0)</f>
        <v>683</v>
      </c>
      <c r="AK21" s="121">
        <f>ROUNDUP([1]GB!AK23*1.045,0)</f>
        <v>1011</v>
      </c>
      <c r="AL21" s="121">
        <f>ROUNDUP([1]GB!AL23*1.045,0)</f>
        <v>683</v>
      </c>
      <c r="AM21" s="121">
        <f>ROUNDUP([1]GB!AM23*1.045,0)</f>
        <v>758</v>
      </c>
      <c r="AN21" s="121">
        <f>ROUNDUP([1]GB!AN23*1.045,0)</f>
        <v>1011</v>
      </c>
      <c r="AO21" s="121">
        <f>ROUNDUP([1]GB!AO23*1.045,0)</f>
        <v>846</v>
      </c>
      <c r="AP21" s="121">
        <f>ROUNDUP([1]GB!AP23*1.045,0)</f>
        <v>1011</v>
      </c>
      <c r="AQ21" s="121">
        <f>ROUNDUP([1]GB!AQ23*1.045,0)</f>
        <v>711</v>
      </c>
      <c r="AR21" s="121">
        <f>ROUNDUP([1]GB!AR23*1.045,0)</f>
        <v>683</v>
      </c>
      <c r="AS21" s="121">
        <f>ROUNDUP([1]GB!AS23*1.045,0)</f>
        <v>683</v>
      </c>
      <c r="AT21" s="121">
        <f>ROUNDUP([1]GB!AT23*1.045,0)</f>
        <v>758</v>
      </c>
      <c r="AU21" s="121">
        <f>ROUNDUP([1]GB!AU23*1.045,0)</f>
        <v>711</v>
      </c>
      <c r="AV21" s="121">
        <f>ROUNDUP([1]GB!AV23*1.045,0)</f>
        <v>683</v>
      </c>
      <c r="AW21" s="121">
        <f>ROUNDUP([1]GB!AW23*1.045,0)</f>
        <v>758</v>
      </c>
      <c r="AX21" s="121">
        <f>ROUNDUP([1]GB!AX23*1.045,0)</f>
        <v>711</v>
      </c>
      <c r="AY21" s="121">
        <f>ROUNDUP([1]GB!AY23*1.045,0)</f>
        <v>758</v>
      </c>
      <c r="AZ21" s="121">
        <f>ROUNDUP([1]GB!AZ23*1.045,0)</f>
        <v>683</v>
      </c>
      <c r="BA21" s="121">
        <f>ROUNDUP([1]GB!BA23*1.045,0)</f>
        <v>683</v>
      </c>
      <c r="BB21" s="121"/>
      <c r="BC21" s="121">
        <f>ROUNDUP([1]GB!BC23*1.045,0)</f>
        <v>1011</v>
      </c>
      <c r="BD21" s="121">
        <f>ROUNDUP([1]GB!BD23*1.045,0)</f>
        <v>683</v>
      </c>
      <c r="BE21" s="121"/>
      <c r="BF21" s="121"/>
      <c r="BG21" s="121">
        <f>ROUNDUP([1]GB!BG23*1.045,0)</f>
        <v>758</v>
      </c>
      <c r="BH21" s="121">
        <f>ROUNDUP([1]GB!BH23*1.045,0)</f>
        <v>758</v>
      </c>
      <c r="BI21" s="121">
        <f>ROUNDUP([1]GB!BI23*1.045,0)</f>
        <v>758</v>
      </c>
      <c r="BJ21" s="121">
        <f>ROUNDUP([1]GB!BJ23*1.045,0)</f>
        <v>711</v>
      </c>
      <c r="BK21" s="121">
        <f>ROUNDUP([1]GB!BK23*1.045,0)</f>
        <v>846</v>
      </c>
      <c r="BL21" s="121">
        <f>ROUNDUP([1]GB!BL23*1.045,0)</f>
        <v>711</v>
      </c>
      <c r="BM21" s="121">
        <f>ROUNDUP([1]GB!BM23*1.045,0)</f>
        <v>711</v>
      </c>
      <c r="BN21" s="121">
        <f>ROUNDUP([1]GB!BN23*1.045,0)</f>
        <v>683</v>
      </c>
      <c r="BO21" s="121">
        <f>ROUNDUP([1]GB!BO23*1.045,0)</f>
        <v>758</v>
      </c>
      <c r="BP21" s="121">
        <f>ROUNDUP([1]GB!BP23*1.045,0)</f>
        <v>683</v>
      </c>
      <c r="BQ21" s="121">
        <f>ROUNDUP([1]GB!BQ23*1.045,0)</f>
        <v>711</v>
      </c>
      <c r="BR21" s="121">
        <f>ROUNDUP([1]GB!BR23*1.045,0)</f>
        <v>1011</v>
      </c>
      <c r="BS21" s="121">
        <f>ROUNDUP([1]GB!BS23*1.045,0)</f>
        <v>683</v>
      </c>
      <c r="BT21" s="121">
        <f>ROUNDUP([1]GB!BT23*1.045,0)</f>
        <v>846</v>
      </c>
      <c r="BU21" s="121">
        <f>ROUNDUP([1]GB!BU23*1.045,0)</f>
        <v>711</v>
      </c>
      <c r="BV21" s="121">
        <f>ROUNDUP([1]GB!BV23*1.045,0)</f>
        <v>711</v>
      </c>
      <c r="BW21" s="121">
        <f>ROUNDUP([1]GB!BW23*1.045,0)</f>
        <v>758</v>
      </c>
      <c r="BX21" s="121">
        <f>ROUNDUP([1]GB!BX23*1.045,0)</f>
        <v>711</v>
      </c>
      <c r="BY21" s="121">
        <f>ROUNDUP([1]GB!BY23*1.045,0)</f>
        <v>683</v>
      </c>
      <c r="BZ21" s="121">
        <f>ROUNDUP([1]GB!BZ23*1.045,0)</f>
        <v>758</v>
      </c>
      <c r="CA21" s="121">
        <f>ROUNDUP([1]GB!CA23*1.045,0)</f>
        <v>711</v>
      </c>
      <c r="CB21" s="121"/>
      <c r="CC21" s="121">
        <f>ROUNDUP([1]GB!CC23*1.045,0)</f>
        <v>711</v>
      </c>
      <c r="CD21" s="121"/>
      <c r="CE21" s="121">
        <f>ROUNDUP([1]GB!CE23*1.045,0)</f>
        <v>1011</v>
      </c>
      <c r="CF21" s="121">
        <f>ROUNDUP([1]GB!CF23*1.045,0)</f>
        <v>711</v>
      </c>
      <c r="CG21" s="121">
        <f>ROUNDUP([1]GB!CG23*1.045,0)</f>
        <v>758</v>
      </c>
      <c r="CH21" s="121">
        <f>ROUNDUP([1]GB!CH23*1.045,0)</f>
        <v>711</v>
      </c>
      <c r="CI21" s="121">
        <f>ROUNDUP([1]GB!CI23*1.045,0)</f>
        <v>683</v>
      </c>
      <c r="CJ21" s="121">
        <f>ROUNDUP([1]GB!CJ23*1.045,0)</f>
        <v>683</v>
      </c>
      <c r="CK21" s="121">
        <f>ROUNDUP([1]GB!CK23*1.045,0)</f>
        <v>711</v>
      </c>
      <c r="CL21" s="121">
        <f>ROUNDUP([1]GB!CL23*1.045,0)</f>
        <v>846</v>
      </c>
      <c r="CM21" s="121">
        <f>ROUNDUP([1]GB!CM23*1.045,0)</f>
        <v>683</v>
      </c>
      <c r="CN21" s="121">
        <f>ROUNDUP([1]GB!CN23*1.045,0)</f>
        <v>683</v>
      </c>
      <c r="CO21" s="121">
        <f>ROUNDUP([1]GB!CO23*1.045,0)</f>
        <v>758</v>
      </c>
      <c r="CP21" s="121">
        <f>ROUNDUP([1]GB!CP23*1.045,0)</f>
        <v>683</v>
      </c>
      <c r="CQ21" s="121">
        <f>ROUNDUP([1]GB!CQ23*1.045,0)</f>
        <v>683</v>
      </c>
      <c r="CR21" s="121">
        <f>ROUNDUP([1]GB!CR23*1.045,0)</f>
        <v>711</v>
      </c>
      <c r="CS21" s="121">
        <f>ROUNDUP([1]GB!CS23*1.045,0)</f>
        <v>711</v>
      </c>
      <c r="CT21" s="121">
        <f>ROUNDUP([1]GB!CT23*1.045,0)</f>
        <v>711</v>
      </c>
      <c r="CU21" s="121">
        <f>ROUNDUP([1]GB!CU23*1.045,0)</f>
        <v>846</v>
      </c>
      <c r="CV21" s="121">
        <f>ROUNDUP([1]GB!CV23*1.045,0)</f>
        <v>683</v>
      </c>
      <c r="CW21" s="121">
        <f>ROUNDUP([1]GB!CW23*1.045,0)</f>
        <v>758</v>
      </c>
      <c r="CX21" s="121">
        <f>ROUNDUP([1]GB!CX23*1.045,0)</f>
        <v>683</v>
      </c>
      <c r="CY21" s="121">
        <f>ROUNDUP([1]GB!CY23*1.045,0)</f>
        <v>758</v>
      </c>
      <c r="CZ21" s="121">
        <f>ROUNDUP([1]GB!CZ23*1.045,0)</f>
        <v>758</v>
      </c>
      <c r="DA21" s="121">
        <f>ROUNDUP([1]GB!DA23*1.045,0)</f>
        <v>846</v>
      </c>
      <c r="DB21" s="121">
        <f>ROUNDUP([1]GB!DB23*1.045,0)</f>
        <v>758</v>
      </c>
      <c r="DC21" s="121">
        <f>ROUNDUP([1]GB!DC23*1.045,0)</f>
        <v>711</v>
      </c>
      <c r="DD21" s="121">
        <f>ROUNDUP([1]GB!DD23*1.045,0)</f>
        <v>846</v>
      </c>
      <c r="DE21" s="121"/>
      <c r="DF21" s="121">
        <f>ROUNDUP([1]GB!DF23*1.045,0)</f>
        <v>758</v>
      </c>
      <c r="DG21" s="121">
        <f>ROUNDUP([1]GB!DG23*1.045,0)</f>
        <v>683</v>
      </c>
      <c r="DH21" s="121">
        <f>ROUNDUP([1]GB!DH23*1.045,0)</f>
        <v>683</v>
      </c>
      <c r="DI21" s="121">
        <f>ROUNDUP([1]GB!DI23*1.045,0)</f>
        <v>683</v>
      </c>
      <c r="DJ21" s="121">
        <f>ROUNDUP([1]GB!DJ23*1.045,0)</f>
        <v>758</v>
      </c>
      <c r="DK21" s="121">
        <f>ROUNDUP([1]GB!DK23*1.045,0)</f>
        <v>683</v>
      </c>
      <c r="DL21" s="121">
        <f>ROUNDUP([1]GB!DL23*1.045,0)</f>
        <v>683</v>
      </c>
      <c r="DM21" s="121">
        <f>ROUNDUP([1]GB!DM23*1.045,0)</f>
        <v>711</v>
      </c>
      <c r="DN21" s="121">
        <f>ROUNDUP([1]GB!DN23*1.045,0)</f>
        <v>758</v>
      </c>
      <c r="DO21" s="121">
        <f>ROUNDUP([1]GB!DO23*1.045,0)</f>
        <v>758</v>
      </c>
      <c r="DP21" s="121">
        <f>ROUNDUP([1]GB!DP23*1.045,0)</f>
        <v>758</v>
      </c>
      <c r="DQ21" s="121">
        <f>ROUNDUP([1]GB!DQ23*1.045,0)</f>
        <v>758</v>
      </c>
      <c r="DR21" s="121">
        <f>ROUNDUP([1]GB!DR23*1.045,0)</f>
        <v>711</v>
      </c>
    </row>
    <row r="22" spans="1:122" ht="15" customHeight="1">
      <c r="A22" s="2">
        <v>6125</v>
      </c>
      <c r="B22" s="2">
        <v>3.5</v>
      </c>
      <c r="C22" s="2"/>
      <c r="D22" s="2">
        <v>7</v>
      </c>
      <c r="E22" s="121"/>
      <c r="F22" s="121">
        <f>ROUNDUP([1]GB!F24*1.045,0)</f>
        <v>729</v>
      </c>
      <c r="G22" s="121">
        <f>ROUNDUP([1]GB!G24*1.045,0)</f>
        <v>810</v>
      </c>
      <c r="H22" s="121">
        <f>ROUNDUP([1]GB!H24*1.045,0)</f>
        <v>810</v>
      </c>
      <c r="I22" s="121">
        <f>ROUNDUP([1]GB!I24*1.045,0)</f>
        <v>810</v>
      </c>
      <c r="J22" s="121">
        <f>ROUNDUP([1]GB!J24*1.045,0)</f>
        <v>759</v>
      </c>
      <c r="K22" s="121">
        <f>ROUNDUP([1]GB!K24*1.045,0)</f>
        <v>810</v>
      </c>
      <c r="L22" s="121">
        <f>ROUNDUP([1]GB!L24*1.045,0)</f>
        <v>810</v>
      </c>
      <c r="M22" s="121">
        <f>ROUNDUP([1]GB!M24*1.045,0)</f>
        <v>759</v>
      </c>
      <c r="N22" s="121">
        <f>ROUNDUP([1]GB!N24*1.045,0)</f>
        <v>729</v>
      </c>
      <c r="O22" s="121">
        <f>ROUNDUP([1]GB!O24*1.045,0)</f>
        <v>810</v>
      </c>
      <c r="P22" s="121">
        <f>ROUNDUP([1]GB!P24*1.045,0)</f>
        <v>907</v>
      </c>
      <c r="Q22" s="121">
        <f>ROUNDUP([1]GB!Q24*1.045,0)</f>
        <v>729</v>
      </c>
      <c r="R22" s="121">
        <f>ROUNDUP([1]GB!R24*1.045,0)</f>
        <v>810</v>
      </c>
      <c r="S22" s="121">
        <f>ROUNDUP([1]GB!S24*1.045,0)</f>
        <v>810</v>
      </c>
      <c r="T22" s="121">
        <f>ROUNDUP([1]GB!T24*1.045,0)</f>
        <v>729</v>
      </c>
      <c r="U22" s="121">
        <f>ROUNDUP([1]GB!U24*1.045,0)</f>
        <v>729</v>
      </c>
      <c r="V22" s="121">
        <f>ROUNDUP([1]GB!V24*1.045,0)</f>
        <v>729</v>
      </c>
      <c r="W22" s="121">
        <f>ROUNDUP([1]GB!W24*1.045,0)</f>
        <v>759</v>
      </c>
      <c r="X22" s="121">
        <f>ROUNDUP([1]GB!X24*1.045,0)</f>
        <v>759</v>
      </c>
      <c r="Y22" s="121">
        <f>ROUNDUP([1]GB!Y24*1.045,0)</f>
        <v>810</v>
      </c>
      <c r="Z22" s="121">
        <f>ROUNDUP([1]GB!Z24*1.045,0)</f>
        <v>729</v>
      </c>
      <c r="AA22" s="121"/>
      <c r="AB22" s="121">
        <f>ROUNDUP([1]GB!AB24*1.045,0)</f>
        <v>759</v>
      </c>
      <c r="AC22" s="121">
        <f>ROUNDUP([1]GB!AC24*1.045,0)</f>
        <v>1083</v>
      </c>
      <c r="AD22" s="121">
        <f>ROUNDUP([1]GB!AD24*1.045,0)</f>
        <v>907</v>
      </c>
      <c r="AE22" s="121">
        <f>ROUNDUP([1]GB!AE24*1.045,0)</f>
        <v>810</v>
      </c>
      <c r="AF22" s="121">
        <f>ROUNDUP([1]GB!AF24*1.045,0)</f>
        <v>759</v>
      </c>
      <c r="AG22" s="121">
        <f>ROUNDUP([1]GB!AG24*1.045,0)</f>
        <v>810</v>
      </c>
      <c r="AH22" s="121">
        <f>ROUNDUP([1]GB!AH24*1.045,0)</f>
        <v>810</v>
      </c>
      <c r="AI22" s="121">
        <f>ROUNDUP([1]GB!AI24*1.045,0)</f>
        <v>729</v>
      </c>
      <c r="AJ22" s="121">
        <f>ROUNDUP([1]GB!AJ24*1.045,0)</f>
        <v>729</v>
      </c>
      <c r="AK22" s="121">
        <f>ROUNDUP([1]GB!AK24*1.045,0)</f>
        <v>1083</v>
      </c>
      <c r="AL22" s="121">
        <f>ROUNDUP([1]GB!AL24*1.045,0)</f>
        <v>729</v>
      </c>
      <c r="AM22" s="121">
        <f>ROUNDUP([1]GB!AM24*1.045,0)</f>
        <v>810</v>
      </c>
      <c r="AN22" s="121">
        <f>ROUNDUP([1]GB!AN24*1.045,0)</f>
        <v>1083</v>
      </c>
      <c r="AO22" s="121">
        <f>ROUNDUP([1]GB!AO24*1.045,0)</f>
        <v>907</v>
      </c>
      <c r="AP22" s="121">
        <f>ROUNDUP([1]GB!AP24*1.045,0)</f>
        <v>1083</v>
      </c>
      <c r="AQ22" s="121">
        <f>ROUNDUP([1]GB!AQ24*1.045,0)</f>
        <v>759</v>
      </c>
      <c r="AR22" s="121">
        <f>ROUNDUP([1]GB!AR24*1.045,0)</f>
        <v>729</v>
      </c>
      <c r="AS22" s="121">
        <f>ROUNDUP([1]GB!AS24*1.045,0)</f>
        <v>729</v>
      </c>
      <c r="AT22" s="121">
        <f>ROUNDUP([1]GB!AT24*1.045,0)</f>
        <v>810</v>
      </c>
      <c r="AU22" s="121">
        <f>ROUNDUP([1]GB!AU24*1.045,0)</f>
        <v>759</v>
      </c>
      <c r="AV22" s="121">
        <f>ROUNDUP([1]GB!AV24*1.045,0)</f>
        <v>729</v>
      </c>
      <c r="AW22" s="121">
        <f>ROUNDUP([1]GB!AW24*1.045,0)</f>
        <v>810</v>
      </c>
      <c r="AX22" s="121">
        <f>ROUNDUP([1]GB!AX24*1.045,0)</f>
        <v>759</v>
      </c>
      <c r="AY22" s="121">
        <f>ROUNDUP([1]GB!AY24*1.045,0)</f>
        <v>810</v>
      </c>
      <c r="AZ22" s="121">
        <f>ROUNDUP([1]GB!AZ24*1.045,0)</f>
        <v>729</v>
      </c>
      <c r="BA22" s="121">
        <f>ROUNDUP([1]GB!BA24*1.045,0)</f>
        <v>729</v>
      </c>
      <c r="BB22" s="121"/>
      <c r="BC22" s="121">
        <f>ROUNDUP([1]GB!BC24*1.045,0)</f>
        <v>1083</v>
      </c>
      <c r="BD22" s="121">
        <f>ROUNDUP([1]GB!BD24*1.045,0)</f>
        <v>729</v>
      </c>
      <c r="BE22" s="121"/>
      <c r="BF22" s="121"/>
      <c r="BG22" s="121">
        <f>ROUNDUP([1]GB!BG24*1.045,0)</f>
        <v>810</v>
      </c>
      <c r="BH22" s="121">
        <f>ROUNDUP([1]GB!BH24*1.045,0)</f>
        <v>810</v>
      </c>
      <c r="BI22" s="121">
        <f>ROUNDUP([1]GB!BI24*1.045,0)</f>
        <v>810</v>
      </c>
      <c r="BJ22" s="121">
        <f>ROUNDUP([1]GB!BJ24*1.045,0)</f>
        <v>759</v>
      </c>
      <c r="BK22" s="121">
        <f>ROUNDUP([1]GB!BK24*1.045,0)</f>
        <v>907</v>
      </c>
      <c r="BL22" s="121">
        <f>ROUNDUP([1]GB!BL24*1.045,0)</f>
        <v>759</v>
      </c>
      <c r="BM22" s="121">
        <f>ROUNDUP([1]GB!BM24*1.045,0)</f>
        <v>759</v>
      </c>
      <c r="BN22" s="121">
        <f>ROUNDUP([1]GB!BN24*1.045,0)</f>
        <v>729</v>
      </c>
      <c r="BO22" s="121">
        <f>ROUNDUP([1]GB!BO24*1.045,0)</f>
        <v>810</v>
      </c>
      <c r="BP22" s="121">
        <f>ROUNDUP([1]GB!BP24*1.045,0)</f>
        <v>729</v>
      </c>
      <c r="BQ22" s="121">
        <f>ROUNDUP([1]GB!BQ24*1.045,0)</f>
        <v>759</v>
      </c>
      <c r="BR22" s="121">
        <f>ROUNDUP([1]GB!BR24*1.045,0)</f>
        <v>1083</v>
      </c>
      <c r="BS22" s="121">
        <f>ROUNDUP([1]GB!BS24*1.045,0)</f>
        <v>729</v>
      </c>
      <c r="BT22" s="121">
        <f>ROUNDUP([1]GB!BT24*1.045,0)</f>
        <v>907</v>
      </c>
      <c r="BU22" s="121">
        <f>ROUNDUP([1]GB!BU24*1.045,0)</f>
        <v>759</v>
      </c>
      <c r="BV22" s="121">
        <f>ROUNDUP([1]GB!BV24*1.045,0)</f>
        <v>759</v>
      </c>
      <c r="BW22" s="121">
        <f>ROUNDUP([1]GB!BW24*1.045,0)</f>
        <v>810</v>
      </c>
      <c r="BX22" s="121">
        <f>ROUNDUP([1]GB!BX24*1.045,0)</f>
        <v>759</v>
      </c>
      <c r="BY22" s="121">
        <f>ROUNDUP([1]GB!BY24*1.045,0)</f>
        <v>729</v>
      </c>
      <c r="BZ22" s="121">
        <f>ROUNDUP([1]GB!BZ24*1.045,0)</f>
        <v>810</v>
      </c>
      <c r="CA22" s="121">
        <f>ROUNDUP([1]GB!CA24*1.045,0)</f>
        <v>759</v>
      </c>
      <c r="CB22" s="121"/>
      <c r="CC22" s="121">
        <f>ROUNDUP([1]GB!CC24*1.045,0)</f>
        <v>759</v>
      </c>
      <c r="CD22" s="121"/>
      <c r="CE22" s="121">
        <f>ROUNDUP([1]GB!CE24*1.045,0)</f>
        <v>1083</v>
      </c>
      <c r="CF22" s="121">
        <f>ROUNDUP([1]GB!CF24*1.045,0)</f>
        <v>759</v>
      </c>
      <c r="CG22" s="121">
        <f>ROUNDUP([1]GB!CG24*1.045,0)</f>
        <v>810</v>
      </c>
      <c r="CH22" s="121">
        <f>ROUNDUP([1]GB!CH24*1.045,0)</f>
        <v>759</v>
      </c>
      <c r="CI22" s="121">
        <f>ROUNDUP([1]GB!CI24*1.045,0)</f>
        <v>729</v>
      </c>
      <c r="CJ22" s="121">
        <f>ROUNDUP([1]GB!CJ24*1.045,0)</f>
        <v>729</v>
      </c>
      <c r="CK22" s="121">
        <f>ROUNDUP([1]GB!CK24*1.045,0)</f>
        <v>759</v>
      </c>
      <c r="CL22" s="121">
        <f>ROUNDUP([1]GB!CL24*1.045,0)</f>
        <v>907</v>
      </c>
      <c r="CM22" s="121">
        <f>ROUNDUP([1]GB!CM24*1.045,0)</f>
        <v>729</v>
      </c>
      <c r="CN22" s="121">
        <f>ROUNDUP([1]GB!CN24*1.045,0)</f>
        <v>729</v>
      </c>
      <c r="CO22" s="121">
        <f>ROUNDUP([1]GB!CO24*1.045,0)</f>
        <v>810</v>
      </c>
      <c r="CP22" s="121">
        <f>ROUNDUP([1]GB!CP24*1.045,0)</f>
        <v>729</v>
      </c>
      <c r="CQ22" s="121">
        <f>ROUNDUP([1]GB!CQ24*1.045,0)</f>
        <v>729</v>
      </c>
      <c r="CR22" s="121">
        <f>ROUNDUP([1]GB!CR24*1.045,0)</f>
        <v>759</v>
      </c>
      <c r="CS22" s="121">
        <f>ROUNDUP([1]GB!CS24*1.045,0)</f>
        <v>759</v>
      </c>
      <c r="CT22" s="121">
        <f>ROUNDUP([1]GB!CT24*1.045,0)</f>
        <v>759</v>
      </c>
      <c r="CU22" s="121">
        <f>ROUNDUP([1]GB!CU24*1.045,0)</f>
        <v>907</v>
      </c>
      <c r="CV22" s="121">
        <f>ROUNDUP([1]GB!CV24*1.045,0)</f>
        <v>729</v>
      </c>
      <c r="CW22" s="121">
        <f>ROUNDUP([1]GB!CW24*1.045,0)</f>
        <v>810</v>
      </c>
      <c r="CX22" s="121">
        <f>ROUNDUP([1]GB!CX24*1.045,0)</f>
        <v>729</v>
      </c>
      <c r="CY22" s="121">
        <f>ROUNDUP([1]GB!CY24*1.045,0)</f>
        <v>810</v>
      </c>
      <c r="CZ22" s="121">
        <f>ROUNDUP([1]GB!CZ24*1.045,0)</f>
        <v>810</v>
      </c>
      <c r="DA22" s="121">
        <f>ROUNDUP([1]GB!DA24*1.045,0)</f>
        <v>907</v>
      </c>
      <c r="DB22" s="121">
        <f>ROUNDUP([1]GB!DB24*1.045,0)</f>
        <v>810</v>
      </c>
      <c r="DC22" s="121">
        <f>ROUNDUP([1]GB!DC24*1.045,0)</f>
        <v>759</v>
      </c>
      <c r="DD22" s="121">
        <f>ROUNDUP([1]GB!DD24*1.045,0)</f>
        <v>907</v>
      </c>
      <c r="DE22" s="121"/>
      <c r="DF22" s="121">
        <f>ROUNDUP([1]GB!DF24*1.045,0)</f>
        <v>810</v>
      </c>
      <c r="DG22" s="121">
        <f>ROUNDUP([1]GB!DG24*1.045,0)</f>
        <v>729</v>
      </c>
      <c r="DH22" s="121">
        <f>ROUNDUP([1]GB!DH24*1.045,0)</f>
        <v>729</v>
      </c>
      <c r="DI22" s="121">
        <f>ROUNDUP([1]GB!DI24*1.045,0)</f>
        <v>729</v>
      </c>
      <c r="DJ22" s="121">
        <f>ROUNDUP([1]GB!DJ24*1.045,0)</f>
        <v>810</v>
      </c>
      <c r="DK22" s="121">
        <f>ROUNDUP([1]GB!DK24*1.045,0)</f>
        <v>729</v>
      </c>
      <c r="DL22" s="121">
        <f>ROUNDUP([1]GB!DL24*1.045,0)</f>
        <v>729</v>
      </c>
      <c r="DM22" s="121">
        <f>ROUNDUP([1]GB!DM24*1.045,0)</f>
        <v>759</v>
      </c>
      <c r="DN22" s="121">
        <f>ROUNDUP([1]GB!DN24*1.045,0)</f>
        <v>810</v>
      </c>
      <c r="DO22" s="121">
        <f>ROUNDUP([1]GB!DO24*1.045,0)</f>
        <v>810</v>
      </c>
      <c r="DP22" s="121">
        <f>ROUNDUP([1]GB!DP24*1.045,0)</f>
        <v>810</v>
      </c>
      <c r="DQ22" s="121">
        <f>ROUNDUP([1]GB!DQ24*1.045,0)</f>
        <v>810</v>
      </c>
      <c r="DR22" s="121">
        <f>ROUNDUP([1]GB!DR24*1.045,0)</f>
        <v>759</v>
      </c>
    </row>
    <row r="23" spans="1:122" ht="15" customHeight="1">
      <c r="A23" s="2">
        <v>6300</v>
      </c>
      <c r="B23" s="2">
        <v>3.6</v>
      </c>
      <c r="C23" s="2">
        <v>9</v>
      </c>
      <c r="D23" s="2"/>
      <c r="E23" s="121"/>
      <c r="F23" s="121">
        <f>ROUNDUP([1]GB!F25*1.045,0)</f>
        <v>745</v>
      </c>
      <c r="G23" s="121">
        <f>ROUNDUP([1]GB!G25*1.045,0)</f>
        <v>829</v>
      </c>
      <c r="H23" s="121">
        <f>ROUNDUP([1]GB!H25*1.045,0)</f>
        <v>829</v>
      </c>
      <c r="I23" s="121">
        <f>ROUNDUP([1]GB!I25*1.045,0)</f>
        <v>829</v>
      </c>
      <c r="J23" s="121">
        <f>ROUNDUP([1]GB!J25*1.045,0)</f>
        <v>776</v>
      </c>
      <c r="K23" s="121">
        <f>ROUNDUP([1]GB!K25*1.045,0)</f>
        <v>829</v>
      </c>
      <c r="L23" s="121">
        <f>ROUNDUP([1]GB!L25*1.045,0)</f>
        <v>829</v>
      </c>
      <c r="M23" s="121">
        <f>ROUNDUP([1]GB!M25*1.045,0)</f>
        <v>776</v>
      </c>
      <c r="N23" s="121">
        <f>ROUNDUP([1]GB!N25*1.045,0)</f>
        <v>745</v>
      </c>
      <c r="O23" s="121">
        <f>ROUNDUP([1]GB!O25*1.045,0)</f>
        <v>829</v>
      </c>
      <c r="P23" s="121">
        <f>ROUNDUP([1]GB!P25*1.045,0)</f>
        <v>926</v>
      </c>
      <c r="Q23" s="121">
        <f>ROUNDUP([1]GB!Q25*1.045,0)</f>
        <v>745</v>
      </c>
      <c r="R23" s="121">
        <f>ROUNDUP([1]GB!R25*1.045,0)</f>
        <v>829</v>
      </c>
      <c r="S23" s="121">
        <f>ROUNDUP([1]GB!S25*1.045,0)</f>
        <v>829</v>
      </c>
      <c r="T23" s="121">
        <f>ROUNDUP([1]GB!T25*1.045,0)</f>
        <v>745</v>
      </c>
      <c r="U23" s="121">
        <f>ROUNDUP([1]GB!U25*1.045,0)</f>
        <v>745</v>
      </c>
      <c r="V23" s="121">
        <f>ROUNDUP([1]GB!V25*1.045,0)</f>
        <v>745</v>
      </c>
      <c r="W23" s="121">
        <f>ROUNDUP([1]GB!W25*1.045,0)</f>
        <v>776</v>
      </c>
      <c r="X23" s="121">
        <f>ROUNDUP([1]GB!X25*1.045,0)</f>
        <v>776</v>
      </c>
      <c r="Y23" s="121">
        <f>ROUNDUP([1]GB!Y25*1.045,0)</f>
        <v>829</v>
      </c>
      <c r="Z23" s="121">
        <f>ROUNDUP([1]GB!Z25*1.045,0)</f>
        <v>745</v>
      </c>
      <c r="AA23" s="121"/>
      <c r="AB23" s="121">
        <f>ROUNDUP([1]GB!AB25*1.045,0)</f>
        <v>776</v>
      </c>
      <c r="AC23" s="121">
        <f>ROUNDUP([1]GB!AC25*1.045,0)</f>
        <v>1106</v>
      </c>
      <c r="AD23" s="121">
        <f>ROUNDUP([1]GB!AD25*1.045,0)</f>
        <v>926</v>
      </c>
      <c r="AE23" s="121">
        <f>ROUNDUP([1]GB!AE25*1.045,0)</f>
        <v>829</v>
      </c>
      <c r="AF23" s="121">
        <f>ROUNDUP([1]GB!AF25*1.045,0)</f>
        <v>776</v>
      </c>
      <c r="AG23" s="121">
        <f>ROUNDUP([1]GB!AG25*1.045,0)</f>
        <v>829</v>
      </c>
      <c r="AH23" s="121">
        <f>ROUNDUP([1]GB!AH25*1.045,0)</f>
        <v>829</v>
      </c>
      <c r="AI23" s="121">
        <f>ROUNDUP([1]GB!AI25*1.045,0)</f>
        <v>745</v>
      </c>
      <c r="AJ23" s="121">
        <f>ROUNDUP([1]GB!AJ25*1.045,0)</f>
        <v>745</v>
      </c>
      <c r="AK23" s="121">
        <f>ROUNDUP([1]GB!AK25*1.045,0)</f>
        <v>1106</v>
      </c>
      <c r="AL23" s="121">
        <f>ROUNDUP([1]GB!AL25*1.045,0)</f>
        <v>745</v>
      </c>
      <c r="AM23" s="121">
        <f>ROUNDUP([1]GB!AM25*1.045,0)</f>
        <v>829</v>
      </c>
      <c r="AN23" s="121">
        <f>ROUNDUP([1]GB!AN25*1.045,0)</f>
        <v>1106</v>
      </c>
      <c r="AO23" s="121">
        <f>ROUNDUP([1]GB!AO25*1.045,0)</f>
        <v>926</v>
      </c>
      <c r="AP23" s="121">
        <f>ROUNDUP([1]GB!AP25*1.045,0)</f>
        <v>1106</v>
      </c>
      <c r="AQ23" s="121">
        <f>ROUNDUP([1]GB!AQ25*1.045,0)</f>
        <v>776</v>
      </c>
      <c r="AR23" s="121">
        <f>ROUNDUP([1]GB!AR25*1.045,0)</f>
        <v>745</v>
      </c>
      <c r="AS23" s="121">
        <f>ROUNDUP([1]GB!AS25*1.045,0)</f>
        <v>745</v>
      </c>
      <c r="AT23" s="121">
        <f>ROUNDUP([1]GB!AT25*1.045,0)</f>
        <v>829</v>
      </c>
      <c r="AU23" s="121">
        <f>ROUNDUP([1]GB!AU25*1.045,0)</f>
        <v>776</v>
      </c>
      <c r="AV23" s="121">
        <f>ROUNDUP([1]GB!AV25*1.045,0)</f>
        <v>745</v>
      </c>
      <c r="AW23" s="121">
        <f>ROUNDUP([1]GB!AW25*1.045,0)</f>
        <v>829</v>
      </c>
      <c r="AX23" s="121">
        <f>ROUNDUP([1]GB!AX25*1.045,0)</f>
        <v>776</v>
      </c>
      <c r="AY23" s="121">
        <f>ROUNDUP([1]GB!AY25*1.045,0)</f>
        <v>829</v>
      </c>
      <c r="AZ23" s="121">
        <f>ROUNDUP([1]GB!AZ25*1.045,0)</f>
        <v>745</v>
      </c>
      <c r="BA23" s="121">
        <f>ROUNDUP([1]GB!BA25*1.045,0)</f>
        <v>745</v>
      </c>
      <c r="BB23" s="121"/>
      <c r="BC23" s="121">
        <f>ROUNDUP([1]GB!BC25*1.045,0)</f>
        <v>1106</v>
      </c>
      <c r="BD23" s="121">
        <f>ROUNDUP([1]GB!BD25*1.045,0)</f>
        <v>745</v>
      </c>
      <c r="BE23" s="121"/>
      <c r="BF23" s="121"/>
      <c r="BG23" s="121">
        <f>ROUNDUP([1]GB!BG25*1.045,0)</f>
        <v>829</v>
      </c>
      <c r="BH23" s="121">
        <f>ROUNDUP([1]GB!BH25*1.045,0)</f>
        <v>829</v>
      </c>
      <c r="BI23" s="121">
        <f>ROUNDUP([1]GB!BI25*1.045,0)</f>
        <v>829</v>
      </c>
      <c r="BJ23" s="121">
        <f>ROUNDUP([1]GB!BJ25*1.045,0)</f>
        <v>776</v>
      </c>
      <c r="BK23" s="121">
        <f>ROUNDUP([1]GB!BK25*1.045,0)</f>
        <v>926</v>
      </c>
      <c r="BL23" s="121">
        <f>ROUNDUP([1]GB!BL25*1.045,0)</f>
        <v>776</v>
      </c>
      <c r="BM23" s="121">
        <f>ROUNDUP([1]GB!BM25*1.045,0)</f>
        <v>776</v>
      </c>
      <c r="BN23" s="121">
        <f>ROUNDUP([1]GB!BN25*1.045,0)</f>
        <v>745</v>
      </c>
      <c r="BO23" s="121">
        <f>ROUNDUP([1]GB!BO25*1.045,0)</f>
        <v>829</v>
      </c>
      <c r="BP23" s="121">
        <f>ROUNDUP([1]GB!BP25*1.045,0)</f>
        <v>745</v>
      </c>
      <c r="BQ23" s="121">
        <f>ROUNDUP([1]GB!BQ25*1.045,0)</f>
        <v>776</v>
      </c>
      <c r="BR23" s="121">
        <f>ROUNDUP([1]GB!BR25*1.045,0)</f>
        <v>1106</v>
      </c>
      <c r="BS23" s="121">
        <f>ROUNDUP([1]GB!BS25*1.045,0)</f>
        <v>745</v>
      </c>
      <c r="BT23" s="121">
        <f>ROUNDUP([1]GB!BT25*1.045,0)</f>
        <v>926</v>
      </c>
      <c r="BU23" s="121">
        <f>ROUNDUP([1]GB!BU25*1.045,0)</f>
        <v>776</v>
      </c>
      <c r="BV23" s="121">
        <f>ROUNDUP([1]GB!BV25*1.045,0)</f>
        <v>776</v>
      </c>
      <c r="BW23" s="121">
        <f>ROUNDUP([1]GB!BW25*1.045,0)</f>
        <v>829</v>
      </c>
      <c r="BX23" s="121">
        <f>ROUNDUP([1]GB!BX25*1.045,0)</f>
        <v>776</v>
      </c>
      <c r="BY23" s="121">
        <f>ROUNDUP([1]GB!BY25*1.045,0)</f>
        <v>745</v>
      </c>
      <c r="BZ23" s="121">
        <f>ROUNDUP([1]GB!BZ25*1.045,0)</f>
        <v>829</v>
      </c>
      <c r="CA23" s="121">
        <f>ROUNDUP([1]GB!CA25*1.045,0)</f>
        <v>776</v>
      </c>
      <c r="CB23" s="121"/>
      <c r="CC23" s="121">
        <f>ROUNDUP([1]GB!CC25*1.045,0)</f>
        <v>776</v>
      </c>
      <c r="CD23" s="121"/>
      <c r="CE23" s="121">
        <f>ROUNDUP([1]GB!CE25*1.045,0)</f>
        <v>1106</v>
      </c>
      <c r="CF23" s="121">
        <f>ROUNDUP([1]GB!CF25*1.045,0)</f>
        <v>776</v>
      </c>
      <c r="CG23" s="121">
        <f>ROUNDUP([1]GB!CG25*1.045,0)</f>
        <v>829</v>
      </c>
      <c r="CH23" s="121">
        <f>ROUNDUP([1]GB!CH25*1.045,0)</f>
        <v>776</v>
      </c>
      <c r="CI23" s="121">
        <f>ROUNDUP([1]GB!CI25*1.045,0)</f>
        <v>745</v>
      </c>
      <c r="CJ23" s="121">
        <f>ROUNDUP([1]GB!CJ25*1.045,0)</f>
        <v>745</v>
      </c>
      <c r="CK23" s="121">
        <f>ROUNDUP([1]GB!CK25*1.045,0)</f>
        <v>776</v>
      </c>
      <c r="CL23" s="121">
        <f>ROUNDUP([1]GB!CL25*1.045,0)</f>
        <v>926</v>
      </c>
      <c r="CM23" s="121">
        <f>ROUNDUP([1]GB!CM25*1.045,0)</f>
        <v>745</v>
      </c>
      <c r="CN23" s="121">
        <f>ROUNDUP([1]GB!CN25*1.045,0)</f>
        <v>745</v>
      </c>
      <c r="CO23" s="121">
        <f>ROUNDUP([1]GB!CO25*1.045,0)</f>
        <v>829</v>
      </c>
      <c r="CP23" s="121">
        <f>ROUNDUP([1]GB!CP25*1.045,0)</f>
        <v>745</v>
      </c>
      <c r="CQ23" s="121">
        <f>ROUNDUP([1]GB!CQ25*1.045,0)</f>
        <v>745</v>
      </c>
      <c r="CR23" s="121">
        <f>ROUNDUP([1]GB!CR25*1.045,0)</f>
        <v>776</v>
      </c>
      <c r="CS23" s="121">
        <f>ROUNDUP([1]GB!CS25*1.045,0)</f>
        <v>776</v>
      </c>
      <c r="CT23" s="121">
        <f>ROUNDUP([1]GB!CT25*1.045,0)</f>
        <v>776</v>
      </c>
      <c r="CU23" s="121">
        <f>ROUNDUP([1]GB!CU25*1.045,0)</f>
        <v>926</v>
      </c>
      <c r="CV23" s="121">
        <f>ROUNDUP([1]GB!CV25*1.045,0)</f>
        <v>745</v>
      </c>
      <c r="CW23" s="121">
        <f>ROUNDUP([1]GB!CW25*1.045,0)</f>
        <v>829</v>
      </c>
      <c r="CX23" s="121">
        <f>ROUNDUP([1]GB!CX25*1.045,0)</f>
        <v>745</v>
      </c>
      <c r="CY23" s="121">
        <f>ROUNDUP([1]GB!CY25*1.045,0)</f>
        <v>829</v>
      </c>
      <c r="CZ23" s="121">
        <f>ROUNDUP([1]GB!CZ25*1.045,0)</f>
        <v>829</v>
      </c>
      <c r="DA23" s="121">
        <f>ROUNDUP([1]GB!DA25*1.045,0)</f>
        <v>926</v>
      </c>
      <c r="DB23" s="121">
        <f>ROUNDUP([1]GB!DB25*1.045,0)</f>
        <v>829</v>
      </c>
      <c r="DC23" s="121">
        <f>ROUNDUP([1]GB!DC25*1.045,0)</f>
        <v>776</v>
      </c>
      <c r="DD23" s="121">
        <f>ROUNDUP([1]GB!DD25*1.045,0)</f>
        <v>926</v>
      </c>
      <c r="DE23" s="121"/>
      <c r="DF23" s="121">
        <f>ROUNDUP([1]GB!DF25*1.045,0)</f>
        <v>829</v>
      </c>
      <c r="DG23" s="121">
        <f>ROUNDUP([1]GB!DG25*1.045,0)</f>
        <v>745</v>
      </c>
      <c r="DH23" s="121">
        <f>ROUNDUP([1]GB!DH25*1.045,0)</f>
        <v>745</v>
      </c>
      <c r="DI23" s="121">
        <f>ROUNDUP([1]GB!DI25*1.045,0)</f>
        <v>745</v>
      </c>
      <c r="DJ23" s="121">
        <f>ROUNDUP([1]GB!DJ25*1.045,0)</f>
        <v>829</v>
      </c>
      <c r="DK23" s="121">
        <f>ROUNDUP([1]GB!DK25*1.045,0)</f>
        <v>745</v>
      </c>
      <c r="DL23" s="121">
        <f>ROUNDUP([1]GB!DL25*1.045,0)</f>
        <v>745</v>
      </c>
      <c r="DM23" s="121">
        <f>ROUNDUP([1]GB!DM25*1.045,0)</f>
        <v>776</v>
      </c>
      <c r="DN23" s="121">
        <f>ROUNDUP([1]GB!DN25*1.045,0)</f>
        <v>829</v>
      </c>
      <c r="DO23" s="121">
        <f>ROUNDUP([1]GB!DO25*1.045,0)</f>
        <v>829</v>
      </c>
      <c r="DP23" s="121">
        <f>ROUNDUP([1]GB!DP25*1.045,0)</f>
        <v>829</v>
      </c>
      <c r="DQ23" s="121">
        <f>ROUNDUP([1]GB!DQ25*1.045,0)</f>
        <v>829</v>
      </c>
      <c r="DR23" s="121">
        <f>ROUNDUP([1]GB!DR25*1.045,0)</f>
        <v>776</v>
      </c>
    </row>
    <row r="24" spans="1:122" ht="15" customHeight="1">
      <c r="A24" s="2">
        <v>7000</v>
      </c>
      <c r="B24" s="2">
        <v>4</v>
      </c>
      <c r="C24" s="2">
        <v>10</v>
      </c>
      <c r="D24" s="2">
        <v>8</v>
      </c>
      <c r="E24" s="121"/>
      <c r="F24" s="121">
        <f>ROUNDUP([1]GB!F26*1.045,0)</f>
        <v>805</v>
      </c>
      <c r="G24" s="121">
        <f>ROUNDUP([1]GB!G26*1.045,0)</f>
        <v>897</v>
      </c>
      <c r="H24" s="121">
        <f>ROUNDUP([1]GB!H26*1.045,0)</f>
        <v>897</v>
      </c>
      <c r="I24" s="121">
        <f>ROUNDUP([1]GB!I26*1.045,0)</f>
        <v>897</v>
      </c>
      <c r="J24" s="121">
        <f>ROUNDUP([1]GB!J26*1.045,0)</f>
        <v>840</v>
      </c>
      <c r="K24" s="121">
        <f>ROUNDUP([1]GB!K26*1.045,0)</f>
        <v>897</v>
      </c>
      <c r="L24" s="121">
        <f>ROUNDUP([1]GB!L26*1.045,0)</f>
        <v>897</v>
      </c>
      <c r="M24" s="121">
        <f>ROUNDUP([1]GB!M26*1.045,0)</f>
        <v>840</v>
      </c>
      <c r="N24" s="121">
        <f>ROUNDUP([1]GB!N26*1.045,0)</f>
        <v>805</v>
      </c>
      <c r="O24" s="121">
        <f>ROUNDUP([1]GB!O26*1.045,0)</f>
        <v>897</v>
      </c>
      <c r="P24" s="121">
        <f>ROUNDUP([1]GB!P26*1.045,0)</f>
        <v>1006</v>
      </c>
      <c r="Q24" s="121">
        <f>ROUNDUP([1]GB!Q26*1.045,0)</f>
        <v>805</v>
      </c>
      <c r="R24" s="121">
        <f>ROUNDUP([1]GB!R26*1.045,0)</f>
        <v>897</v>
      </c>
      <c r="S24" s="121">
        <f>ROUNDUP([1]GB!S26*1.045,0)</f>
        <v>897</v>
      </c>
      <c r="T24" s="121">
        <f>ROUNDUP([1]GB!T26*1.045,0)</f>
        <v>805</v>
      </c>
      <c r="U24" s="121">
        <f>ROUNDUP([1]GB!U26*1.045,0)</f>
        <v>805</v>
      </c>
      <c r="V24" s="121">
        <f>ROUNDUP([1]GB!V26*1.045,0)</f>
        <v>805</v>
      </c>
      <c r="W24" s="121">
        <f>ROUNDUP([1]GB!W26*1.045,0)</f>
        <v>840</v>
      </c>
      <c r="X24" s="121">
        <f>ROUNDUP([1]GB!X26*1.045,0)</f>
        <v>840</v>
      </c>
      <c r="Y24" s="121">
        <f>ROUNDUP([1]GB!Y26*1.045,0)</f>
        <v>897</v>
      </c>
      <c r="Z24" s="121">
        <f>ROUNDUP([1]GB!Z26*1.045,0)</f>
        <v>805</v>
      </c>
      <c r="AA24" s="121"/>
      <c r="AB24" s="121">
        <f>ROUNDUP([1]GB!AB26*1.045,0)</f>
        <v>840</v>
      </c>
      <c r="AC24" s="121">
        <f>ROUNDUP([1]GB!AC26*1.045,0)</f>
        <v>1203</v>
      </c>
      <c r="AD24" s="121">
        <f>ROUNDUP([1]GB!AD26*1.045,0)</f>
        <v>1006</v>
      </c>
      <c r="AE24" s="121">
        <f>ROUNDUP([1]GB!AE26*1.045,0)</f>
        <v>897</v>
      </c>
      <c r="AF24" s="121">
        <f>ROUNDUP([1]GB!AF26*1.045,0)</f>
        <v>840</v>
      </c>
      <c r="AG24" s="121">
        <f>ROUNDUP([1]GB!AG26*1.045,0)</f>
        <v>897</v>
      </c>
      <c r="AH24" s="121">
        <f>ROUNDUP([1]GB!AH26*1.045,0)</f>
        <v>897</v>
      </c>
      <c r="AI24" s="121">
        <f>ROUNDUP([1]GB!AI26*1.045,0)</f>
        <v>805</v>
      </c>
      <c r="AJ24" s="121">
        <f>ROUNDUP([1]GB!AJ26*1.045,0)</f>
        <v>805</v>
      </c>
      <c r="AK24" s="121">
        <f>ROUNDUP([1]GB!AK26*1.045,0)</f>
        <v>1203</v>
      </c>
      <c r="AL24" s="121">
        <f>ROUNDUP([1]GB!AL26*1.045,0)</f>
        <v>805</v>
      </c>
      <c r="AM24" s="121">
        <f>ROUNDUP([1]GB!AM26*1.045,0)</f>
        <v>897</v>
      </c>
      <c r="AN24" s="121">
        <f>ROUNDUP([1]GB!AN26*1.045,0)</f>
        <v>1203</v>
      </c>
      <c r="AO24" s="121">
        <f>ROUNDUP([1]GB!AO26*1.045,0)</f>
        <v>1006</v>
      </c>
      <c r="AP24" s="121">
        <f>ROUNDUP([1]GB!AP26*1.045,0)</f>
        <v>1203</v>
      </c>
      <c r="AQ24" s="121">
        <f>ROUNDUP([1]GB!AQ26*1.045,0)</f>
        <v>840</v>
      </c>
      <c r="AR24" s="121">
        <f>ROUNDUP([1]GB!AR26*1.045,0)</f>
        <v>805</v>
      </c>
      <c r="AS24" s="121">
        <f>ROUNDUP([1]GB!AS26*1.045,0)</f>
        <v>805</v>
      </c>
      <c r="AT24" s="121">
        <f>ROUNDUP([1]GB!AT26*1.045,0)</f>
        <v>897</v>
      </c>
      <c r="AU24" s="121">
        <f>ROUNDUP([1]GB!AU26*1.045,0)</f>
        <v>840</v>
      </c>
      <c r="AV24" s="121">
        <f>ROUNDUP([1]GB!AV26*1.045,0)</f>
        <v>805</v>
      </c>
      <c r="AW24" s="121">
        <f>ROUNDUP([1]GB!AW26*1.045,0)</f>
        <v>897</v>
      </c>
      <c r="AX24" s="121">
        <f>ROUNDUP([1]GB!AX26*1.045,0)</f>
        <v>840</v>
      </c>
      <c r="AY24" s="121">
        <f>ROUNDUP([1]GB!AY26*1.045,0)</f>
        <v>897</v>
      </c>
      <c r="AZ24" s="121">
        <f>ROUNDUP([1]GB!AZ26*1.045,0)</f>
        <v>805</v>
      </c>
      <c r="BA24" s="121">
        <f>ROUNDUP([1]GB!BA26*1.045,0)</f>
        <v>805</v>
      </c>
      <c r="BB24" s="121"/>
      <c r="BC24" s="121">
        <f>ROUNDUP([1]GB!BC26*1.045,0)</f>
        <v>1203</v>
      </c>
      <c r="BD24" s="121">
        <f>ROUNDUP([1]GB!BD26*1.045,0)</f>
        <v>805</v>
      </c>
      <c r="BE24" s="121"/>
      <c r="BF24" s="121"/>
      <c r="BG24" s="121">
        <f>ROUNDUP([1]GB!BG26*1.045,0)</f>
        <v>897</v>
      </c>
      <c r="BH24" s="121">
        <f>ROUNDUP([1]GB!BH26*1.045,0)</f>
        <v>897</v>
      </c>
      <c r="BI24" s="121">
        <f>ROUNDUP([1]GB!BI26*1.045,0)</f>
        <v>897</v>
      </c>
      <c r="BJ24" s="121">
        <f>ROUNDUP([1]GB!BJ26*1.045,0)</f>
        <v>840</v>
      </c>
      <c r="BK24" s="121">
        <f>ROUNDUP([1]GB!BK26*1.045,0)</f>
        <v>1006</v>
      </c>
      <c r="BL24" s="121">
        <f>ROUNDUP([1]GB!BL26*1.045,0)</f>
        <v>840</v>
      </c>
      <c r="BM24" s="121">
        <f>ROUNDUP([1]GB!BM26*1.045,0)</f>
        <v>840</v>
      </c>
      <c r="BN24" s="121">
        <f>ROUNDUP([1]GB!BN26*1.045,0)</f>
        <v>805</v>
      </c>
      <c r="BO24" s="121">
        <f>ROUNDUP([1]GB!BO26*1.045,0)</f>
        <v>897</v>
      </c>
      <c r="BP24" s="121">
        <f>ROUNDUP([1]GB!BP26*1.045,0)</f>
        <v>805</v>
      </c>
      <c r="BQ24" s="121">
        <f>ROUNDUP([1]GB!BQ26*1.045,0)</f>
        <v>840</v>
      </c>
      <c r="BR24" s="121">
        <f>ROUNDUP([1]GB!BR26*1.045,0)</f>
        <v>1203</v>
      </c>
      <c r="BS24" s="121">
        <f>ROUNDUP([1]GB!BS26*1.045,0)</f>
        <v>805</v>
      </c>
      <c r="BT24" s="121">
        <f>ROUNDUP([1]GB!BT26*1.045,0)</f>
        <v>1006</v>
      </c>
      <c r="BU24" s="121">
        <f>ROUNDUP([1]GB!BU26*1.045,0)</f>
        <v>840</v>
      </c>
      <c r="BV24" s="121">
        <f>ROUNDUP([1]GB!BV26*1.045,0)</f>
        <v>840</v>
      </c>
      <c r="BW24" s="121">
        <f>ROUNDUP([1]GB!BW26*1.045,0)</f>
        <v>897</v>
      </c>
      <c r="BX24" s="121">
        <f>ROUNDUP([1]GB!BX26*1.045,0)</f>
        <v>840</v>
      </c>
      <c r="BY24" s="121">
        <f>ROUNDUP([1]GB!BY26*1.045,0)</f>
        <v>805</v>
      </c>
      <c r="BZ24" s="121">
        <f>ROUNDUP([1]GB!BZ26*1.045,0)</f>
        <v>897</v>
      </c>
      <c r="CA24" s="121">
        <f>ROUNDUP([1]GB!CA26*1.045,0)</f>
        <v>840</v>
      </c>
      <c r="CB24" s="121"/>
      <c r="CC24" s="121">
        <f>ROUNDUP([1]GB!CC26*1.045,0)</f>
        <v>840</v>
      </c>
      <c r="CD24" s="121"/>
      <c r="CE24" s="121">
        <f>ROUNDUP([1]GB!CE26*1.045,0)</f>
        <v>1203</v>
      </c>
      <c r="CF24" s="121">
        <f>ROUNDUP([1]GB!CF26*1.045,0)</f>
        <v>840</v>
      </c>
      <c r="CG24" s="121">
        <f>ROUNDUP([1]GB!CG26*1.045,0)</f>
        <v>897</v>
      </c>
      <c r="CH24" s="121">
        <f>ROUNDUP([1]GB!CH26*1.045,0)</f>
        <v>840</v>
      </c>
      <c r="CI24" s="121">
        <f>ROUNDUP([1]GB!CI26*1.045,0)</f>
        <v>805</v>
      </c>
      <c r="CJ24" s="121">
        <f>ROUNDUP([1]GB!CJ26*1.045,0)</f>
        <v>805</v>
      </c>
      <c r="CK24" s="121">
        <f>ROUNDUP([1]GB!CK26*1.045,0)</f>
        <v>840</v>
      </c>
      <c r="CL24" s="121">
        <f>ROUNDUP([1]GB!CL26*1.045,0)</f>
        <v>1006</v>
      </c>
      <c r="CM24" s="121">
        <f>ROUNDUP([1]GB!CM26*1.045,0)</f>
        <v>805</v>
      </c>
      <c r="CN24" s="121">
        <f>ROUNDUP([1]GB!CN26*1.045,0)</f>
        <v>805</v>
      </c>
      <c r="CO24" s="121">
        <f>ROUNDUP([1]GB!CO26*1.045,0)</f>
        <v>897</v>
      </c>
      <c r="CP24" s="121">
        <f>ROUNDUP([1]GB!CP26*1.045,0)</f>
        <v>805</v>
      </c>
      <c r="CQ24" s="121">
        <f>ROUNDUP([1]GB!CQ26*1.045,0)</f>
        <v>805</v>
      </c>
      <c r="CR24" s="121">
        <f>ROUNDUP([1]GB!CR26*1.045,0)</f>
        <v>840</v>
      </c>
      <c r="CS24" s="121">
        <f>ROUNDUP([1]GB!CS26*1.045,0)</f>
        <v>840</v>
      </c>
      <c r="CT24" s="121">
        <f>ROUNDUP([1]GB!CT26*1.045,0)</f>
        <v>840</v>
      </c>
      <c r="CU24" s="121">
        <f>ROUNDUP([1]GB!CU26*1.045,0)</f>
        <v>1006</v>
      </c>
      <c r="CV24" s="121">
        <f>ROUNDUP([1]GB!CV26*1.045,0)</f>
        <v>805</v>
      </c>
      <c r="CW24" s="121">
        <f>ROUNDUP([1]GB!CW26*1.045,0)</f>
        <v>897</v>
      </c>
      <c r="CX24" s="121">
        <f>ROUNDUP([1]GB!CX26*1.045,0)</f>
        <v>805</v>
      </c>
      <c r="CY24" s="121">
        <f>ROUNDUP([1]GB!CY26*1.045,0)</f>
        <v>897</v>
      </c>
      <c r="CZ24" s="121">
        <f>ROUNDUP([1]GB!CZ26*1.045,0)</f>
        <v>897</v>
      </c>
      <c r="DA24" s="121">
        <f>ROUNDUP([1]GB!DA26*1.045,0)</f>
        <v>1006</v>
      </c>
      <c r="DB24" s="121">
        <f>ROUNDUP([1]GB!DB26*1.045,0)</f>
        <v>897</v>
      </c>
      <c r="DC24" s="121">
        <f>ROUNDUP([1]GB!DC26*1.045,0)</f>
        <v>840</v>
      </c>
      <c r="DD24" s="121">
        <f>ROUNDUP([1]GB!DD26*1.045,0)</f>
        <v>1006</v>
      </c>
      <c r="DE24" s="121"/>
      <c r="DF24" s="121">
        <f>ROUNDUP([1]GB!DF26*1.045,0)</f>
        <v>897</v>
      </c>
      <c r="DG24" s="121">
        <f>ROUNDUP([1]GB!DG26*1.045,0)</f>
        <v>805</v>
      </c>
      <c r="DH24" s="121">
        <f>ROUNDUP([1]GB!DH26*1.045,0)</f>
        <v>805</v>
      </c>
      <c r="DI24" s="121">
        <f>ROUNDUP([1]GB!DI26*1.045,0)</f>
        <v>805</v>
      </c>
      <c r="DJ24" s="121">
        <f>ROUNDUP([1]GB!DJ26*1.045,0)</f>
        <v>897</v>
      </c>
      <c r="DK24" s="121">
        <f>ROUNDUP([1]GB!DK26*1.045,0)</f>
        <v>805</v>
      </c>
      <c r="DL24" s="121">
        <f>ROUNDUP([1]GB!DL26*1.045,0)</f>
        <v>805</v>
      </c>
      <c r="DM24" s="121">
        <f>ROUNDUP([1]GB!DM26*1.045,0)</f>
        <v>840</v>
      </c>
      <c r="DN24" s="121">
        <f>ROUNDUP([1]GB!DN26*1.045,0)</f>
        <v>897</v>
      </c>
      <c r="DO24" s="121">
        <f>ROUNDUP([1]GB!DO26*1.045,0)</f>
        <v>897</v>
      </c>
      <c r="DP24" s="121">
        <f>ROUNDUP([1]GB!DP26*1.045,0)</f>
        <v>897</v>
      </c>
      <c r="DQ24" s="121">
        <f>ROUNDUP([1]GB!DQ26*1.045,0)</f>
        <v>897</v>
      </c>
      <c r="DR24" s="121">
        <f>ROUNDUP([1]GB!DR26*1.045,0)</f>
        <v>840</v>
      </c>
    </row>
    <row r="25" spans="1:122" ht="15" customHeight="1">
      <c r="A25" s="3"/>
      <c r="B25" s="3"/>
      <c r="C25" s="3"/>
      <c r="D25" s="3"/>
    </row>
    <row r="26" spans="1:122" ht="15" customHeight="1">
      <c r="A26" s="4" t="s">
        <v>24</v>
      </c>
      <c r="B26" s="3"/>
      <c r="C26" s="3"/>
      <c r="D26" s="3"/>
    </row>
    <row r="27" spans="1:122" ht="15" customHeight="1">
      <c r="A27" s="3"/>
      <c r="B27" s="3"/>
      <c r="C27" s="3"/>
      <c r="D27" s="3"/>
    </row>
    <row r="28" spans="1:122" ht="15" customHeight="1">
      <c r="A28" s="6" t="s">
        <v>25</v>
      </c>
      <c r="B28" s="40"/>
      <c r="C28" s="6" t="s">
        <v>26</v>
      </c>
      <c r="D28" s="40"/>
      <c r="E28" s="95"/>
      <c r="F28" s="96"/>
      <c r="G28" s="71" t="s">
        <v>27</v>
      </c>
      <c r="H28" s="96"/>
      <c r="I28" s="96"/>
      <c r="J28" s="96"/>
      <c r="K28" s="96"/>
      <c r="L28" s="96"/>
      <c r="M28" s="96"/>
      <c r="N28" s="96"/>
      <c r="O28" s="96"/>
      <c r="P28" s="96"/>
      <c r="Q28" s="96"/>
      <c r="R28" s="96"/>
      <c r="S28" s="70"/>
      <c r="T28" s="71" t="s">
        <v>27</v>
      </c>
      <c r="U28" s="96"/>
      <c r="V28" s="96"/>
      <c r="W28" s="96"/>
      <c r="X28" s="96"/>
      <c r="Y28" s="96"/>
      <c r="Z28" s="96"/>
      <c r="AA28" s="96"/>
      <c r="AB28" s="96"/>
      <c r="AC28" s="96"/>
      <c r="AD28" s="96"/>
      <c r="AE28" s="96"/>
      <c r="AF28" s="96"/>
      <c r="AG28" s="71" t="s">
        <v>27</v>
      </c>
      <c r="AH28" s="96"/>
      <c r="AI28" s="96"/>
      <c r="AJ28" s="96"/>
      <c r="AK28" s="96"/>
      <c r="AL28" s="96"/>
      <c r="AM28" s="96"/>
      <c r="AN28" s="96"/>
      <c r="AO28" s="71"/>
      <c r="AP28" s="96"/>
      <c r="AQ28" s="96"/>
      <c r="AR28" s="96"/>
      <c r="AS28" s="96"/>
      <c r="AT28" s="71" t="s">
        <v>27</v>
      </c>
      <c r="AU28" s="96"/>
      <c r="AV28" s="96"/>
      <c r="AW28" s="96"/>
      <c r="AX28" s="96"/>
      <c r="AY28" s="96"/>
      <c r="AZ28" s="96"/>
      <c r="BA28" s="96"/>
      <c r="BB28" s="71"/>
      <c r="BC28" s="96"/>
      <c r="BD28" s="96"/>
      <c r="BE28" s="96"/>
      <c r="BF28" s="96"/>
      <c r="BG28" s="71" t="s">
        <v>27</v>
      </c>
      <c r="BH28" s="96"/>
      <c r="BI28" s="96"/>
      <c r="BJ28" s="96"/>
      <c r="BK28" s="96"/>
      <c r="BL28" s="96"/>
      <c r="BM28" s="96"/>
      <c r="BN28" s="96"/>
      <c r="BO28" s="96"/>
      <c r="BP28" s="96"/>
      <c r="BQ28" s="71"/>
      <c r="BR28" s="96"/>
      <c r="BS28" s="96"/>
      <c r="BT28" s="71" t="s">
        <v>27</v>
      </c>
      <c r="BU28" s="96"/>
      <c r="BV28" s="96"/>
      <c r="BW28" s="96"/>
      <c r="BX28" s="96"/>
      <c r="BY28" s="96"/>
      <c r="BZ28" s="96"/>
      <c r="CA28" s="96"/>
      <c r="CB28" s="96"/>
      <c r="CC28" s="96"/>
      <c r="CD28" s="71"/>
      <c r="CE28" s="96"/>
      <c r="CF28" s="96"/>
      <c r="CG28" s="71" t="s">
        <v>27</v>
      </c>
      <c r="CH28" s="96"/>
      <c r="CI28" s="96"/>
      <c r="CJ28" s="96"/>
      <c r="CK28" s="96"/>
      <c r="CL28" s="71"/>
      <c r="CM28" s="96"/>
      <c r="CN28" s="96"/>
      <c r="CO28" s="96"/>
      <c r="CP28" s="71"/>
      <c r="CQ28" s="96"/>
      <c r="CR28" s="96"/>
      <c r="CS28" s="96"/>
      <c r="CT28" s="71" t="s">
        <v>27</v>
      </c>
      <c r="CU28" s="96"/>
      <c r="CV28" s="96"/>
      <c r="CW28" s="96"/>
      <c r="CX28" s="71"/>
      <c r="CY28" s="96"/>
      <c r="CZ28" s="96"/>
      <c r="DA28" s="96"/>
      <c r="DB28" s="71"/>
      <c r="DC28" s="96"/>
      <c r="DD28" s="96"/>
      <c r="DE28" s="96"/>
      <c r="DF28" s="96"/>
      <c r="DG28" s="71" t="s">
        <v>27</v>
      </c>
      <c r="DH28" s="96"/>
      <c r="DI28" s="96"/>
      <c r="DJ28" s="71"/>
      <c r="DK28" s="96"/>
      <c r="DL28" s="96"/>
      <c r="DM28" s="96"/>
      <c r="DN28" s="70"/>
      <c r="DO28" s="70"/>
      <c r="DP28" s="70"/>
      <c r="DQ28" s="70"/>
      <c r="DR28" s="72"/>
    </row>
    <row r="29" spans="1:122" ht="15" customHeight="1">
      <c r="A29" s="222" t="s">
        <v>28</v>
      </c>
      <c r="B29" s="223"/>
      <c r="C29" s="6" t="s">
        <v>29</v>
      </c>
      <c r="D29" s="73"/>
      <c r="E29" s="74" t="s">
        <v>31</v>
      </c>
      <c r="F29" s="74" t="s">
        <v>30</v>
      </c>
      <c r="G29" s="74" t="s">
        <v>30</v>
      </c>
      <c r="H29" s="74" t="s">
        <v>30</v>
      </c>
      <c r="I29" s="74" t="s">
        <v>30</v>
      </c>
      <c r="J29" s="74" t="s">
        <v>30</v>
      </c>
      <c r="K29" s="74" t="s">
        <v>30</v>
      </c>
      <c r="L29" s="74" t="s">
        <v>30</v>
      </c>
      <c r="M29" s="74" t="s">
        <v>30</v>
      </c>
      <c r="N29" s="74" t="s">
        <v>30</v>
      </c>
      <c r="O29" s="74" t="s">
        <v>30</v>
      </c>
      <c r="P29" s="74" t="s">
        <v>30</v>
      </c>
      <c r="Q29" s="74" t="s">
        <v>30</v>
      </c>
      <c r="R29" s="74" t="s">
        <v>30</v>
      </c>
      <c r="S29" s="74" t="s">
        <v>30</v>
      </c>
      <c r="T29" s="74" t="s">
        <v>30</v>
      </c>
      <c r="U29" s="74" t="s">
        <v>30</v>
      </c>
      <c r="V29" s="74" t="s">
        <v>30</v>
      </c>
      <c r="W29" s="74" t="s">
        <v>30</v>
      </c>
      <c r="X29" s="74" t="s">
        <v>30</v>
      </c>
      <c r="Y29" s="74" t="s">
        <v>30</v>
      </c>
      <c r="Z29" s="74" t="s">
        <v>30</v>
      </c>
      <c r="AA29" s="74" t="s">
        <v>31</v>
      </c>
      <c r="AB29" s="74" t="s">
        <v>30</v>
      </c>
      <c r="AC29" s="74" t="s">
        <v>31</v>
      </c>
      <c r="AD29" s="74" t="s">
        <v>30</v>
      </c>
      <c r="AE29" s="74" t="s">
        <v>30</v>
      </c>
      <c r="AF29" s="74" t="s">
        <v>30</v>
      </c>
      <c r="AG29" s="74" t="s">
        <v>30</v>
      </c>
      <c r="AH29" s="74" t="s">
        <v>30</v>
      </c>
      <c r="AI29" s="74" t="s">
        <v>30</v>
      </c>
      <c r="AJ29" s="74" t="s">
        <v>30</v>
      </c>
      <c r="AK29" s="74" t="s">
        <v>31</v>
      </c>
      <c r="AL29" s="74" t="s">
        <v>30</v>
      </c>
      <c r="AM29" s="74" t="s">
        <v>30</v>
      </c>
      <c r="AN29" s="74" t="s">
        <v>31</v>
      </c>
      <c r="AO29" s="74" t="s">
        <v>30</v>
      </c>
      <c r="AP29" s="74" t="s">
        <v>31</v>
      </c>
      <c r="AQ29" s="74" t="s">
        <v>30</v>
      </c>
      <c r="AR29" s="74" t="s">
        <v>30</v>
      </c>
      <c r="AS29" s="74" t="s">
        <v>30</v>
      </c>
      <c r="AT29" s="74" t="s">
        <v>30</v>
      </c>
      <c r="AU29" s="74" t="s">
        <v>30</v>
      </c>
      <c r="AV29" s="74" t="s">
        <v>30</v>
      </c>
      <c r="AW29" s="74" t="s">
        <v>30</v>
      </c>
      <c r="AX29" s="74" t="s">
        <v>30</v>
      </c>
      <c r="AY29" s="74" t="s">
        <v>30</v>
      </c>
      <c r="AZ29" s="74" t="s">
        <v>30</v>
      </c>
      <c r="BA29" s="74" t="s">
        <v>30</v>
      </c>
      <c r="BB29" s="74" t="s">
        <v>31</v>
      </c>
      <c r="BC29" s="74" t="s">
        <v>31</v>
      </c>
      <c r="BD29" s="74" t="s">
        <v>30</v>
      </c>
      <c r="BE29" s="74" t="s">
        <v>30</v>
      </c>
      <c r="BF29" s="74" t="s">
        <v>30</v>
      </c>
      <c r="BG29" s="74" t="s">
        <v>30</v>
      </c>
      <c r="BH29" s="74" t="s">
        <v>30</v>
      </c>
      <c r="BI29" s="74" t="s">
        <v>30</v>
      </c>
      <c r="BJ29" s="74" t="s">
        <v>30</v>
      </c>
      <c r="BK29" s="74" t="s">
        <v>30</v>
      </c>
      <c r="BL29" s="74" t="s">
        <v>30</v>
      </c>
      <c r="BM29" s="74" t="s">
        <v>30</v>
      </c>
      <c r="BN29" s="74" t="s">
        <v>30</v>
      </c>
      <c r="BO29" s="74" t="s">
        <v>30</v>
      </c>
      <c r="BP29" s="74" t="s">
        <v>30</v>
      </c>
      <c r="BQ29" s="74" t="s">
        <v>30</v>
      </c>
      <c r="BR29" s="74" t="s">
        <v>30</v>
      </c>
      <c r="BS29" s="74" t="s">
        <v>30</v>
      </c>
      <c r="BT29" s="74" t="s">
        <v>30</v>
      </c>
      <c r="BU29" s="74" t="s">
        <v>30</v>
      </c>
      <c r="BV29" s="74" t="s">
        <v>30</v>
      </c>
      <c r="BW29" s="74" t="s">
        <v>30</v>
      </c>
      <c r="BX29" s="74" t="s">
        <v>30</v>
      </c>
      <c r="BY29" s="74" t="s">
        <v>30</v>
      </c>
      <c r="BZ29" s="74" t="s">
        <v>30</v>
      </c>
      <c r="CA29" s="74" t="s">
        <v>30</v>
      </c>
      <c r="CB29" s="74" t="s">
        <v>31</v>
      </c>
      <c r="CC29" s="74" t="s">
        <v>30</v>
      </c>
      <c r="CD29" s="74" t="s">
        <v>31</v>
      </c>
      <c r="CE29" s="74" t="s">
        <v>30</v>
      </c>
      <c r="CF29" s="74" t="s">
        <v>30</v>
      </c>
      <c r="CG29" s="74" t="s">
        <v>30</v>
      </c>
      <c r="CH29" s="74" t="s">
        <v>30</v>
      </c>
      <c r="CI29" s="74" t="s">
        <v>31</v>
      </c>
      <c r="CJ29" s="74" t="s">
        <v>30</v>
      </c>
      <c r="CK29" s="74" t="s">
        <v>30</v>
      </c>
      <c r="CL29" s="74" t="s">
        <v>30</v>
      </c>
      <c r="CM29" s="74" t="s">
        <v>30</v>
      </c>
      <c r="CN29" s="74" t="s">
        <v>30</v>
      </c>
      <c r="CO29" s="74" t="s">
        <v>30</v>
      </c>
      <c r="CP29" s="74" t="s">
        <v>30</v>
      </c>
      <c r="CQ29" s="74" t="s">
        <v>30</v>
      </c>
      <c r="CR29" s="74" t="s">
        <v>30</v>
      </c>
      <c r="CS29" s="74" t="s">
        <v>30</v>
      </c>
      <c r="CT29" s="74" t="s">
        <v>30</v>
      </c>
      <c r="CU29" s="74" t="s">
        <v>30</v>
      </c>
      <c r="CV29" s="74" t="s">
        <v>30</v>
      </c>
      <c r="CW29" s="74" t="s">
        <v>30</v>
      </c>
      <c r="CX29" s="74" t="s">
        <v>30</v>
      </c>
      <c r="CY29" s="74" t="s">
        <v>30</v>
      </c>
      <c r="CZ29" s="74" t="s">
        <v>30</v>
      </c>
      <c r="DA29" s="74" t="s">
        <v>31</v>
      </c>
      <c r="DB29" s="74" t="s">
        <v>30</v>
      </c>
      <c r="DC29" s="74" t="s">
        <v>30</v>
      </c>
      <c r="DD29" s="74" t="s">
        <v>30</v>
      </c>
      <c r="DE29" s="74" t="s">
        <v>30</v>
      </c>
      <c r="DF29" s="74" t="s">
        <v>30</v>
      </c>
      <c r="DG29" s="74" t="s">
        <v>30</v>
      </c>
      <c r="DH29" s="74" t="s">
        <v>30</v>
      </c>
      <c r="DI29" s="74" t="s">
        <v>30</v>
      </c>
      <c r="DJ29" s="74" t="s">
        <v>30</v>
      </c>
      <c r="DK29" s="74" t="s">
        <v>30</v>
      </c>
      <c r="DL29" s="74" t="s">
        <v>30</v>
      </c>
      <c r="DM29" s="74" t="s">
        <v>30</v>
      </c>
      <c r="DN29" s="74" t="s">
        <v>30</v>
      </c>
      <c r="DO29" s="74" t="s">
        <v>30</v>
      </c>
      <c r="DP29" s="74" t="s">
        <v>30</v>
      </c>
      <c r="DQ29" s="74" t="s">
        <v>30</v>
      </c>
      <c r="DR29" s="74" t="s">
        <v>30</v>
      </c>
    </row>
    <row r="30" spans="1:122" ht="15" customHeight="1">
      <c r="A30" s="222" t="s">
        <v>32</v>
      </c>
      <c r="B30" s="223"/>
      <c r="C30" s="6" t="s">
        <v>29</v>
      </c>
      <c r="D30" s="73"/>
      <c r="E30" s="74" t="s">
        <v>31</v>
      </c>
      <c r="F30" s="74" t="s">
        <v>30</v>
      </c>
      <c r="G30" s="74" t="s">
        <v>30</v>
      </c>
      <c r="H30" s="74" t="s">
        <v>30</v>
      </c>
      <c r="I30" s="74" t="s">
        <v>30</v>
      </c>
      <c r="J30" s="74" t="s">
        <v>30</v>
      </c>
      <c r="K30" s="74" t="s">
        <v>30</v>
      </c>
      <c r="L30" s="74" t="s">
        <v>30</v>
      </c>
      <c r="M30" s="74" t="s">
        <v>30</v>
      </c>
      <c r="N30" s="74" t="s">
        <v>30</v>
      </c>
      <c r="O30" s="74" t="s">
        <v>30</v>
      </c>
      <c r="P30" s="74" t="s">
        <v>30</v>
      </c>
      <c r="Q30" s="74" t="s">
        <v>30</v>
      </c>
      <c r="R30" s="74" t="s">
        <v>30</v>
      </c>
      <c r="S30" s="74" t="s">
        <v>30</v>
      </c>
      <c r="T30" s="74" t="s">
        <v>30</v>
      </c>
      <c r="U30" s="74" t="s">
        <v>30</v>
      </c>
      <c r="V30" s="74" t="s">
        <v>30</v>
      </c>
      <c r="W30" s="74" t="s">
        <v>30</v>
      </c>
      <c r="X30" s="74" t="s">
        <v>30</v>
      </c>
      <c r="Y30" s="74" t="s">
        <v>30</v>
      </c>
      <c r="Z30" s="74" t="s">
        <v>30</v>
      </c>
      <c r="AA30" s="74" t="s">
        <v>31</v>
      </c>
      <c r="AB30" s="74" t="s">
        <v>30</v>
      </c>
      <c r="AC30" s="74" t="s">
        <v>31</v>
      </c>
      <c r="AD30" s="74" t="s">
        <v>30</v>
      </c>
      <c r="AE30" s="74" t="s">
        <v>30</v>
      </c>
      <c r="AF30" s="74" t="s">
        <v>30</v>
      </c>
      <c r="AG30" s="74" t="s">
        <v>30</v>
      </c>
      <c r="AH30" s="74" t="s">
        <v>30</v>
      </c>
      <c r="AI30" s="74" t="s">
        <v>30</v>
      </c>
      <c r="AJ30" s="74" t="s">
        <v>30</v>
      </c>
      <c r="AK30" s="74" t="s">
        <v>31</v>
      </c>
      <c r="AL30" s="74" t="s">
        <v>30</v>
      </c>
      <c r="AM30" s="74" t="s">
        <v>30</v>
      </c>
      <c r="AN30" s="74" t="s">
        <v>31</v>
      </c>
      <c r="AO30" s="74" t="s">
        <v>30</v>
      </c>
      <c r="AP30" s="74" t="s">
        <v>31</v>
      </c>
      <c r="AQ30" s="74" t="s">
        <v>30</v>
      </c>
      <c r="AR30" s="74" t="s">
        <v>30</v>
      </c>
      <c r="AS30" s="74" t="s">
        <v>30</v>
      </c>
      <c r="AT30" s="74" t="s">
        <v>30</v>
      </c>
      <c r="AU30" s="74" t="s">
        <v>30</v>
      </c>
      <c r="AV30" s="74" t="s">
        <v>30</v>
      </c>
      <c r="AW30" s="74" t="s">
        <v>30</v>
      </c>
      <c r="AX30" s="74" t="s">
        <v>30</v>
      </c>
      <c r="AY30" s="74" t="s">
        <v>30</v>
      </c>
      <c r="AZ30" s="74" t="s">
        <v>30</v>
      </c>
      <c r="BA30" s="74" t="s">
        <v>30</v>
      </c>
      <c r="BB30" s="74" t="s">
        <v>31</v>
      </c>
      <c r="BC30" s="74" t="s">
        <v>31</v>
      </c>
      <c r="BD30" s="74" t="s">
        <v>30</v>
      </c>
      <c r="BE30" s="74" t="s">
        <v>30</v>
      </c>
      <c r="BF30" s="74" t="s">
        <v>30</v>
      </c>
      <c r="BG30" s="74" t="s">
        <v>30</v>
      </c>
      <c r="BH30" s="74" t="s">
        <v>30</v>
      </c>
      <c r="BI30" s="74" t="s">
        <v>30</v>
      </c>
      <c r="BJ30" s="74" t="s">
        <v>30</v>
      </c>
      <c r="BK30" s="74" t="s">
        <v>30</v>
      </c>
      <c r="BL30" s="74" t="s">
        <v>30</v>
      </c>
      <c r="BM30" s="74" t="s">
        <v>30</v>
      </c>
      <c r="BN30" s="74" t="s">
        <v>30</v>
      </c>
      <c r="BO30" s="74" t="s">
        <v>30</v>
      </c>
      <c r="BP30" s="74" t="s">
        <v>30</v>
      </c>
      <c r="BQ30" s="74" t="s">
        <v>30</v>
      </c>
      <c r="BR30" s="74" t="s">
        <v>30</v>
      </c>
      <c r="BS30" s="74" t="s">
        <v>30</v>
      </c>
      <c r="BT30" s="74" t="s">
        <v>30</v>
      </c>
      <c r="BU30" s="74" t="s">
        <v>30</v>
      </c>
      <c r="BV30" s="74" t="s">
        <v>30</v>
      </c>
      <c r="BW30" s="74" t="s">
        <v>30</v>
      </c>
      <c r="BX30" s="74" t="s">
        <v>30</v>
      </c>
      <c r="BY30" s="74" t="s">
        <v>30</v>
      </c>
      <c r="BZ30" s="74" t="s">
        <v>30</v>
      </c>
      <c r="CA30" s="74" t="s">
        <v>30</v>
      </c>
      <c r="CB30" s="74" t="s">
        <v>31</v>
      </c>
      <c r="CC30" s="74" t="s">
        <v>30</v>
      </c>
      <c r="CD30" s="74" t="s">
        <v>31</v>
      </c>
      <c r="CE30" s="74" t="s">
        <v>30</v>
      </c>
      <c r="CF30" s="74" t="s">
        <v>30</v>
      </c>
      <c r="CG30" s="74" t="s">
        <v>30</v>
      </c>
      <c r="CH30" s="74" t="s">
        <v>30</v>
      </c>
      <c r="CI30" s="74" t="s">
        <v>31</v>
      </c>
      <c r="CJ30" s="74" t="s">
        <v>30</v>
      </c>
      <c r="CK30" s="74" t="s">
        <v>30</v>
      </c>
      <c r="CL30" s="74" t="s">
        <v>30</v>
      </c>
      <c r="CM30" s="74" t="s">
        <v>30</v>
      </c>
      <c r="CN30" s="74" t="s">
        <v>30</v>
      </c>
      <c r="CO30" s="74" t="s">
        <v>30</v>
      </c>
      <c r="CP30" s="74" t="s">
        <v>30</v>
      </c>
      <c r="CQ30" s="74" t="s">
        <v>30</v>
      </c>
      <c r="CR30" s="74" t="s">
        <v>30</v>
      </c>
      <c r="CS30" s="74" t="s">
        <v>30</v>
      </c>
      <c r="CT30" s="74" t="s">
        <v>30</v>
      </c>
      <c r="CU30" s="74" t="s">
        <v>30</v>
      </c>
      <c r="CV30" s="74" t="s">
        <v>30</v>
      </c>
      <c r="CW30" s="74" t="s">
        <v>30</v>
      </c>
      <c r="CX30" s="74" t="s">
        <v>30</v>
      </c>
      <c r="CY30" s="74" t="s">
        <v>30</v>
      </c>
      <c r="CZ30" s="74" t="s">
        <v>30</v>
      </c>
      <c r="DA30" s="74" t="s">
        <v>31</v>
      </c>
      <c r="DB30" s="74" t="s">
        <v>30</v>
      </c>
      <c r="DC30" s="74" t="s">
        <v>30</v>
      </c>
      <c r="DD30" s="74" t="s">
        <v>30</v>
      </c>
      <c r="DE30" s="74" t="s">
        <v>30</v>
      </c>
      <c r="DF30" s="74" t="s">
        <v>30</v>
      </c>
      <c r="DG30" s="74" t="s">
        <v>30</v>
      </c>
      <c r="DH30" s="74" t="s">
        <v>30</v>
      </c>
      <c r="DI30" s="74" t="s">
        <v>30</v>
      </c>
      <c r="DJ30" s="74" t="s">
        <v>30</v>
      </c>
      <c r="DK30" s="74" t="s">
        <v>30</v>
      </c>
      <c r="DL30" s="74" t="s">
        <v>30</v>
      </c>
      <c r="DM30" s="74" t="s">
        <v>30</v>
      </c>
      <c r="DN30" s="74" t="s">
        <v>30</v>
      </c>
      <c r="DO30" s="74" t="s">
        <v>30</v>
      </c>
      <c r="DP30" s="74" t="s">
        <v>30</v>
      </c>
      <c r="DQ30" s="74" t="s">
        <v>30</v>
      </c>
      <c r="DR30" s="74" t="s">
        <v>30</v>
      </c>
    </row>
    <row r="31" spans="1:122" ht="15" customHeight="1">
      <c r="A31" s="227" t="s">
        <v>33</v>
      </c>
      <c r="B31" s="228"/>
      <c r="C31" s="6" t="s">
        <v>29</v>
      </c>
      <c r="D31" s="76"/>
      <c r="E31" s="74" t="s">
        <v>30</v>
      </c>
      <c r="F31" s="112">
        <v>2</v>
      </c>
      <c r="G31" s="112">
        <v>2</v>
      </c>
      <c r="H31" s="112">
        <v>2</v>
      </c>
      <c r="I31" s="112">
        <v>2</v>
      </c>
      <c r="J31" s="112">
        <v>2</v>
      </c>
      <c r="K31" s="112">
        <v>2</v>
      </c>
      <c r="L31" s="112">
        <v>2</v>
      </c>
      <c r="M31" s="112">
        <v>2</v>
      </c>
      <c r="N31" s="112">
        <v>2</v>
      </c>
      <c r="O31" s="112">
        <v>2</v>
      </c>
      <c r="P31" s="112">
        <v>2</v>
      </c>
      <c r="Q31" s="112">
        <v>2</v>
      </c>
      <c r="R31" s="112">
        <v>2</v>
      </c>
      <c r="S31" s="112">
        <v>2</v>
      </c>
      <c r="T31" s="112">
        <v>2</v>
      </c>
      <c r="U31" s="112">
        <v>2</v>
      </c>
      <c r="V31" s="112">
        <v>2</v>
      </c>
      <c r="W31" s="112">
        <v>2</v>
      </c>
      <c r="X31" s="112">
        <v>2</v>
      </c>
      <c r="Y31" s="112">
        <v>2</v>
      </c>
      <c r="Z31" s="112">
        <v>2</v>
      </c>
      <c r="AA31" s="74" t="s">
        <v>30</v>
      </c>
      <c r="AB31" s="112">
        <v>2</v>
      </c>
      <c r="AC31" s="74" t="s">
        <v>30</v>
      </c>
      <c r="AD31" s="112">
        <v>2</v>
      </c>
      <c r="AE31" s="112">
        <v>2</v>
      </c>
      <c r="AF31" s="112">
        <v>2</v>
      </c>
      <c r="AG31" s="112">
        <v>2</v>
      </c>
      <c r="AH31" s="112">
        <v>2</v>
      </c>
      <c r="AI31" s="112">
        <v>2</v>
      </c>
      <c r="AJ31" s="112">
        <v>2</v>
      </c>
      <c r="AK31" s="74" t="s">
        <v>30</v>
      </c>
      <c r="AL31" s="112">
        <v>2</v>
      </c>
      <c r="AM31" s="112">
        <v>2</v>
      </c>
      <c r="AN31" s="74" t="s">
        <v>30</v>
      </c>
      <c r="AO31" s="112">
        <v>2</v>
      </c>
      <c r="AP31" s="74" t="s">
        <v>30</v>
      </c>
      <c r="AQ31" s="112">
        <v>2</v>
      </c>
      <c r="AR31" s="112">
        <v>2</v>
      </c>
      <c r="AS31" s="112">
        <v>2</v>
      </c>
      <c r="AT31" s="112">
        <v>2</v>
      </c>
      <c r="AU31" s="112">
        <v>2</v>
      </c>
      <c r="AV31" s="112">
        <v>2</v>
      </c>
      <c r="AW31" s="112">
        <v>2</v>
      </c>
      <c r="AX31" s="112">
        <v>2</v>
      </c>
      <c r="AY31" s="112">
        <v>2</v>
      </c>
      <c r="AZ31" s="112">
        <v>2</v>
      </c>
      <c r="BA31" s="112">
        <v>2</v>
      </c>
      <c r="BB31" s="74" t="s">
        <v>30</v>
      </c>
      <c r="BC31" s="74" t="s">
        <v>30</v>
      </c>
      <c r="BD31" s="112">
        <v>2</v>
      </c>
      <c r="BE31" s="112">
        <v>2</v>
      </c>
      <c r="BF31" s="112">
        <v>2</v>
      </c>
      <c r="BG31" s="112">
        <v>2</v>
      </c>
      <c r="BH31" s="112">
        <v>2</v>
      </c>
      <c r="BI31" s="112">
        <v>2</v>
      </c>
      <c r="BJ31" s="112">
        <v>2</v>
      </c>
      <c r="BK31" s="112">
        <v>2</v>
      </c>
      <c r="BL31" s="112">
        <v>2</v>
      </c>
      <c r="BM31" s="112">
        <v>2</v>
      </c>
      <c r="BN31" s="112">
        <v>2</v>
      </c>
      <c r="BO31" s="112">
        <v>2</v>
      </c>
      <c r="BP31" s="112">
        <v>2</v>
      </c>
      <c r="BQ31" s="112">
        <v>2</v>
      </c>
      <c r="BR31" s="112">
        <v>2</v>
      </c>
      <c r="BS31" s="112">
        <v>2</v>
      </c>
      <c r="BT31" s="112">
        <v>2</v>
      </c>
      <c r="BU31" s="112">
        <v>2</v>
      </c>
      <c r="BV31" s="112">
        <v>2</v>
      </c>
      <c r="BW31" s="112">
        <v>2</v>
      </c>
      <c r="BX31" s="112">
        <v>2</v>
      </c>
      <c r="BY31" s="112">
        <v>2</v>
      </c>
      <c r="BZ31" s="112">
        <v>2</v>
      </c>
      <c r="CA31" s="112">
        <v>2</v>
      </c>
      <c r="CB31" s="74" t="s">
        <v>30</v>
      </c>
      <c r="CC31" s="112">
        <v>2</v>
      </c>
      <c r="CD31" s="74" t="s">
        <v>30</v>
      </c>
      <c r="CE31" s="112">
        <v>2</v>
      </c>
      <c r="CF31" s="112">
        <v>2</v>
      </c>
      <c r="CG31" s="112">
        <v>2</v>
      </c>
      <c r="CH31" s="112">
        <v>2</v>
      </c>
      <c r="CI31" s="74" t="s">
        <v>30</v>
      </c>
      <c r="CJ31" s="112">
        <v>2</v>
      </c>
      <c r="CK31" s="112">
        <v>2</v>
      </c>
      <c r="CL31" s="112">
        <v>2</v>
      </c>
      <c r="CM31" s="112">
        <v>2</v>
      </c>
      <c r="CN31" s="112">
        <v>2</v>
      </c>
      <c r="CO31" s="112">
        <v>2</v>
      </c>
      <c r="CP31" s="112">
        <v>2</v>
      </c>
      <c r="CQ31" s="112">
        <v>2</v>
      </c>
      <c r="CR31" s="112">
        <v>2</v>
      </c>
      <c r="CS31" s="112">
        <v>2</v>
      </c>
      <c r="CT31" s="112">
        <v>2</v>
      </c>
      <c r="CU31" s="112">
        <v>2</v>
      </c>
      <c r="CV31" s="112">
        <v>2</v>
      </c>
      <c r="CW31" s="112">
        <v>2</v>
      </c>
      <c r="CX31" s="112">
        <v>2</v>
      </c>
      <c r="CY31" s="112">
        <v>2</v>
      </c>
      <c r="CZ31" s="112">
        <v>2</v>
      </c>
      <c r="DA31" s="74" t="s">
        <v>30</v>
      </c>
      <c r="DB31" s="112">
        <v>2</v>
      </c>
      <c r="DC31" s="112">
        <v>2</v>
      </c>
      <c r="DD31" s="112">
        <v>2</v>
      </c>
      <c r="DE31" s="112">
        <v>2</v>
      </c>
      <c r="DF31" s="112">
        <v>2</v>
      </c>
      <c r="DG31" s="112">
        <v>2</v>
      </c>
      <c r="DH31" s="112">
        <v>2</v>
      </c>
      <c r="DI31" s="112">
        <v>2</v>
      </c>
      <c r="DJ31" s="112">
        <v>2</v>
      </c>
      <c r="DK31" s="112">
        <v>2</v>
      </c>
      <c r="DL31" s="112">
        <v>2</v>
      </c>
      <c r="DM31" s="112">
        <v>2</v>
      </c>
      <c r="DN31" s="112">
        <v>2</v>
      </c>
      <c r="DO31" s="112">
        <v>2</v>
      </c>
      <c r="DP31" s="112">
        <v>2</v>
      </c>
      <c r="DQ31" s="112">
        <v>2</v>
      </c>
      <c r="DR31" s="112">
        <v>2</v>
      </c>
    </row>
    <row r="33" spans="1:1">
      <c r="A33" s="89"/>
    </row>
    <row r="34" spans="1:1">
      <c r="A34" s="86"/>
    </row>
    <row r="35" spans="1:1">
      <c r="A35" s="86"/>
    </row>
  </sheetData>
  <mergeCells count="3">
    <mergeCell ref="A29:B29"/>
    <mergeCell ref="A30:B30"/>
    <mergeCell ref="A31:B31"/>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ED73-8607-462F-BEB3-B6B35858FE2C}">
  <dimension ref="A1:BC35"/>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55" ht="15" customHeight="1"/>
    <row r="2" spans="1:55" ht="15" customHeight="1">
      <c r="A2" s="9"/>
      <c r="B2" s="7"/>
      <c r="C2" s="7"/>
      <c r="D2" s="7"/>
      <c r="E2" s="7"/>
    </row>
    <row r="3" spans="1:55" ht="20.45" customHeight="1">
      <c r="A3" s="9" t="str">
        <f>Voorblad!A5</f>
        <v>Team Freight Forwarding Logistics</v>
      </c>
      <c r="B3" s="8"/>
      <c r="C3" s="8"/>
      <c r="D3" s="8"/>
      <c r="E3" s="48"/>
    </row>
    <row r="4" spans="1:55" s="51" customFormat="1" ht="15.75">
      <c r="A4" s="62" t="s">
        <v>196</v>
      </c>
      <c r="B4" s="49"/>
      <c r="C4" s="50"/>
      <c r="D4" s="50"/>
      <c r="E4" s="50"/>
    </row>
    <row r="5" spans="1:55" ht="15" customHeight="1">
      <c r="A5" s="7"/>
      <c r="B5" s="7"/>
      <c r="C5" s="7"/>
      <c r="D5" s="7"/>
      <c r="E5" s="26"/>
    </row>
    <row r="6" spans="1:55" ht="15" customHeight="1">
      <c r="A6" s="63" t="s">
        <v>20</v>
      </c>
      <c r="B6" s="63" t="s">
        <v>21</v>
      </c>
      <c r="C6" s="64" t="s">
        <v>22</v>
      </c>
      <c r="D6" s="64" t="s">
        <v>23</v>
      </c>
      <c r="E6" s="2">
        <v>10</v>
      </c>
      <c r="F6" s="2">
        <v>11</v>
      </c>
      <c r="G6" s="2">
        <v>12</v>
      </c>
      <c r="H6" s="2">
        <v>13</v>
      </c>
      <c r="I6" s="2">
        <v>14</v>
      </c>
      <c r="J6" s="2">
        <v>15</v>
      </c>
      <c r="K6" s="2">
        <v>16</v>
      </c>
      <c r="L6" s="2">
        <v>17</v>
      </c>
      <c r="M6" s="2">
        <v>18</v>
      </c>
      <c r="N6" s="2">
        <v>19</v>
      </c>
      <c r="O6" s="2">
        <v>20</v>
      </c>
      <c r="P6" s="2">
        <v>21</v>
      </c>
      <c r="Q6" s="2">
        <v>22</v>
      </c>
      <c r="R6" s="2">
        <v>23</v>
      </c>
      <c r="S6" s="2">
        <v>24</v>
      </c>
      <c r="T6" s="2">
        <v>25</v>
      </c>
      <c r="U6" s="65">
        <v>26</v>
      </c>
      <c r="V6" s="2">
        <v>27</v>
      </c>
      <c r="W6" s="2">
        <v>28</v>
      </c>
      <c r="X6" s="2">
        <v>29</v>
      </c>
      <c r="Y6" s="2">
        <v>30</v>
      </c>
      <c r="Z6" s="2">
        <v>31</v>
      </c>
      <c r="AA6" s="2">
        <v>32</v>
      </c>
      <c r="AB6" s="2">
        <v>33</v>
      </c>
      <c r="AC6" s="2">
        <v>34</v>
      </c>
      <c r="AD6" s="2">
        <v>35</v>
      </c>
      <c r="AE6" s="2">
        <v>36</v>
      </c>
      <c r="AF6" s="2">
        <v>37</v>
      </c>
      <c r="AG6" s="2">
        <v>38</v>
      </c>
      <c r="AH6" s="2">
        <v>40</v>
      </c>
      <c r="AI6" s="2">
        <v>41</v>
      </c>
      <c r="AJ6" s="65">
        <v>42</v>
      </c>
      <c r="AK6" s="65">
        <v>43</v>
      </c>
      <c r="AL6" s="2">
        <v>44</v>
      </c>
      <c r="AM6" s="2">
        <v>45</v>
      </c>
      <c r="AN6" s="2">
        <v>46</v>
      </c>
      <c r="AO6" s="2">
        <v>47</v>
      </c>
      <c r="AP6" s="2">
        <v>48</v>
      </c>
      <c r="AQ6" s="2">
        <v>49</v>
      </c>
      <c r="AR6" s="2">
        <v>50</v>
      </c>
      <c r="AS6" s="63">
        <v>51</v>
      </c>
      <c r="AT6" s="2">
        <v>52</v>
      </c>
      <c r="AU6" s="2">
        <v>53</v>
      </c>
      <c r="AV6" s="2">
        <v>54</v>
      </c>
      <c r="AW6" s="2">
        <v>55</v>
      </c>
      <c r="AX6" s="2">
        <v>56</v>
      </c>
      <c r="AY6" s="63">
        <v>57</v>
      </c>
      <c r="AZ6" s="2">
        <v>58</v>
      </c>
      <c r="BA6" s="63">
        <v>59</v>
      </c>
      <c r="BB6" s="63">
        <v>60</v>
      </c>
      <c r="BC6" s="2">
        <v>61</v>
      </c>
    </row>
    <row r="7" spans="1:55" ht="15" customHeight="1">
      <c r="A7" s="67">
        <v>300</v>
      </c>
      <c r="B7" s="64">
        <v>0.2</v>
      </c>
      <c r="C7" s="64">
        <v>0.5</v>
      </c>
      <c r="D7" s="64"/>
      <c r="E7" s="91">
        <v>295</v>
      </c>
      <c r="F7" s="91">
        <v>295</v>
      </c>
      <c r="G7" s="91">
        <v>295</v>
      </c>
      <c r="H7" s="91">
        <v>295</v>
      </c>
      <c r="I7" s="91">
        <v>295</v>
      </c>
      <c r="J7" s="91">
        <v>295</v>
      </c>
      <c r="K7" s="91">
        <v>295</v>
      </c>
      <c r="L7" s="91">
        <v>295</v>
      </c>
      <c r="M7" s="91">
        <v>295</v>
      </c>
      <c r="N7" s="91">
        <v>295</v>
      </c>
      <c r="O7" s="91">
        <v>321</v>
      </c>
      <c r="P7" s="91">
        <v>321</v>
      </c>
      <c r="Q7" s="91">
        <v>321</v>
      </c>
      <c r="R7" s="91">
        <v>321</v>
      </c>
      <c r="S7" s="91">
        <v>321</v>
      </c>
      <c r="T7" s="91">
        <v>321</v>
      </c>
      <c r="U7" s="91">
        <v>321</v>
      </c>
      <c r="V7" s="91">
        <v>321</v>
      </c>
      <c r="W7" s="91">
        <v>321</v>
      </c>
      <c r="X7" s="91">
        <v>321</v>
      </c>
      <c r="Y7" s="91">
        <v>295</v>
      </c>
      <c r="Z7" s="91">
        <v>295</v>
      </c>
      <c r="AA7" s="91">
        <v>295</v>
      </c>
      <c r="AB7" s="91">
        <v>295</v>
      </c>
      <c r="AC7" s="91">
        <v>295</v>
      </c>
      <c r="AD7" s="91">
        <v>295</v>
      </c>
      <c r="AE7" s="91">
        <v>295</v>
      </c>
      <c r="AF7" s="91">
        <v>295</v>
      </c>
      <c r="AG7" s="91">
        <v>295</v>
      </c>
      <c r="AH7" s="91">
        <v>295</v>
      </c>
      <c r="AI7" s="91">
        <v>295</v>
      </c>
      <c r="AJ7" s="91">
        <v>295</v>
      </c>
      <c r="AK7" s="91">
        <v>295</v>
      </c>
      <c r="AL7" s="91">
        <v>295</v>
      </c>
      <c r="AM7" s="91">
        <v>295</v>
      </c>
      <c r="AN7" s="91">
        <v>295</v>
      </c>
      <c r="AO7" s="91">
        <v>295</v>
      </c>
      <c r="AP7" s="91">
        <v>295</v>
      </c>
      <c r="AQ7" s="91">
        <v>295</v>
      </c>
      <c r="AR7" s="91">
        <v>284</v>
      </c>
      <c r="AS7" s="91">
        <v>284</v>
      </c>
      <c r="AT7" s="91">
        <v>284</v>
      </c>
      <c r="AU7" s="91">
        <v>284</v>
      </c>
      <c r="AV7" s="91">
        <v>284</v>
      </c>
      <c r="AW7" s="91">
        <v>284</v>
      </c>
      <c r="AX7" s="91">
        <v>284</v>
      </c>
      <c r="AY7" s="91">
        <v>284</v>
      </c>
      <c r="AZ7" s="91">
        <v>284</v>
      </c>
      <c r="BA7" s="91">
        <v>284</v>
      </c>
      <c r="BB7" s="91">
        <v>295</v>
      </c>
      <c r="BC7" s="91">
        <v>295</v>
      </c>
    </row>
    <row r="8" spans="1:55" ht="15" customHeight="1">
      <c r="A8" s="2">
        <v>700</v>
      </c>
      <c r="B8" s="64">
        <v>0.4</v>
      </c>
      <c r="C8" s="64">
        <v>1</v>
      </c>
      <c r="D8" s="64"/>
      <c r="E8" s="91">
        <v>335</v>
      </c>
      <c r="F8" s="91">
        <v>335</v>
      </c>
      <c r="G8" s="91">
        <v>335</v>
      </c>
      <c r="H8" s="91">
        <v>335</v>
      </c>
      <c r="I8" s="91">
        <v>335</v>
      </c>
      <c r="J8" s="91">
        <v>335</v>
      </c>
      <c r="K8" s="91">
        <v>335</v>
      </c>
      <c r="L8" s="91">
        <v>335</v>
      </c>
      <c r="M8" s="91">
        <v>335</v>
      </c>
      <c r="N8" s="91">
        <v>335</v>
      </c>
      <c r="O8" s="91">
        <v>347</v>
      </c>
      <c r="P8" s="91">
        <v>347</v>
      </c>
      <c r="Q8" s="91">
        <v>347</v>
      </c>
      <c r="R8" s="91">
        <v>347</v>
      </c>
      <c r="S8" s="91">
        <v>347</v>
      </c>
      <c r="T8" s="91">
        <v>347</v>
      </c>
      <c r="U8" s="91">
        <v>347</v>
      </c>
      <c r="V8" s="91">
        <v>347</v>
      </c>
      <c r="W8" s="91">
        <v>347</v>
      </c>
      <c r="X8" s="91">
        <v>347</v>
      </c>
      <c r="Y8" s="91">
        <v>335</v>
      </c>
      <c r="Z8" s="91">
        <v>335</v>
      </c>
      <c r="AA8" s="91">
        <v>335</v>
      </c>
      <c r="AB8" s="91">
        <v>335</v>
      </c>
      <c r="AC8" s="91">
        <v>335</v>
      </c>
      <c r="AD8" s="91">
        <v>335</v>
      </c>
      <c r="AE8" s="91">
        <v>335</v>
      </c>
      <c r="AF8" s="91">
        <v>335</v>
      </c>
      <c r="AG8" s="91">
        <v>335</v>
      </c>
      <c r="AH8" s="91">
        <v>347</v>
      </c>
      <c r="AI8" s="91">
        <v>347</v>
      </c>
      <c r="AJ8" s="91">
        <v>347</v>
      </c>
      <c r="AK8" s="91">
        <v>347</v>
      </c>
      <c r="AL8" s="91">
        <v>347</v>
      </c>
      <c r="AM8" s="91">
        <v>347</v>
      </c>
      <c r="AN8" s="91">
        <v>347</v>
      </c>
      <c r="AO8" s="91">
        <v>347</v>
      </c>
      <c r="AP8" s="91">
        <v>347</v>
      </c>
      <c r="AQ8" s="91">
        <v>347</v>
      </c>
      <c r="AR8" s="91">
        <v>321</v>
      </c>
      <c r="AS8" s="91">
        <v>321</v>
      </c>
      <c r="AT8" s="91">
        <v>321</v>
      </c>
      <c r="AU8" s="91">
        <v>321</v>
      </c>
      <c r="AV8" s="91">
        <v>321</v>
      </c>
      <c r="AW8" s="91">
        <v>321</v>
      </c>
      <c r="AX8" s="91">
        <v>321</v>
      </c>
      <c r="AY8" s="91">
        <v>321</v>
      </c>
      <c r="AZ8" s="91">
        <v>321</v>
      </c>
      <c r="BA8" s="91">
        <v>321</v>
      </c>
      <c r="BB8" s="91">
        <v>335</v>
      </c>
      <c r="BC8" s="91">
        <v>335</v>
      </c>
    </row>
    <row r="9" spans="1:55" ht="15" customHeight="1">
      <c r="A9" s="2">
        <v>875</v>
      </c>
      <c r="B9" s="64">
        <v>0.5</v>
      </c>
      <c r="C9" s="64"/>
      <c r="D9" s="64">
        <v>1</v>
      </c>
      <c r="E9" s="91">
        <v>361</v>
      </c>
      <c r="F9" s="91">
        <v>361</v>
      </c>
      <c r="G9" s="91">
        <v>361</v>
      </c>
      <c r="H9" s="91">
        <v>361</v>
      </c>
      <c r="I9" s="91">
        <v>361</v>
      </c>
      <c r="J9" s="91">
        <v>361</v>
      </c>
      <c r="K9" s="91">
        <v>361</v>
      </c>
      <c r="L9" s="91">
        <v>361</v>
      </c>
      <c r="M9" s="91">
        <v>361</v>
      </c>
      <c r="N9" s="91">
        <v>361</v>
      </c>
      <c r="O9" s="91">
        <v>373</v>
      </c>
      <c r="P9" s="91">
        <v>373</v>
      </c>
      <c r="Q9" s="91">
        <v>373</v>
      </c>
      <c r="R9" s="91">
        <v>373</v>
      </c>
      <c r="S9" s="91">
        <v>373</v>
      </c>
      <c r="T9" s="91">
        <v>373</v>
      </c>
      <c r="U9" s="91">
        <v>373</v>
      </c>
      <c r="V9" s="91">
        <v>373</v>
      </c>
      <c r="W9" s="91">
        <v>373</v>
      </c>
      <c r="X9" s="91">
        <v>373</v>
      </c>
      <c r="Y9" s="91">
        <v>361</v>
      </c>
      <c r="Z9" s="91">
        <v>361</v>
      </c>
      <c r="AA9" s="91">
        <v>361</v>
      </c>
      <c r="AB9" s="91">
        <v>361</v>
      </c>
      <c r="AC9" s="91">
        <v>361</v>
      </c>
      <c r="AD9" s="91">
        <v>361</v>
      </c>
      <c r="AE9" s="91">
        <v>361</v>
      </c>
      <c r="AF9" s="91">
        <v>361</v>
      </c>
      <c r="AG9" s="91">
        <v>361</v>
      </c>
      <c r="AH9" s="91">
        <v>361</v>
      </c>
      <c r="AI9" s="91">
        <v>361</v>
      </c>
      <c r="AJ9" s="91">
        <v>361</v>
      </c>
      <c r="AK9" s="91">
        <v>361</v>
      </c>
      <c r="AL9" s="91">
        <v>361</v>
      </c>
      <c r="AM9" s="91">
        <v>361</v>
      </c>
      <c r="AN9" s="91">
        <v>361</v>
      </c>
      <c r="AO9" s="91">
        <v>361</v>
      </c>
      <c r="AP9" s="91">
        <v>361</v>
      </c>
      <c r="AQ9" s="91">
        <v>361</v>
      </c>
      <c r="AR9" s="91">
        <v>347</v>
      </c>
      <c r="AS9" s="91">
        <v>347</v>
      </c>
      <c r="AT9" s="91">
        <v>347</v>
      </c>
      <c r="AU9" s="91">
        <v>347</v>
      </c>
      <c r="AV9" s="91">
        <v>347</v>
      </c>
      <c r="AW9" s="91">
        <v>347</v>
      </c>
      <c r="AX9" s="91">
        <v>347</v>
      </c>
      <c r="AY9" s="91">
        <v>347</v>
      </c>
      <c r="AZ9" s="91">
        <v>347</v>
      </c>
      <c r="BA9" s="91">
        <v>347</v>
      </c>
      <c r="BB9" s="91">
        <v>361</v>
      </c>
      <c r="BC9" s="91">
        <v>361</v>
      </c>
    </row>
    <row r="10" spans="1:55" ht="15" customHeight="1">
      <c r="A10" s="2">
        <v>1050</v>
      </c>
      <c r="B10" s="64">
        <v>0.6</v>
      </c>
      <c r="C10" s="64"/>
      <c r="D10" s="64"/>
      <c r="E10" s="91">
        <v>438</v>
      </c>
      <c r="F10" s="91">
        <v>438</v>
      </c>
      <c r="G10" s="91">
        <v>438</v>
      </c>
      <c r="H10" s="91">
        <v>438</v>
      </c>
      <c r="I10" s="91">
        <v>438</v>
      </c>
      <c r="J10" s="91">
        <v>438</v>
      </c>
      <c r="K10" s="91">
        <v>438</v>
      </c>
      <c r="L10" s="91">
        <v>438</v>
      </c>
      <c r="M10" s="91">
        <v>438</v>
      </c>
      <c r="N10" s="91">
        <v>438</v>
      </c>
      <c r="O10" s="91">
        <v>454</v>
      </c>
      <c r="P10" s="91">
        <v>454</v>
      </c>
      <c r="Q10" s="91">
        <v>454</v>
      </c>
      <c r="R10" s="91">
        <v>454</v>
      </c>
      <c r="S10" s="91">
        <v>454</v>
      </c>
      <c r="T10" s="91">
        <v>454</v>
      </c>
      <c r="U10" s="91">
        <v>454</v>
      </c>
      <c r="V10" s="91">
        <v>454</v>
      </c>
      <c r="W10" s="91">
        <v>454</v>
      </c>
      <c r="X10" s="91">
        <v>454</v>
      </c>
      <c r="Y10" s="91">
        <v>429</v>
      </c>
      <c r="Z10" s="91">
        <v>429</v>
      </c>
      <c r="AA10" s="91">
        <v>429</v>
      </c>
      <c r="AB10" s="91">
        <v>429</v>
      </c>
      <c r="AC10" s="91">
        <v>429</v>
      </c>
      <c r="AD10" s="91">
        <v>429</v>
      </c>
      <c r="AE10" s="91">
        <v>429</v>
      </c>
      <c r="AF10" s="91">
        <v>429</v>
      </c>
      <c r="AG10" s="91">
        <v>429</v>
      </c>
      <c r="AH10" s="91">
        <v>429</v>
      </c>
      <c r="AI10" s="91">
        <v>429</v>
      </c>
      <c r="AJ10" s="91">
        <v>429</v>
      </c>
      <c r="AK10" s="91">
        <v>429</v>
      </c>
      <c r="AL10" s="91">
        <v>429</v>
      </c>
      <c r="AM10" s="91">
        <v>429</v>
      </c>
      <c r="AN10" s="91">
        <v>429</v>
      </c>
      <c r="AO10" s="91">
        <v>429</v>
      </c>
      <c r="AP10" s="91">
        <v>429</v>
      </c>
      <c r="AQ10" s="91">
        <v>429</v>
      </c>
      <c r="AR10" s="91">
        <v>407</v>
      </c>
      <c r="AS10" s="91">
        <v>407</v>
      </c>
      <c r="AT10" s="91">
        <v>407</v>
      </c>
      <c r="AU10" s="91">
        <v>407</v>
      </c>
      <c r="AV10" s="91">
        <v>407</v>
      </c>
      <c r="AW10" s="91">
        <v>407</v>
      </c>
      <c r="AX10" s="91">
        <v>407</v>
      </c>
      <c r="AY10" s="91">
        <v>407</v>
      </c>
      <c r="AZ10" s="91">
        <v>407</v>
      </c>
      <c r="BA10" s="91">
        <v>407</v>
      </c>
      <c r="BB10" s="91">
        <v>429</v>
      </c>
      <c r="BC10" s="91">
        <v>429</v>
      </c>
    </row>
    <row r="11" spans="1:55" ht="15" customHeight="1">
      <c r="A11" s="2">
        <v>1400</v>
      </c>
      <c r="B11" s="64">
        <v>0.8</v>
      </c>
      <c r="C11" s="64">
        <v>2</v>
      </c>
      <c r="D11" s="64"/>
      <c r="E11" s="91">
        <v>591</v>
      </c>
      <c r="F11" s="91">
        <v>591</v>
      </c>
      <c r="G11" s="91">
        <v>591</v>
      </c>
      <c r="H11" s="91">
        <v>591</v>
      </c>
      <c r="I11" s="91">
        <v>591</v>
      </c>
      <c r="J11" s="91">
        <v>591</v>
      </c>
      <c r="K11" s="91">
        <v>591</v>
      </c>
      <c r="L11" s="91">
        <v>591</v>
      </c>
      <c r="M11" s="91">
        <v>591</v>
      </c>
      <c r="N11" s="91">
        <v>591</v>
      </c>
      <c r="O11" s="91">
        <v>617</v>
      </c>
      <c r="P11" s="91">
        <v>617</v>
      </c>
      <c r="Q11" s="91">
        <v>617</v>
      </c>
      <c r="R11" s="91">
        <v>617</v>
      </c>
      <c r="S11" s="91">
        <v>617</v>
      </c>
      <c r="T11" s="91">
        <v>617</v>
      </c>
      <c r="U11" s="91">
        <v>617</v>
      </c>
      <c r="V11" s="91">
        <v>617</v>
      </c>
      <c r="W11" s="91">
        <v>617</v>
      </c>
      <c r="X11" s="91">
        <v>617</v>
      </c>
      <c r="Y11" s="91">
        <v>566</v>
      </c>
      <c r="Z11" s="91">
        <v>566</v>
      </c>
      <c r="AA11" s="91">
        <v>566</v>
      </c>
      <c r="AB11" s="91">
        <v>566</v>
      </c>
      <c r="AC11" s="91">
        <v>566</v>
      </c>
      <c r="AD11" s="91">
        <v>566</v>
      </c>
      <c r="AE11" s="91">
        <v>566</v>
      </c>
      <c r="AF11" s="91">
        <v>566</v>
      </c>
      <c r="AG11" s="91">
        <v>566</v>
      </c>
      <c r="AH11" s="91">
        <v>566</v>
      </c>
      <c r="AI11" s="91">
        <v>566</v>
      </c>
      <c r="AJ11" s="91">
        <v>566</v>
      </c>
      <c r="AK11" s="91">
        <v>566</v>
      </c>
      <c r="AL11" s="91">
        <v>566</v>
      </c>
      <c r="AM11" s="91">
        <v>566</v>
      </c>
      <c r="AN11" s="91">
        <v>566</v>
      </c>
      <c r="AO11" s="91">
        <v>566</v>
      </c>
      <c r="AP11" s="91">
        <v>566</v>
      </c>
      <c r="AQ11" s="91">
        <v>566</v>
      </c>
      <c r="AR11" s="91">
        <v>528</v>
      </c>
      <c r="AS11" s="91">
        <v>528</v>
      </c>
      <c r="AT11" s="91">
        <v>528</v>
      </c>
      <c r="AU11" s="91">
        <v>528</v>
      </c>
      <c r="AV11" s="91">
        <v>528</v>
      </c>
      <c r="AW11" s="91">
        <v>528</v>
      </c>
      <c r="AX11" s="91">
        <v>528</v>
      </c>
      <c r="AY11" s="91">
        <v>528</v>
      </c>
      <c r="AZ11" s="91">
        <v>528</v>
      </c>
      <c r="BA11" s="91">
        <v>528</v>
      </c>
      <c r="BB11" s="91">
        <v>566</v>
      </c>
      <c r="BC11" s="91">
        <v>566</v>
      </c>
    </row>
    <row r="12" spans="1:55" ht="15" customHeight="1">
      <c r="A12" s="2">
        <v>1750</v>
      </c>
      <c r="B12" s="64">
        <v>1</v>
      </c>
      <c r="C12" s="64"/>
      <c r="D12" s="64">
        <v>2</v>
      </c>
      <c r="E12" s="91">
        <v>668</v>
      </c>
      <c r="F12" s="91">
        <v>668</v>
      </c>
      <c r="G12" s="91">
        <v>668</v>
      </c>
      <c r="H12" s="91">
        <v>668</v>
      </c>
      <c r="I12" s="91">
        <v>668</v>
      </c>
      <c r="J12" s="91">
        <v>668</v>
      </c>
      <c r="K12" s="91">
        <v>668</v>
      </c>
      <c r="L12" s="91">
        <v>668</v>
      </c>
      <c r="M12" s="91">
        <v>668</v>
      </c>
      <c r="N12" s="91">
        <v>668</v>
      </c>
      <c r="O12" s="91">
        <v>694</v>
      </c>
      <c r="P12" s="91">
        <v>694</v>
      </c>
      <c r="Q12" s="91">
        <v>694</v>
      </c>
      <c r="R12" s="91">
        <v>694</v>
      </c>
      <c r="S12" s="91">
        <v>694</v>
      </c>
      <c r="T12" s="91">
        <v>694</v>
      </c>
      <c r="U12" s="91">
        <v>694</v>
      </c>
      <c r="V12" s="91">
        <v>694</v>
      </c>
      <c r="W12" s="91">
        <v>694</v>
      </c>
      <c r="X12" s="91">
        <v>694</v>
      </c>
      <c r="Y12" s="91">
        <v>668</v>
      </c>
      <c r="Z12" s="91">
        <v>668</v>
      </c>
      <c r="AA12" s="91">
        <v>668</v>
      </c>
      <c r="AB12" s="91">
        <v>668</v>
      </c>
      <c r="AC12" s="91">
        <v>668</v>
      </c>
      <c r="AD12" s="91">
        <v>668</v>
      </c>
      <c r="AE12" s="91">
        <v>668</v>
      </c>
      <c r="AF12" s="91">
        <v>668</v>
      </c>
      <c r="AG12" s="91">
        <v>668</v>
      </c>
      <c r="AH12" s="91">
        <v>641</v>
      </c>
      <c r="AI12" s="91">
        <v>641</v>
      </c>
      <c r="AJ12" s="91">
        <v>641</v>
      </c>
      <c r="AK12" s="91">
        <v>641</v>
      </c>
      <c r="AL12" s="91">
        <v>641</v>
      </c>
      <c r="AM12" s="91">
        <v>641</v>
      </c>
      <c r="AN12" s="91">
        <v>641</v>
      </c>
      <c r="AO12" s="91">
        <v>641</v>
      </c>
      <c r="AP12" s="91">
        <v>641</v>
      </c>
      <c r="AQ12" s="91">
        <v>641</v>
      </c>
      <c r="AR12" s="91">
        <v>578</v>
      </c>
      <c r="AS12" s="91">
        <v>578</v>
      </c>
      <c r="AT12" s="91">
        <v>578</v>
      </c>
      <c r="AU12" s="91">
        <v>578</v>
      </c>
      <c r="AV12" s="91">
        <v>578</v>
      </c>
      <c r="AW12" s="91">
        <v>578</v>
      </c>
      <c r="AX12" s="91">
        <v>578</v>
      </c>
      <c r="AY12" s="91">
        <v>578</v>
      </c>
      <c r="AZ12" s="91">
        <v>578</v>
      </c>
      <c r="BA12" s="91">
        <v>578</v>
      </c>
      <c r="BB12" s="91">
        <v>630</v>
      </c>
      <c r="BC12" s="91">
        <v>630</v>
      </c>
    </row>
    <row r="13" spans="1:55" ht="15" customHeight="1">
      <c r="A13" s="2">
        <v>2100</v>
      </c>
      <c r="B13" s="64">
        <v>1.2</v>
      </c>
      <c r="C13" s="64">
        <v>3</v>
      </c>
      <c r="D13" s="64"/>
      <c r="E13" s="91">
        <v>718</v>
      </c>
      <c r="F13" s="91">
        <v>718</v>
      </c>
      <c r="G13" s="91">
        <v>718</v>
      </c>
      <c r="H13" s="91">
        <v>718</v>
      </c>
      <c r="I13" s="91">
        <v>718</v>
      </c>
      <c r="J13" s="91">
        <v>718</v>
      </c>
      <c r="K13" s="91">
        <v>718</v>
      </c>
      <c r="L13" s="91">
        <v>718</v>
      </c>
      <c r="M13" s="91">
        <v>718</v>
      </c>
      <c r="N13" s="91">
        <v>718</v>
      </c>
      <c r="O13" s="91">
        <v>732</v>
      </c>
      <c r="P13" s="91">
        <v>732</v>
      </c>
      <c r="Q13" s="91">
        <v>732</v>
      </c>
      <c r="R13" s="91">
        <v>732</v>
      </c>
      <c r="S13" s="91">
        <v>732</v>
      </c>
      <c r="T13" s="91">
        <v>732</v>
      </c>
      <c r="U13" s="91">
        <v>732</v>
      </c>
      <c r="V13" s="91">
        <v>732</v>
      </c>
      <c r="W13" s="91">
        <v>732</v>
      </c>
      <c r="X13" s="91">
        <v>732</v>
      </c>
      <c r="Y13" s="91">
        <v>718</v>
      </c>
      <c r="Z13" s="91">
        <v>718</v>
      </c>
      <c r="AA13" s="91">
        <v>718</v>
      </c>
      <c r="AB13" s="91">
        <v>718</v>
      </c>
      <c r="AC13" s="91">
        <v>718</v>
      </c>
      <c r="AD13" s="91">
        <v>718</v>
      </c>
      <c r="AE13" s="91">
        <v>718</v>
      </c>
      <c r="AF13" s="91">
        <v>718</v>
      </c>
      <c r="AG13" s="91">
        <v>718</v>
      </c>
      <c r="AH13" s="91">
        <v>694</v>
      </c>
      <c r="AI13" s="91">
        <v>694</v>
      </c>
      <c r="AJ13" s="91">
        <v>694</v>
      </c>
      <c r="AK13" s="91">
        <v>694</v>
      </c>
      <c r="AL13" s="91">
        <v>694</v>
      </c>
      <c r="AM13" s="91">
        <v>694</v>
      </c>
      <c r="AN13" s="91">
        <v>694</v>
      </c>
      <c r="AO13" s="91">
        <v>694</v>
      </c>
      <c r="AP13" s="91">
        <v>694</v>
      </c>
      <c r="AQ13" s="91">
        <v>694</v>
      </c>
      <c r="AR13" s="91">
        <v>603</v>
      </c>
      <c r="AS13" s="91">
        <v>603</v>
      </c>
      <c r="AT13" s="91">
        <v>603</v>
      </c>
      <c r="AU13" s="91">
        <v>603</v>
      </c>
      <c r="AV13" s="91">
        <v>603</v>
      </c>
      <c r="AW13" s="91">
        <v>603</v>
      </c>
      <c r="AX13" s="91">
        <v>603</v>
      </c>
      <c r="AY13" s="91">
        <v>603</v>
      </c>
      <c r="AZ13" s="91">
        <v>603</v>
      </c>
      <c r="BA13" s="91">
        <v>603</v>
      </c>
      <c r="BB13" s="91">
        <v>641</v>
      </c>
      <c r="BC13" s="91">
        <v>641</v>
      </c>
    </row>
    <row r="14" spans="1:55" ht="15" customHeight="1">
      <c r="A14" s="2">
        <v>2625</v>
      </c>
      <c r="B14" s="64">
        <v>1.5</v>
      </c>
      <c r="C14" s="64"/>
      <c r="D14" s="64">
        <v>3</v>
      </c>
      <c r="E14" s="91">
        <v>822</v>
      </c>
      <c r="F14" s="91">
        <v>822</v>
      </c>
      <c r="G14" s="91">
        <v>822</v>
      </c>
      <c r="H14" s="91">
        <v>822</v>
      </c>
      <c r="I14" s="91">
        <v>822</v>
      </c>
      <c r="J14" s="91">
        <v>822</v>
      </c>
      <c r="K14" s="91">
        <v>822</v>
      </c>
      <c r="L14" s="91">
        <v>822</v>
      </c>
      <c r="M14" s="91">
        <v>822</v>
      </c>
      <c r="N14" s="91">
        <v>822</v>
      </c>
      <c r="O14" s="91">
        <v>873</v>
      </c>
      <c r="P14" s="91">
        <v>873</v>
      </c>
      <c r="Q14" s="91">
        <v>873</v>
      </c>
      <c r="R14" s="91">
        <v>873</v>
      </c>
      <c r="S14" s="91">
        <v>873</v>
      </c>
      <c r="T14" s="91">
        <v>873</v>
      </c>
      <c r="U14" s="91">
        <v>873</v>
      </c>
      <c r="V14" s="91">
        <v>873</v>
      </c>
      <c r="W14" s="91">
        <v>873</v>
      </c>
      <c r="X14" s="91">
        <v>873</v>
      </c>
      <c r="Y14" s="91">
        <v>822</v>
      </c>
      <c r="Z14" s="91">
        <v>822</v>
      </c>
      <c r="AA14" s="91">
        <v>822</v>
      </c>
      <c r="AB14" s="91">
        <v>822</v>
      </c>
      <c r="AC14" s="91">
        <v>822</v>
      </c>
      <c r="AD14" s="91">
        <v>822</v>
      </c>
      <c r="AE14" s="91">
        <v>822</v>
      </c>
      <c r="AF14" s="91">
        <v>822</v>
      </c>
      <c r="AG14" s="91">
        <v>822</v>
      </c>
      <c r="AH14" s="91">
        <v>808</v>
      </c>
      <c r="AI14" s="91">
        <v>808</v>
      </c>
      <c r="AJ14" s="91">
        <v>808</v>
      </c>
      <c r="AK14" s="91">
        <v>808</v>
      </c>
      <c r="AL14" s="91">
        <v>808</v>
      </c>
      <c r="AM14" s="91">
        <v>808</v>
      </c>
      <c r="AN14" s="91">
        <v>808</v>
      </c>
      <c r="AO14" s="91">
        <v>808</v>
      </c>
      <c r="AP14" s="91">
        <v>808</v>
      </c>
      <c r="AQ14" s="91">
        <v>808</v>
      </c>
      <c r="AR14" s="91">
        <v>630</v>
      </c>
      <c r="AS14" s="91">
        <v>630</v>
      </c>
      <c r="AT14" s="91">
        <v>630</v>
      </c>
      <c r="AU14" s="91">
        <v>630</v>
      </c>
      <c r="AV14" s="91">
        <v>630</v>
      </c>
      <c r="AW14" s="91">
        <v>630</v>
      </c>
      <c r="AX14" s="91">
        <v>630</v>
      </c>
      <c r="AY14" s="91">
        <v>630</v>
      </c>
      <c r="AZ14" s="91">
        <v>630</v>
      </c>
      <c r="BA14" s="91">
        <v>630</v>
      </c>
      <c r="BB14" s="91">
        <v>654</v>
      </c>
      <c r="BC14" s="91">
        <v>654</v>
      </c>
    </row>
    <row r="15" spans="1:55" ht="15" customHeight="1">
      <c r="A15" s="2">
        <v>2800</v>
      </c>
      <c r="B15" s="64">
        <v>1.6</v>
      </c>
      <c r="C15" s="64">
        <v>4</v>
      </c>
      <c r="D15" s="64"/>
      <c r="E15" s="91">
        <v>848</v>
      </c>
      <c r="F15" s="91">
        <v>848</v>
      </c>
      <c r="G15" s="91">
        <v>848</v>
      </c>
      <c r="H15" s="91">
        <v>848</v>
      </c>
      <c r="I15" s="91">
        <v>848</v>
      </c>
      <c r="J15" s="91">
        <v>848</v>
      </c>
      <c r="K15" s="91">
        <v>848</v>
      </c>
      <c r="L15" s="91">
        <v>848</v>
      </c>
      <c r="M15" s="91">
        <v>848</v>
      </c>
      <c r="N15" s="91">
        <v>848</v>
      </c>
      <c r="O15" s="91">
        <v>897</v>
      </c>
      <c r="P15" s="91">
        <v>897</v>
      </c>
      <c r="Q15" s="91">
        <v>897</v>
      </c>
      <c r="R15" s="91">
        <v>897</v>
      </c>
      <c r="S15" s="91">
        <v>897</v>
      </c>
      <c r="T15" s="91">
        <v>897</v>
      </c>
      <c r="U15" s="91">
        <v>897</v>
      </c>
      <c r="V15" s="91">
        <v>897</v>
      </c>
      <c r="W15" s="91">
        <v>897</v>
      </c>
      <c r="X15" s="91">
        <v>897</v>
      </c>
      <c r="Y15" s="91">
        <v>848</v>
      </c>
      <c r="Z15" s="91">
        <v>848</v>
      </c>
      <c r="AA15" s="91">
        <v>848</v>
      </c>
      <c r="AB15" s="91">
        <v>848</v>
      </c>
      <c r="AC15" s="91">
        <v>848</v>
      </c>
      <c r="AD15" s="91">
        <v>848</v>
      </c>
      <c r="AE15" s="91">
        <v>848</v>
      </c>
      <c r="AF15" s="91">
        <v>848</v>
      </c>
      <c r="AG15" s="91">
        <v>848</v>
      </c>
      <c r="AH15" s="91">
        <v>833</v>
      </c>
      <c r="AI15" s="91">
        <v>833</v>
      </c>
      <c r="AJ15" s="91">
        <v>833</v>
      </c>
      <c r="AK15" s="91">
        <v>833</v>
      </c>
      <c r="AL15" s="91">
        <v>833</v>
      </c>
      <c r="AM15" s="91">
        <v>833</v>
      </c>
      <c r="AN15" s="91">
        <v>833</v>
      </c>
      <c r="AO15" s="91">
        <v>833</v>
      </c>
      <c r="AP15" s="91">
        <v>833</v>
      </c>
      <c r="AQ15" s="91">
        <v>833</v>
      </c>
      <c r="AR15" s="91">
        <v>654</v>
      </c>
      <c r="AS15" s="91">
        <v>654</v>
      </c>
      <c r="AT15" s="91">
        <v>654</v>
      </c>
      <c r="AU15" s="91">
        <v>654</v>
      </c>
      <c r="AV15" s="91">
        <v>654</v>
      </c>
      <c r="AW15" s="91">
        <v>654</v>
      </c>
      <c r="AX15" s="91">
        <v>654</v>
      </c>
      <c r="AY15" s="91">
        <v>654</v>
      </c>
      <c r="AZ15" s="91">
        <v>654</v>
      </c>
      <c r="BA15" s="91">
        <v>654</v>
      </c>
      <c r="BB15" s="91">
        <v>680</v>
      </c>
      <c r="BC15" s="91">
        <v>680</v>
      </c>
    </row>
    <row r="16" spans="1:55" ht="15" customHeight="1">
      <c r="A16" s="2">
        <v>3500</v>
      </c>
      <c r="B16" s="64">
        <v>2</v>
      </c>
      <c r="C16" s="64">
        <v>5</v>
      </c>
      <c r="D16" s="64">
        <v>4</v>
      </c>
      <c r="E16" s="91">
        <v>896</v>
      </c>
      <c r="F16" s="91">
        <v>896</v>
      </c>
      <c r="G16" s="91">
        <v>896</v>
      </c>
      <c r="H16" s="91">
        <v>896</v>
      </c>
      <c r="I16" s="91">
        <v>896</v>
      </c>
      <c r="J16" s="91">
        <v>896</v>
      </c>
      <c r="K16" s="91">
        <v>896</v>
      </c>
      <c r="L16" s="91">
        <v>896</v>
      </c>
      <c r="M16" s="91">
        <v>896</v>
      </c>
      <c r="N16" s="91">
        <v>896</v>
      </c>
      <c r="O16" s="91">
        <v>963</v>
      </c>
      <c r="P16" s="91">
        <v>963</v>
      </c>
      <c r="Q16" s="91">
        <v>963</v>
      </c>
      <c r="R16" s="91">
        <v>963</v>
      </c>
      <c r="S16" s="91">
        <v>963</v>
      </c>
      <c r="T16" s="91">
        <v>963</v>
      </c>
      <c r="U16" s="91">
        <v>963</v>
      </c>
      <c r="V16" s="91">
        <v>963</v>
      </c>
      <c r="W16" s="91">
        <v>963</v>
      </c>
      <c r="X16" s="91">
        <v>963</v>
      </c>
      <c r="Y16" s="91">
        <v>896</v>
      </c>
      <c r="Z16" s="91">
        <v>896</v>
      </c>
      <c r="AA16" s="91">
        <v>896</v>
      </c>
      <c r="AB16" s="91">
        <v>896</v>
      </c>
      <c r="AC16" s="91">
        <v>896</v>
      </c>
      <c r="AD16" s="91">
        <v>896</v>
      </c>
      <c r="AE16" s="91">
        <v>896</v>
      </c>
      <c r="AF16" s="91">
        <v>896</v>
      </c>
      <c r="AG16" s="91">
        <v>896</v>
      </c>
      <c r="AH16" s="91">
        <v>873</v>
      </c>
      <c r="AI16" s="91">
        <v>873</v>
      </c>
      <c r="AJ16" s="91">
        <v>873</v>
      </c>
      <c r="AK16" s="91">
        <v>873</v>
      </c>
      <c r="AL16" s="91">
        <v>873</v>
      </c>
      <c r="AM16" s="91">
        <v>873</v>
      </c>
      <c r="AN16" s="91">
        <v>873</v>
      </c>
      <c r="AO16" s="91">
        <v>873</v>
      </c>
      <c r="AP16" s="91">
        <v>873</v>
      </c>
      <c r="AQ16" s="91">
        <v>873</v>
      </c>
      <c r="AR16" s="91">
        <v>693</v>
      </c>
      <c r="AS16" s="91">
        <v>693</v>
      </c>
      <c r="AT16" s="91">
        <v>693</v>
      </c>
      <c r="AU16" s="91">
        <v>693</v>
      </c>
      <c r="AV16" s="91">
        <v>693</v>
      </c>
      <c r="AW16" s="91">
        <v>693</v>
      </c>
      <c r="AX16" s="91">
        <v>693</v>
      </c>
      <c r="AY16" s="91">
        <v>693</v>
      </c>
      <c r="AZ16" s="91">
        <v>693</v>
      </c>
      <c r="BA16" s="91">
        <v>693</v>
      </c>
      <c r="BB16" s="91">
        <v>732</v>
      </c>
      <c r="BC16" s="91">
        <v>732</v>
      </c>
    </row>
    <row r="17" spans="1:55" ht="15" customHeight="1">
      <c r="A17" s="2">
        <v>4200</v>
      </c>
      <c r="B17" s="2">
        <v>2.4</v>
      </c>
      <c r="C17" s="2">
        <v>6</v>
      </c>
      <c r="D17" s="2"/>
      <c r="E17" s="91">
        <v>998</v>
      </c>
      <c r="F17" s="91">
        <v>998</v>
      </c>
      <c r="G17" s="91">
        <v>998</v>
      </c>
      <c r="H17" s="91">
        <v>998</v>
      </c>
      <c r="I17" s="91">
        <v>998</v>
      </c>
      <c r="J17" s="91">
        <v>998</v>
      </c>
      <c r="K17" s="91">
        <v>998</v>
      </c>
      <c r="L17" s="91">
        <v>998</v>
      </c>
      <c r="M17" s="91">
        <v>998</v>
      </c>
      <c r="N17" s="91">
        <v>998</v>
      </c>
      <c r="O17" s="91">
        <v>1025</v>
      </c>
      <c r="P17" s="91">
        <v>1025</v>
      </c>
      <c r="Q17" s="91">
        <v>1025</v>
      </c>
      <c r="R17" s="91">
        <v>1025</v>
      </c>
      <c r="S17" s="91">
        <v>1025</v>
      </c>
      <c r="T17" s="91">
        <v>1025</v>
      </c>
      <c r="U17" s="91">
        <v>1025</v>
      </c>
      <c r="V17" s="91">
        <v>1025</v>
      </c>
      <c r="W17" s="91">
        <v>1025</v>
      </c>
      <c r="X17" s="91">
        <v>1025</v>
      </c>
      <c r="Y17" s="91">
        <v>998</v>
      </c>
      <c r="Z17" s="91">
        <v>998</v>
      </c>
      <c r="AA17" s="91">
        <v>998</v>
      </c>
      <c r="AB17" s="91">
        <v>998</v>
      </c>
      <c r="AC17" s="91">
        <v>998</v>
      </c>
      <c r="AD17" s="91">
        <v>998</v>
      </c>
      <c r="AE17" s="91">
        <v>998</v>
      </c>
      <c r="AF17" s="91">
        <v>998</v>
      </c>
      <c r="AG17" s="91">
        <v>998</v>
      </c>
      <c r="AH17" s="91">
        <v>948</v>
      </c>
      <c r="AI17" s="91">
        <v>948</v>
      </c>
      <c r="AJ17" s="91">
        <v>948</v>
      </c>
      <c r="AK17" s="91">
        <v>948</v>
      </c>
      <c r="AL17" s="91">
        <v>948</v>
      </c>
      <c r="AM17" s="91">
        <v>948</v>
      </c>
      <c r="AN17" s="91">
        <v>948</v>
      </c>
      <c r="AO17" s="91">
        <v>948</v>
      </c>
      <c r="AP17" s="91">
        <v>948</v>
      </c>
      <c r="AQ17" s="91">
        <v>948</v>
      </c>
      <c r="AR17" s="91">
        <v>717</v>
      </c>
      <c r="AS17" s="91">
        <v>717</v>
      </c>
      <c r="AT17" s="91">
        <v>717</v>
      </c>
      <c r="AU17" s="91">
        <v>717</v>
      </c>
      <c r="AV17" s="91">
        <v>717</v>
      </c>
      <c r="AW17" s="91">
        <v>717</v>
      </c>
      <c r="AX17" s="91">
        <v>717</v>
      </c>
      <c r="AY17" s="91">
        <v>717</v>
      </c>
      <c r="AZ17" s="91">
        <v>717</v>
      </c>
      <c r="BA17" s="91">
        <v>717</v>
      </c>
      <c r="BB17" s="91">
        <v>745</v>
      </c>
      <c r="BC17" s="91">
        <v>745</v>
      </c>
    </row>
    <row r="18" spans="1:55" ht="15" customHeight="1">
      <c r="A18" s="2">
        <v>4375</v>
      </c>
      <c r="B18" s="2">
        <v>2.5</v>
      </c>
      <c r="C18" s="2"/>
      <c r="D18" s="2">
        <v>5</v>
      </c>
      <c r="E18" s="91">
        <v>1025</v>
      </c>
      <c r="F18" s="91">
        <v>1025</v>
      </c>
      <c r="G18" s="91">
        <v>1025</v>
      </c>
      <c r="H18" s="91">
        <v>1025</v>
      </c>
      <c r="I18" s="91">
        <v>1025</v>
      </c>
      <c r="J18" s="91">
        <v>1025</v>
      </c>
      <c r="K18" s="91">
        <v>1025</v>
      </c>
      <c r="L18" s="91">
        <v>1025</v>
      </c>
      <c r="M18" s="91">
        <v>1025</v>
      </c>
      <c r="N18" s="91">
        <v>1025</v>
      </c>
      <c r="O18" s="91">
        <v>1050</v>
      </c>
      <c r="P18" s="91">
        <v>1050</v>
      </c>
      <c r="Q18" s="91">
        <v>1050</v>
      </c>
      <c r="R18" s="91">
        <v>1050</v>
      </c>
      <c r="S18" s="91">
        <v>1050</v>
      </c>
      <c r="T18" s="91">
        <v>1050</v>
      </c>
      <c r="U18" s="91">
        <v>1050</v>
      </c>
      <c r="V18" s="91">
        <v>1050</v>
      </c>
      <c r="W18" s="91">
        <v>1050</v>
      </c>
      <c r="X18" s="91">
        <v>1050</v>
      </c>
      <c r="Y18" s="91">
        <v>1025</v>
      </c>
      <c r="Z18" s="91">
        <v>1025</v>
      </c>
      <c r="AA18" s="91">
        <v>1025</v>
      </c>
      <c r="AB18" s="91">
        <v>1025</v>
      </c>
      <c r="AC18" s="91">
        <v>1025</v>
      </c>
      <c r="AD18" s="91">
        <v>1025</v>
      </c>
      <c r="AE18" s="91">
        <v>1025</v>
      </c>
      <c r="AF18" s="91">
        <v>1025</v>
      </c>
      <c r="AG18" s="91">
        <v>1025</v>
      </c>
      <c r="AH18" s="91">
        <v>972</v>
      </c>
      <c r="AI18" s="91">
        <v>972</v>
      </c>
      <c r="AJ18" s="91">
        <v>972</v>
      </c>
      <c r="AK18" s="91">
        <v>972</v>
      </c>
      <c r="AL18" s="91">
        <v>972</v>
      </c>
      <c r="AM18" s="91">
        <v>972</v>
      </c>
      <c r="AN18" s="91">
        <v>972</v>
      </c>
      <c r="AO18" s="91">
        <v>972</v>
      </c>
      <c r="AP18" s="91">
        <v>972</v>
      </c>
      <c r="AQ18" s="91">
        <v>972</v>
      </c>
      <c r="AR18" s="91">
        <v>743</v>
      </c>
      <c r="AS18" s="91">
        <v>743</v>
      </c>
      <c r="AT18" s="91">
        <v>743</v>
      </c>
      <c r="AU18" s="91">
        <v>743</v>
      </c>
      <c r="AV18" s="91">
        <v>743</v>
      </c>
      <c r="AW18" s="91">
        <v>743</v>
      </c>
      <c r="AX18" s="91">
        <v>743</v>
      </c>
      <c r="AY18" s="91">
        <v>743</v>
      </c>
      <c r="AZ18" s="91">
        <v>743</v>
      </c>
      <c r="BA18" s="91">
        <v>743</v>
      </c>
      <c r="BB18" s="91">
        <v>769</v>
      </c>
      <c r="BC18" s="91">
        <v>769</v>
      </c>
    </row>
    <row r="19" spans="1:55" ht="15" customHeight="1">
      <c r="A19" s="2">
        <v>4900</v>
      </c>
      <c r="B19" s="2">
        <v>2.8</v>
      </c>
      <c r="C19" s="2">
        <v>7</v>
      </c>
      <c r="D19" s="2"/>
      <c r="E19" s="91">
        <v>1152</v>
      </c>
      <c r="F19" s="91">
        <v>1152</v>
      </c>
      <c r="G19" s="91">
        <v>1152</v>
      </c>
      <c r="H19" s="91">
        <v>1152</v>
      </c>
      <c r="I19" s="91">
        <v>1152</v>
      </c>
      <c r="J19" s="91">
        <v>1152</v>
      </c>
      <c r="K19" s="91">
        <v>1152</v>
      </c>
      <c r="L19" s="91">
        <v>1152</v>
      </c>
      <c r="M19" s="91">
        <v>1152</v>
      </c>
      <c r="N19" s="91">
        <v>1152</v>
      </c>
      <c r="O19" s="91">
        <v>1215</v>
      </c>
      <c r="P19" s="91">
        <v>1215</v>
      </c>
      <c r="Q19" s="91">
        <v>1215</v>
      </c>
      <c r="R19" s="91">
        <v>1215</v>
      </c>
      <c r="S19" s="91">
        <v>1215</v>
      </c>
      <c r="T19" s="91">
        <v>1215</v>
      </c>
      <c r="U19" s="91">
        <v>1215</v>
      </c>
      <c r="V19" s="91">
        <v>1215</v>
      </c>
      <c r="W19" s="91">
        <v>1215</v>
      </c>
      <c r="X19" s="91">
        <v>1215</v>
      </c>
      <c r="Y19" s="91">
        <v>1152</v>
      </c>
      <c r="Z19" s="91">
        <v>1152</v>
      </c>
      <c r="AA19" s="91">
        <v>1152</v>
      </c>
      <c r="AB19" s="91">
        <v>1152</v>
      </c>
      <c r="AC19" s="91">
        <v>1152</v>
      </c>
      <c r="AD19" s="91">
        <v>1152</v>
      </c>
      <c r="AE19" s="91">
        <v>1152</v>
      </c>
      <c r="AF19" s="91">
        <v>1152</v>
      </c>
      <c r="AG19" s="91">
        <v>1152</v>
      </c>
      <c r="AH19" s="91">
        <v>1102</v>
      </c>
      <c r="AI19" s="91">
        <v>1102</v>
      </c>
      <c r="AJ19" s="91">
        <v>1102</v>
      </c>
      <c r="AK19" s="91">
        <v>1102</v>
      </c>
      <c r="AL19" s="91">
        <v>1102</v>
      </c>
      <c r="AM19" s="91">
        <v>1102</v>
      </c>
      <c r="AN19" s="91">
        <v>1102</v>
      </c>
      <c r="AO19" s="91">
        <v>1102</v>
      </c>
      <c r="AP19" s="91">
        <v>1102</v>
      </c>
      <c r="AQ19" s="91">
        <v>1102</v>
      </c>
      <c r="AR19" s="91">
        <v>820</v>
      </c>
      <c r="AS19" s="91">
        <v>820</v>
      </c>
      <c r="AT19" s="91">
        <v>820</v>
      </c>
      <c r="AU19" s="91">
        <v>820</v>
      </c>
      <c r="AV19" s="91">
        <v>820</v>
      </c>
      <c r="AW19" s="91">
        <v>820</v>
      </c>
      <c r="AX19" s="91">
        <v>820</v>
      </c>
      <c r="AY19" s="91">
        <v>820</v>
      </c>
      <c r="AZ19" s="91">
        <v>820</v>
      </c>
      <c r="BA19" s="91">
        <v>820</v>
      </c>
      <c r="BB19" s="91">
        <v>895</v>
      </c>
      <c r="BC19" s="91">
        <v>895</v>
      </c>
    </row>
    <row r="20" spans="1:55" ht="15" customHeight="1">
      <c r="A20" s="2">
        <v>5250</v>
      </c>
      <c r="B20" s="2">
        <v>3</v>
      </c>
      <c r="C20" s="2"/>
      <c r="D20" s="2">
        <v>6</v>
      </c>
      <c r="E20" s="91">
        <v>1178</v>
      </c>
      <c r="F20" s="91">
        <v>1178</v>
      </c>
      <c r="G20" s="91">
        <v>1178</v>
      </c>
      <c r="H20" s="91">
        <v>1178</v>
      </c>
      <c r="I20" s="91">
        <v>1178</v>
      </c>
      <c r="J20" s="91">
        <v>1178</v>
      </c>
      <c r="K20" s="91">
        <v>1178</v>
      </c>
      <c r="L20" s="91">
        <v>1178</v>
      </c>
      <c r="M20" s="91">
        <v>1178</v>
      </c>
      <c r="N20" s="91">
        <v>1178</v>
      </c>
      <c r="O20" s="91">
        <v>1254</v>
      </c>
      <c r="P20" s="91">
        <v>1254</v>
      </c>
      <c r="Q20" s="91">
        <v>1254</v>
      </c>
      <c r="R20" s="91">
        <v>1254</v>
      </c>
      <c r="S20" s="91">
        <v>1254</v>
      </c>
      <c r="T20" s="91">
        <v>1254</v>
      </c>
      <c r="U20" s="91">
        <v>1254</v>
      </c>
      <c r="V20" s="91">
        <v>1254</v>
      </c>
      <c r="W20" s="91">
        <v>1254</v>
      </c>
      <c r="X20" s="91">
        <v>1254</v>
      </c>
      <c r="Y20" s="91">
        <v>1178</v>
      </c>
      <c r="Z20" s="91">
        <v>1178</v>
      </c>
      <c r="AA20" s="91">
        <v>1178</v>
      </c>
      <c r="AB20" s="91">
        <v>1178</v>
      </c>
      <c r="AC20" s="91">
        <v>1178</v>
      </c>
      <c r="AD20" s="91">
        <v>1178</v>
      </c>
      <c r="AE20" s="91">
        <v>1178</v>
      </c>
      <c r="AF20" s="91">
        <v>1178</v>
      </c>
      <c r="AG20" s="91">
        <v>1178</v>
      </c>
      <c r="AH20" s="91">
        <v>1127</v>
      </c>
      <c r="AI20" s="91">
        <v>1127</v>
      </c>
      <c r="AJ20" s="91">
        <v>1127</v>
      </c>
      <c r="AK20" s="91">
        <v>1127</v>
      </c>
      <c r="AL20" s="91">
        <v>1127</v>
      </c>
      <c r="AM20" s="91">
        <v>1127</v>
      </c>
      <c r="AN20" s="91">
        <v>1127</v>
      </c>
      <c r="AO20" s="91">
        <v>1127</v>
      </c>
      <c r="AP20" s="91">
        <v>1127</v>
      </c>
      <c r="AQ20" s="91">
        <v>1127</v>
      </c>
      <c r="AR20" s="91">
        <v>846</v>
      </c>
      <c r="AS20" s="91">
        <v>846</v>
      </c>
      <c r="AT20" s="91">
        <v>846</v>
      </c>
      <c r="AU20" s="91">
        <v>846</v>
      </c>
      <c r="AV20" s="91">
        <v>846</v>
      </c>
      <c r="AW20" s="91">
        <v>846</v>
      </c>
      <c r="AX20" s="91">
        <v>846</v>
      </c>
      <c r="AY20" s="91">
        <v>846</v>
      </c>
      <c r="AZ20" s="91">
        <v>846</v>
      </c>
      <c r="BA20" s="91">
        <v>846</v>
      </c>
      <c r="BB20" s="91">
        <v>922</v>
      </c>
      <c r="BC20" s="91">
        <v>922</v>
      </c>
    </row>
    <row r="21" spans="1:55" ht="15" customHeight="1">
      <c r="A21" s="2">
        <v>5600</v>
      </c>
      <c r="B21" s="2">
        <v>3.2</v>
      </c>
      <c r="C21" s="2">
        <v>8</v>
      </c>
      <c r="D21" s="2"/>
      <c r="E21" s="91">
        <v>1267</v>
      </c>
      <c r="F21" s="91">
        <v>1267</v>
      </c>
      <c r="G21" s="91">
        <v>1267</v>
      </c>
      <c r="H21" s="91">
        <v>1267</v>
      </c>
      <c r="I21" s="91">
        <v>1267</v>
      </c>
      <c r="J21" s="91">
        <v>1267</v>
      </c>
      <c r="K21" s="91">
        <v>1267</v>
      </c>
      <c r="L21" s="91">
        <v>1267</v>
      </c>
      <c r="M21" s="91">
        <v>1267</v>
      </c>
      <c r="N21" s="91">
        <v>1267</v>
      </c>
      <c r="O21" s="91">
        <v>1329</v>
      </c>
      <c r="P21" s="91">
        <v>1329</v>
      </c>
      <c r="Q21" s="91">
        <v>1329</v>
      </c>
      <c r="R21" s="91">
        <v>1329</v>
      </c>
      <c r="S21" s="91">
        <v>1329</v>
      </c>
      <c r="T21" s="91">
        <v>1329</v>
      </c>
      <c r="U21" s="91">
        <v>1329</v>
      </c>
      <c r="V21" s="91">
        <v>1329</v>
      </c>
      <c r="W21" s="91">
        <v>1329</v>
      </c>
      <c r="X21" s="91">
        <v>1329</v>
      </c>
      <c r="Y21" s="91">
        <v>1267</v>
      </c>
      <c r="Z21" s="91">
        <v>1267</v>
      </c>
      <c r="AA21" s="91">
        <v>1267</v>
      </c>
      <c r="AB21" s="91">
        <v>1267</v>
      </c>
      <c r="AC21" s="91">
        <v>1267</v>
      </c>
      <c r="AD21" s="91">
        <v>1267</v>
      </c>
      <c r="AE21" s="91">
        <v>1267</v>
      </c>
      <c r="AF21" s="91">
        <v>1267</v>
      </c>
      <c r="AG21" s="91">
        <v>1267</v>
      </c>
      <c r="AH21" s="91">
        <v>1203</v>
      </c>
      <c r="AI21" s="91">
        <v>1203</v>
      </c>
      <c r="AJ21" s="91">
        <v>1203</v>
      </c>
      <c r="AK21" s="91">
        <v>1203</v>
      </c>
      <c r="AL21" s="91">
        <v>1203</v>
      </c>
      <c r="AM21" s="91">
        <v>1203</v>
      </c>
      <c r="AN21" s="91">
        <v>1203</v>
      </c>
      <c r="AO21" s="91">
        <v>1203</v>
      </c>
      <c r="AP21" s="91">
        <v>1203</v>
      </c>
      <c r="AQ21" s="91">
        <v>1203</v>
      </c>
      <c r="AR21" s="91">
        <v>960</v>
      </c>
      <c r="AS21" s="91">
        <v>960</v>
      </c>
      <c r="AT21" s="91">
        <v>960</v>
      </c>
      <c r="AU21" s="91">
        <v>960</v>
      </c>
      <c r="AV21" s="91">
        <v>960</v>
      </c>
      <c r="AW21" s="91">
        <v>960</v>
      </c>
      <c r="AX21" s="91">
        <v>960</v>
      </c>
      <c r="AY21" s="91">
        <v>960</v>
      </c>
      <c r="AZ21" s="91">
        <v>960</v>
      </c>
      <c r="BA21" s="91">
        <v>960</v>
      </c>
      <c r="BB21" s="91">
        <v>997</v>
      </c>
      <c r="BC21" s="91">
        <v>997</v>
      </c>
    </row>
    <row r="22" spans="1:55" ht="15" customHeight="1">
      <c r="A22" s="2">
        <v>6125</v>
      </c>
      <c r="B22" s="2">
        <v>3.5</v>
      </c>
      <c r="C22" s="2"/>
      <c r="D22" s="2">
        <v>7</v>
      </c>
      <c r="E22" s="91">
        <v>1395</v>
      </c>
      <c r="F22" s="91">
        <v>1395</v>
      </c>
      <c r="G22" s="91">
        <v>1395</v>
      </c>
      <c r="H22" s="91">
        <v>1395</v>
      </c>
      <c r="I22" s="91">
        <v>1395</v>
      </c>
      <c r="J22" s="91">
        <v>1395</v>
      </c>
      <c r="K22" s="91">
        <v>1395</v>
      </c>
      <c r="L22" s="91">
        <v>1395</v>
      </c>
      <c r="M22" s="91">
        <v>1395</v>
      </c>
      <c r="N22" s="91">
        <v>1395</v>
      </c>
      <c r="O22" s="91">
        <v>1457</v>
      </c>
      <c r="P22" s="91">
        <v>1457</v>
      </c>
      <c r="Q22" s="91">
        <v>1457</v>
      </c>
      <c r="R22" s="91">
        <v>1457</v>
      </c>
      <c r="S22" s="91">
        <v>1457</v>
      </c>
      <c r="T22" s="91">
        <v>1457</v>
      </c>
      <c r="U22" s="91">
        <v>1457</v>
      </c>
      <c r="V22" s="91">
        <v>1457</v>
      </c>
      <c r="W22" s="91">
        <v>1457</v>
      </c>
      <c r="X22" s="91">
        <v>1457</v>
      </c>
      <c r="Y22" s="91">
        <v>1395</v>
      </c>
      <c r="Z22" s="91">
        <v>1395</v>
      </c>
      <c r="AA22" s="91">
        <v>1395</v>
      </c>
      <c r="AB22" s="91">
        <v>1395</v>
      </c>
      <c r="AC22" s="91">
        <v>1395</v>
      </c>
      <c r="AD22" s="91">
        <v>1395</v>
      </c>
      <c r="AE22" s="91">
        <v>1395</v>
      </c>
      <c r="AF22" s="91">
        <v>1395</v>
      </c>
      <c r="AG22" s="91">
        <v>1395</v>
      </c>
      <c r="AH22" s="91">
        <v>1343</v>
      </c>
      <c r="AI22" s="91">
        <v>1343</v>
      </c>
      <c r="AJ22" s="91">
        <v>1343</v>
      </c>
      <c r="AK22" s="91">
        <v>1343</v>
      </c>
      <c r="AL22" s="91">
        <v>1343</v>
      </c>
      <c r="AM22" s="91">
        <v>1343</v>
      </c>
      <c r="AN22" s="91">
        <v>1343</v>
      </c>
      <c r="AO22" s="91">
        <v>1343</v>
      </c>
      <c r="AP22" s="91">
        <v>1343</v>
      </c>
      <c r="AQ22" s="91">
        <v>1343</v>
      </c>
      <c r="AR22" s="91">
        <v>1100</v>
      </c>
      <c r="AS22" s="91">
        <v>1100</v>
      </c>
      <c r="AT22" s="91">
        <v>1100</v>
      </c>
      <c r="AU22" s="91">
        <v>1100</v>
      </c>
      <c r="AV22" s="91">
        <v>1100</v>
      </c>
      <c r="AW22" s="91">
        <v>1100</v>
      </c>
      <c r="AX22" s="91">
        <v>1100</v>
      </c>
      <c r="AY22" s="91">
        <v>1100</v>
      </c>
      <c r="AZ22" s="91">
        <v>1100</v>
      </c>
      <c r="BA22" s="91">
        <v>1100</v>
      </c>
      <c r="BB22" s="91">
        <v>1137</v>
      </c>
      <c r="BC22" s="91">
        <v>1137</v>
      </c>
    </row>
    <row r="23" spans="1:55" ht="15" customHeight="1">
      <c r="A23" s="2">
        <v>6300</v>
      </c>
      <c r="B23" s="2">
        <v>3.6</v>
      </c>
      <c r="C23" s="2">
        <v>9</v>
      </c>
      <c r="D23" s="2"/>
      <c r="E23" s="91">
        <v>1469</v>
      </c>
      <c r="F23" s="91">
        <v>1469</v>
      </c>
      <c r="G23" s="91">
        <v>1469</v>
      </c>
      <c r="H23" s="91">
        <v>1469</v>
      </c>
      <c r="I23" s="91">
        <v>1469</v>
      </c>
      <c r="J23" s="91">
        <v>1469</v>
      </c>
      <c r="K23" s="91">
        <v>1469</v>
      </c>
      <c r="L23" s="91">
        <v>1469</v>
      </c>
      <c r="M23" s="91">
        <v>1469</v>
      </c>
      <c r="N23" s="91">
        <v>1469</v>
      </c>
      <c r="O23" s="91">
        <v>1534</v>
      </c>
      <c r="P23" s="91">
        <v>1534</v>
      </c>
      <c r="Q23" s="91">
        <v>1534</v>
      </c>
      <c r="R23" s="91">
        <v>1534</v>
      </c>
      <c r="S23" s="91">
        <v>1534</v>
      </c>
      <c r="T23" s="91">
        <v>1534</v>
      </c>
      <c r="U23" s="91">
        <v>1534</v>
      </c>
      <c r="V23" s="91">
        <v>1534</v>
      </c>
      <c r="W23" s="91">
        <v>1534</v>
      </c>
      <c r="X23" s="91">
        <v>1534</v>
      </c>
      <c r="Y23" s="91">
        <v>1469</v>
      </c>
      <c r="Z23" s="91">
        <v>1469</v>
      </c>
      <c r="AA23" s="91">
        <v>1469</v>
      </c>
      <c r="AB23" s="91">
        <v>1469</v>
      </c>
      <c r="AC23" s="91">
        <v>1469</v>
      </c>
      <c r="AD23" s="91">
        <v>1469</v>
      </c>
      <c r="AE23" s="91">
        <v>1469</v>
      </c>
      <c r="AF23" s="91">
        <v>1469</v>
      </c>
      <c r="AG23" s="91">
        <v>1469</v>
      </c>
      <c r="AH23" s="91">
        <v>1457</v>
      </c>
      <c r="AI23" s="91">
        <v>1457</v>
      </c>
      <c r="AJ23" s="91">
        <v>1457</v>
      </c>
      <c r="AK23" s="91">
        <v>1457</v>
      </c>
      <c r="AL23" s="91">
        <v>1457</v>
      </c>
      <c r="AM23" s="91">
        <v>1457</v>
      </c>
      <c r="AN23" s="91">
        <v>1457</v>
      </c>
      <c r="AO23" s="91">
        <v>1457</v>
      </c>
      <c r="AP23" s="91">
        <v>1457</v>
      </c>
      <c r="AQ23" s="91">
        <v>1457</v>
      </c>
      <c r="AR23" s="91">
        <v>1202</v>
      </c>
      <c r="AS23" s="91">
        <v>1202</v>
      </c>
      <c r="AT23" s="91">
        <v>1202</v>
      </c>
      <c r="AU23" s="91">
        <v>1202</v>
      </c>
      <c r="AV23" s="91">
        <v>1202</v>
      </c>
      <c r="AW23" s="91">
        <v>1202</v>
      </c>
      <c r="AX23" s="91">
        <v>1202</v>
      </c>
      <c r="AY23" s="91">
        <v>1202</v>
      </c>
      <c r="AZ23" s="91">
        <v>1202</v>
      </c>
      <c r="BA23" s="91">
        <v>1202</v>
      </c>
      <c r="BB23" s="91">
        <v>1266</v>
      </c>
      <c r="BC23" s="91">
        <v>1266</v>
      </c>
    </row>
    <row r="24" spans="1:55" ht="15" customHeight="1">
      <c r="A24" s="2">
        <v>7000</v>
      </c>
      <c r="B24" s="2">
        <v>4</v>
      </c>
      <c r="C24" s="2">
        <v>10</v>
      </c>
      <c r="D24" s="2">
        <v>8</v>
      </c>
      <c r="E24" s="91">
        <v>1610</v>
      </c>
      <c r="F24" s="91">
        <v>1610</v>
      </c>
      <c r="G24" s="91">
        <v>1610</v>
      </c>
      <c r="H24" s="91">
        <v>1610</v>
      </c>
      <c r="I24" s="91">
        <v>1610</v>
      </c>
      <c r="J24" s="91">
        <v>1610</v>
      </c>
      <c r="K24" s="91">
        <v>1610</v>
      </c>
      <c r="L24" s="91">
        <v>1610</v>
      </c>
      <c r="M24" s="91">
        <v>1610</v>
      </c>
      <c r="N24" s="91">
        <v>1610</v>
      </c>
      <c r="O24" s="91">
        <v>1659</v>
      </c>
      <c r="P24" s="91">
        <v>1659</v>
      </c>
      <c r="Q24" s="91">
        <v>1659</v>
      </c>
      <c r="R24" s="91">
        <v>1659</v>
      </c>
      <c r="S24" s="91">
        <v>1659</v>
      </c>
      <c r="T24" s="91">
        <v>1659</v>
      </c>
      <c r="U24" s="91">
        <v>1659</v>
      </c>
      <c r="V24" s="91">
        <v>1659</v>
      </c>
      <c r="W24" s="91">
        <v>1659</v>
      </c>
      <c r="X24" s="91">
        <v>1659</v>
      </c>
      <c r="Y24" s="91">
        <v>1610</v>
      </c>
      <c r="Z24" s="91">
        <v>1610</v>
      </c>
      <c r="AA24" s="91">
        <v>1610</v>
      </c>
      <c r="AB24" s="91">
        <v>1610</v>
      </c>
      <c r="AC24" s="91">
        <v>1610</v>
      </c>
      <c r="AD24" s="91">
        <v>1610</v>
      </c>
      <c r="AE24" s="91">
        <v>1610</v>
      </c>
      <c r="AF24" s="91">
        <v>1610</v>
      </c>
      <c r="AG24" s="91">
        <v>1610</v>
      </c>
      <c r="AH24" s="91">
        <v>1584</v>
      </c>
      <c r="AI24" s="91">
        <v>1584</v>
      </c>
      <c r="AJ24" s="91">
        <v>1584</v>
      </c>
      <c r="AK24" s="91">
        <v>1584</v>
      </c>
      <c r="AL24" s="91">
        <v>1584</v>
      </c>
      <c r="AM24" s="91">
        <v>1584</v>
      </c>
      <c r="AN24" s="91">
        <v>1584</v>
      </c>
      <c r="AO24" s="91">
        <v>1584</v>
      </c>
      <c r="AP24" s="91">
        <v>1584</v>
      </c>
      <c r="AQ24" s="91">
        <v>1584</v>
      </c>
      <c r="AR24" s="91">
        <v>1251</v>
      </c>
      <c r="AS24" s="91">
        <v>1251</v>
      </c>
      <c r="AT24" s="91">
        <v>1251</v>
      </c>
      <c r="AU24" s="91">
        <v>1251</v>
      </c>
      <c r="AV24" s="91">
        <v>1251</v>
      </c>
      <c r="AW24" s="91">
        <v>1251</v>
      </c>
      <c r="AX24" s="91">
        <v>1251</v>
      </c>
      <c r="AY24" s="91">
        <v>1251</v>
      </c>
      <c r="AZ24" s="91">
        <v>1251</v>
      </c>
      <c r="BA24" s="91">
        <v>1251</v>
      </c>
      <c r="BB24" s="91">
        <v>1303</v>
      </c>
      <c r="BC24" s="91">
        <v>1303</v>
      </c>
    </row>
    <row r="25" spans="1:55" ht="15" customHeight="1">
      <c r="A25" s="3"/>
      <c r="B25" s="3"/>
      <c r="C25" s="3"/>
      <c r="D25" s="3"/>
    </row>
    <row r="26" spans="1:55" ht="15" customHeight="1">
      <c r="A26" s="4" t="s">
        <v>24</v>
      </c>
      <c r="B26" s="3"/>
      <c r="C26" s="3"/>
      <c r="D26" s="3"/>
    </row>
    <row r="27" spans="1:55" ht="15" customHeight="1">
      <c r="A27" s="3"/>
      <c r="B27" s="3"/>
      <c r="C27" s="3"/>
      <c r="D27" s="3"/>
    </row>
    <row r="28" spans="1:55" ht="15" customHeight="1">
      <c r="A28" s="100" t="s">
        <v>55</v>
      </c>
      <c r="B28" s="101"/>
      <c r="C28" s="6" t="s">
        <v>26</v>
      </c>
      <c r="D28" s="27"/>
      <c r="E28" s="95"/>
      <c r="F28" s="96"/>
      <c r="G28" s="71" t="s">
        <v>27</v>
      </c>
      <c r="H28" s="96"/>
      <c r="I28" s="96"/>
      <c r="J28" s="96"/>
      <c r="K28" s="96"/>
      <c r="L28" s="96"/>
      <c r="M28" s="96"/>
      <c r="N28" s="96"/>
      <c r="O28" s="96"/>
      <c r="P28" s="96"/>
      <c r="Q28" s="96"/>
      <c r="R28" s="96"/>
      <c r="S28" s="96"/>
      <c r="T28" s="71" t="s">
        <v>27</v>
      </c>
      <c r="U28" s="96"/>
      <c r="V28" s="96"/>
      <c r="W28" s="96"/>
      <c r="X28" s="96"/>
      <c r="Y28" s="96"/>
      <c r="Z28" s="96"/>
      <c r="AA28" s="96"/>
      <c r="AB28" s="96"/>
      <c r="AC28" s="96"/>
      <c r="AD28" s="96"/>
      <c r="AE28" s="96"/>
      <c r="AF28" s="96"/>
      <c r="AG28" s="71" t="s">
        <v>27</v>
      </c>
      <c r="AH28" s="96"/>
      <c r="AI28" s="96"/>
      <c r="AJ28" s="96"/>
      <c r="AK28" s="96"/>
      <c r="AL28" s="96"/>
      <c r="AM28" s="96"/>
      <c r="AN28" s="96"/>
      <c r="AO28" s="71"/>
      <c r="AP28" s="96"/>
      <c r="AQ28" s="96"/>
      <c r="AR28" s="96"/>
      <c r="AS28" s="96"/>
      <c r="AT28" s="71" t="s">
        <v>27</v>
      </c>
      <c r="AU28" s="96"/>
      <c r="AV28" s="96"/>
      <c r="AW28" s="96"/>
      <c r="AX28" s="96"/>
      <c r="AY28" s="96"/>
      <c r="AZ28" s="96"/>
      <c r="BA28" s="96"/>
      <c r="BB28" s="96"/>
      <c r="BC28" s="76"/>
    </row>
    <row r="29" spans="1:55" ht="15" customHeight="1">
      <c r="A29" s="222" t="s">
        <v>28</v>
      </c>
      <c r="B29" s="223"/>
      <c r="C29" s="104" t="s">
        <v>29</v>
      </c>
      <c r="D29" s="73"/>
      <c r="E29" s="112">
        <v>8</v>
      </c>
      <c r="F29" s="112">
        <v>8</v>
      </c>
      <c r="G29" s="112">
        <v>8</v>
      </c>
      <c r="H29" s="112">
        <v>8</v>
      </c>
      <c r="I29" s="112">
        <v>8</v>
      </c>
      <c r="J29" s="112">
        <v>8</v>
      </c>
      <c r="K29" s="112">
        <v>8</v>
      </c>
      <c r="L29" s="112">
        <v>8</v>
      </c>
      <c r="M29" s="112">
        <v>8</v>
      </c>
      <c r="N29" s="112">
        <v>8</v>
      </c>
      <c r="O29" s="112">
        <v>8</v>
      </c>
      <c r="P29" s="112">
        <v>8</v>
      </c>
      <c r="Q29" s="112">
        <v>8</v>
      </c>
      <c r="R29" s="112">
        <v>8</v>
      </c>
      <c r="S29" s="112">
        <v>8</v>
      </c>
      <c r="T29" s="112">
        <v>8</v>
      </c>
      <c r="U29" s="112">
        <v>8</v>
      </c>
      <c r="V29" s="112">
        <v>8</v>
      </c>
      <c r="W29" s="112">
        <v>8</v>
      </c>
      <c r="X29" s="112">
        <v>8</v>
      </c>
      <c r="Y29" s="112">
        <v>8</v>
      </c>
      <c r="Z29" s="112">
        <v>8</v>
      </c>
      <c r="AA29" s="112">
        <v>8</v>
      </c>
      <c r="AB29" s="112">
        <v>8</v>
      </c>
      <c r="AC29" s="112">
        <v>8</v>
      </c>
      <c r="AD29" s="112">
        <v>8</v>
      </c>
      <c r="AE29" s="112">
        <v>8</v>
      </c>
      <c r="AF29" s="112">
        <v>8</v>
      </c>
      <c r="AG29" s="112">
        <v>8</v>
      </c>
      <c r="AH29" s="112">
        <v>8</v>
      </c>
      <c r="AI29" s="112">
        <v>8</v>
      </c>
      <c r="AJ29" s="112">
        <v>8</v>
      </c>
      <c r="AK29" s="112">
        <v>8</v>
      </c>
      <c r="AL29" s="112">
        <v>8</v>
      </c>
      <c r="AM29" s="112">
        <v>8</v>
      </c>
      <c r="AN29" s="112">
        <v>8</v>
      </c>
      <c r="AO29" s="112">
        <v>8</v>
      </c>
      <c r="AP29" s="112">
        <v>8</v>
      </c>
      <c r="AQ29" s="112">
        <v>8</v>
      </c>
      <c r="AR29" s="112">
        <v>8</v>
      </c>
      <c r="AS29" s="112">
        <v>8</v>
      </c>
      <c r="AT29" s="112">
        <v>8</v>
      </c>
      <c r="AU29" s="112">
        <v>8</v>
      </c>
      <c r="AV29" s="112">
        <v>8</v>
      </c>
      <c r="AW29" s="112">
        <v>8</v>
      </c>
      <c r="AX29" s="112">
        <v>8</v>
      </c>
      <c r="AY29" s="112">
        <v>8</v>
      </c>
      <c r="AZ29" s="112">
        <v>8</v>
      </c>
      <c r="BA29" s="112">
        <v>8</v>
      </c>
      <c r="BB29" s="112">
        <v>8</v>
      </c>
      <c r="BC29" s="112">
        <v>8</v>
      </c>
    </row>
    <row r="30" spans="1:55" ht="15" customHeight="1">
      <c r="A30" s="222" t="s">
        <v>32</v>
      </c>
      <c r="B30" s="223"/>
      <c r="C30" s="104" t="s">
        <v>29</v>
      </c>
      <c r="D30" s="73"/>
      <c r="E30" s="74" t="s">
        <v>197</v>
      </c>
      <c r="F30" s="74" t="s">
        <v>197</v>
      </c>
      <c r="G30" s="74" t="s">
        <v>197</v>
      </c>
      <c r="H30" s="74" t="s">
        <v>197</v>
      </c>
      <c r="I30" s="74" t="s">
        <v>197</v>
      </c>
      <c r="J30" s="74" t="s">
        <v>197</v>
      </c>
      <c r="K30" s="74" t="s">
        <v>197</v>
      </c>
      <c r="L30" s="74" t="s">
        <v>197</v>
      </c>
      <c r="M30" s="74" t="s">
        <v>197</v>
      </c>
      <c r="N30" s="74" t="s">
        <v>197</v>
      </c>
      <c r="O30" s="74" t="s">
        <v>197</v>
      </c>
      <c r="P30" s="74" t="s">
        <v>197</v>
      </c>
      <c r="Q30" s="74" t="s">
        <v>197</v>
      </c>
      <c r="R30" s="74" t="s">
        <v>197</v>
      </c>
      <c r="S30" s="74" t="s">
        <v>197</v>
      </c>
      <c r="T30" s="74" t="s">
        <v>197</v>
      </c>
      <c r="U30" s="74" t="s">
        <v>197</v>
      </c>
      <c r="V30" s="74" t="s">
        <v>197</v>
      </c>
      <c r="W30" s="74" t="s">
        <v>197</v>
      </c>
      <c r="X30" s="74" t="s">
        <v>197</v>
      </c>
      <c r="Y30" s="74" t="s">
        <v>197</v>
      </c>
      <c r="Z30" s="74" t="s">
        <v>197</v>
      </c>
      <c r="AA30" s="74" t="s">
        <v>197</v>
      </c>
      <c r="AB30" s="74" t="s">
        <v>197</v>
      </c>
      <c r="AC30" s="74" t="s">
        <v>197</v>
      </c>
      <c r="AD30" s="74" t="s">
        <v>197</v>
      </c>
      <c r="AE30" s="74" t="s">
        <v>197</v>
      </c>
      <c r="AF30" s="74" t="s">
        <v>197</v>
      </c>
      <c r="AG30" s="74" t="s">
        <v>197</v>
      </c>
      <c r="AH30" s="74" t="s">
        <v>197</v>
      </c>
      <c r="AI30" s="74" t="s">
        <v>197</v>
      </c>
      <c r="AJ30" s="74" t="s">
        <v>197</v>
      </c>
      <c r="AK30" s="74" t="s">
        <v>197</v>
      </c>
      <c r="AL30" s="74" t="s">
        <v>197</v>
      </c>
      <c r="AM30" s="74" t="s">
        <v>197</v>
      </c>
      <c r="AN30" s="74" t="s">
        <v>197</v>
      </c>
      <c r="AO30" s="74" t="s">
        <v>197</v>
      </c>
      <c r="AP30" s="74" t="s">
        <v>197</v>
      </c>
      <c r="AQ30" s="74" t="s">
        <v>197</v>
      </c>
      <c r="AR30" s="74" t="s">
        <v>197</v>
      </c>
      <c r="AS30" s="74" t="s">
        <v>197</v>
      </c>
      <c r="AT30" s="74" t="s">
        <v>197</v>
      </c>
      <c r="AU30" s="74" t="s">
        <v>197</v>
      </c>
      <c r="AV30" s="74" t="s">
        <v>197</v>
      </c>
      <c r="AW30" s="74" t="s">
        <v>197</v>
      </c>
      <c r="AX30" s="74" t="s">
        <v>197</v>
      </c>
      <c r="AY30" s="74" t="s">
        <v>197</v>
      </c>
      <c r="AZ30" s="74" t="s">
        <v>197</v>
      </c>
      <c r="BA30" s="74" t="s">
        <v>197</v>
      </c>
      <c r="BB30" s="74" t="s">
        <v>197</v>
      </c>
      <c r="BC30" s="74" t="s">
        <v>197</v>
      </c>
    </row>
    <row r="31" spans="1:55" ht="15" customHeight="1">
      <c r="A31" s="227" t="s">
        <v>33</v>
      </c>
      <c r="B31" s="228"/>
      <c r="C31" s="104" t="s">
        <v>29</v>
      </c>
      <c r="D31" s="76"/>
      <c r="E31" s="74" t="s">
        <v>41</v>
      </c>
      <c r="F31" s="74" t="s">
        <v>41</v>
      </c>
      <c r="G31" s="74" t="s">
        <v>41</v>
      </c>
      <c r="H31" s="74" t="s">
        <v>41</v>
      </c>
      <c r="I31" s="74" t="s">
        <v>41</v>
      </c>
      <c r="J31" s="74" t="s">
        <v>41</v>
      </c>
      <c r="K31" s="74" t="s">
        <v>41</v>
      </c>
      <c r="L31" s="74" t="s">
        <v>41</v>
      </c>
      <c r="M31" s="74" t="s">
        <v>41</v>
      </c>
      <c r="N31" s="74" t="s">
        <v>41</v>
      </c>
      <c r="O31" s="74" t="s">
        <v>41</v>
      </c>
      <c r="P31" s="74" t="s">
        <v>41</v>
      </c>
      <c r="Q31" s="74" t="s">
        <v>41</v>
      </c>
      <c r="R31" s="74" t="s">
        <v>41</v>
      </c>
      <c r="S31" s="74" t="s">
        <v>41</v>
      </c>
      <c r="T31" s="74" t="s">
        <v>41</v>
      </c>
      <c r="U31" s="74" t="s">
        <v>41</v>
      </c>
      <c r="V31" s="74" t="s">
        <v>41</v>
      </c>
      <c r="W31" s="74" t="s">
        <v>41</v>
      </c>
      <c r="X31" s="74" t="s">
        <v>41</v>
      </c>
      <c r="Y31" s="74" t="s">
        <v>41</v>
      </c>
      <c r="Z31" s="74" t="s">
        <v>41</v>
      </c>
      <c r="AA31" s="74" t="s">
        <v>41</v>
      </c>
      <c r="AB31" s="74" t="s">
        <v>41</v>
      </c>
      <c r="AC31" s="74" t="s">
        <v>41</v>
      </c>
      <c r="AD31" s="74" t="s">
        <v>41</v>
      </c>
      <c r="AE31" s="74" t="s">
        <v>41</v>
      </c>
      <c r="AF31" s="74" t="s">
        <v>41</v>
      </c>
      <c r="AG31" s="74" t="s">
        <v>41</v>
      </c>
      <c r="AH31" s="74" t="s">
        <v>41</v>
      </c>
      <c r="AI31" s="74" t="s">
        <v>41</v>
      </c>
      <c r="AJ31" s="74" t="s">
        <v>41</v>
      </c>
      <c r="AK31" s="74" t="s">
        <v>41</v>
      </c>
      <c r="AL31" s="74" t="s">
        <v>41</v>
      </c>
      <c r="AM31" s="74" t="s">
        <v>41</v>
      </c>
      <c r="AN31" s="74" t="s">
        <v>41</v>
      </c>
      <c r="AO31" s="74" t="s">
        <v>41</v>
      </c>
      <c r="AP31" s="74" t="s">
        <v>41</v>
      </c>
      <c r="AQ31" s="74" t="s">
        <v>41</v>
      </c>
      <c r="AR31" s="74" t="s">
        <v>41</v>
      </c>
      <c r="AS31" s="74" t="s">
        <v>41</v>
      </c>
      <c r="AT31" s="74" t="s">
        <v>41</v>
      </c>
      <c r="AU31" s="74" t="s">
        <v>41</v>
      </c>
      <c r="AV31" s="74" t="s">
        <v>41</v>
      </c>
      <c r="AW31" s="74" t="s">
        <v>41</v>
      </c>
      <c r="AX31" s="74" t="s">
        <v>41</v>
      </c>
      <c r="AY31" s="74" t="s">
        <v>41</v>
      </c>
      <c r="AZ31" s="74" t="s">
        <v>41</v>
      </c>
      <c r="BA31" s="74" t="s">
        <v>41</v>
      </c>
      <c r="BB31" s="74" t="s">
        <v>41</v>
      </c>
      <c r="BC31" s="74" t="s">
        <v>41</v>
      </c>
    </row>
    <row r="33" spans="1:1">
      <c r="A33" s="89" t="s">
        <v>52</v>
      </c>
    </row>
    <row r="34" spans="1:1">
      <c r="A34" s="26" t="s">
        <v>56</v>
      </c>
    </row>
    <row r="35" spans="1:1">
      <c r="A35" s="3"/>
    </row>
  </sheetData>
  <mergeCells count="3">
    <mergeCell ref="A29:B29"/>
    <mergeCell ref="A30:B30"/>
    <mergeCell ref="A31:B31"/>
  </mergeCells>
  <conditionalFormatting sqref="E7:BC24">
    <cfRule type="expression" dxfId="24" priority="1" stopIfTrue="1">
      <formula>#REF!&lt;E7</formula>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6ADF-D5CD-4F08-8FBC-21317DFD9443}">
  <dimension ref="A1:X35"/>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24" ht="15" customHeight="1"/>
    <row r="2" spans="1:24" ht="15" customHeight="1">
      <c r="A2" s="9"/>
      <c r="B2" s="7"/>
      <c r="C2" s="7"/>
      <c r="D2" s="7"/>
      <c r="E2" s="7"/>
    </row>
    <row r="3" spans="1:24" ht="20.45" customHeight="1">
      <c r="A3" s="9" t="str">
        <f>Voorblad!A5</f>
        <v>Team Freight Forwarding Logistics</v>
      </c>
      <c r="B3" s="8"/>
      <c r="C3" s="8"/>
      <c r="D3" s="8"/>
      <c r="E3" s="48"/>
    </row>
    <row r="4" spans="1:24" s="51" customFormat="1" ht="15.75">
      <c r="A4" s="62" t="s">
        <v>198</v>
      </c>
      <c r="B4" s="49"/>
      <c r="C4" s="50"/>
      <c r="D4" s="50"/>
      <c r="E4" s="50"/>
    </row>
    <row r="5" spans="1:24" ht="15" customHeight="1">
      <c r="A5" s="7"/>
      <c r="B5" s="7"/>
      <c r="C5" s="7"/>
      <c r="D5" s="7"/>
      <c r="E5" s="26"/>
    </row>
    <row r="6" spans="1:24" ht="15" customHeight="1">
      <c r="A6" s="63" t="s">
        <v>20</v>
      </c>
      <c r="B6" s="63" t="s">
        <v>21</v>
      </c>
      <c r="C6" s="64" t="s">
        <v>22</v>
      </c>
      <c r="D6" s="64" t="s">
        <v>23</v>
      </c>
      <c r="E6" s="2">
        <v>10</v>
      </c>
      <c r="F6" s="2">
        <v>20</v>
      </c>
      <c r="G6" s="2">
        <v>21</v>
      </c>
      <c r="H6" s="2">
        <v>22</v>
      </c>
      <c r="I6" s="2">
        <v>23</v>
      </c>
      <c r="J6" s="2">
        <v>31</v>
      </c>
      <c r="K6" s="2">
        <v>32</v>
      </c>
      <c r="L6" s="2">
        <v>33</v>
      </c>
      <c r="M6" s="2">
        <v>34</v>
      </c>
      <c r="N6" s="2">
        <v>35</v>
      </c>
      <c r="O6" s="2">
        <v>40</v>
      </c>
      <c r="P6" s="2">
        <v>42</v>
      </c>
      <c r="Q6" s="2">
        <v>43</v>
      </c>
      <c r="R6" s="2">
        <v>44</v>
      </c>
      <c r="S6" s="2">
        <v>47</v>
      </c>
      <c r="T6" s="2">
        <v>48</v>
      </c>
      <c r="U6" s="2">
        <v>49</v>
      </c>
      <c r="V6" s="2">
        <v>51</v>
      </c>
      <c r="W6" s="2">
        <v>52</v>
      </c>
      <c r="X6" s="2">
        <v>53</v>
      </c>
    </row>
    <row r="7" spans="1:24" ht="15" customHeight="1">
      <c r="A7" s="67">
        <v>300</v>
      </c>
      <c r="B7" s="64">
        <v>0.2</v>
      </c>
      <c r="C7" s="64">
        <v>0.5</v>
      </c>
      <c r="D7" s="64"/>
      <c r="E7" s="41">
        <v>218</v>
      </c>
      <c r="F7" s="41">
        <v>272</v>
      </c>
      <c r="G7" s="41">
        <v>257</v>
      </c>
      <c r="H7" s="41">
        <v>255</v>
      </c>
      <c r="I7" s="41">
        <v>252</v>
      </c>
      <c r="J7" s="41">
        <v>250</v>
      </c>
      <c r="K7" s="41">
        <v>255</v>
      </c>
      <c r="L7" s="41">
        <v>239</v>
      </c>
      <c r="M7" s="41">
        <v>247</v>
      </c>
      <c r="N7" s="41">
        <v>249</v>
      </c>
      <c r="O7" s="41">
        <v>237</v>
      </c>
      <c r="P7" s="41">
        <v>237</v>
      </c>
      <c r="Q7" s="41">
        <v>247</v>
      </c>
      <c r="R7" s="41">
        <v>239</v>
      </c>
      <c r="S7" s="41">
        <v>237</v>
      </c>
      <c r="T7" s="41">
        <v>239</v>
      </c>
      <c r="U7" s="41">
        <v>237</v>
      </c>
      <c r="V7" s="41">
        <v>237</v>
      </c>
      <c r="W7" s="41">
        <v>247</v>
      </c>
      <c r="X7" s="41">
        <v>252</v>
      </c>
    </row>
    <row r="8" spans="1:24" ht="15" customHeight="1">
      <c r="A8" s="2">
        <v>700</v>
      </c>
      <c r="B8" s="64">
        <v>0.4</v>
      </c>
      <c r="C8" s="64">
        <v>1</v>
      </c>
      <c r="D8" s="64"/>
      <c r="E8" s="41">
        <v>272</v>
      </c>
      <c r="F8" s="41">
        <v>339</v>
      </c>
      <c r="G8" s="41">
        <v>321</v>
      </c>
      <c r="H8" s="41">
        <v>318</v>
      </c>
      <c r="I8" s="41">
        <v>315</v>
      </c>
      <c r="J8" s="41">
        <v>313</v>
      </c>
      <c r="K8" s="41">
        <v>318</v>
      </c>
      <c r="L8" s="41">
        <v>297</v>
      </c>
      <c r="M8" s="41">
        <v>309</v>
      </c>
      <c r="N8" s="41">
        <v>311</v>
      </c>
      <c r="O8" s="41">
        <v>295</v>
      </c>
      <c r="P8" s="41">
        <v>295</v>
      </c>
      <c r="Q8" s="41">
        <v>309</v>
      </c>
      <c r="R8" s="41">
        <v>297</v>
      </c>
      <c r="S8" s="41">
        <v>295</v>
      </c>
      <c r="T8" s="41">
        <v>297</v>
      </c>
      <c r="U8" s="41">
        <v>295</v>
      </c>
      <c r="V8" s="41">
        <v>295</v>
      </c>
      <c r="W8" s="41">
        <v>309</v>
      </c>
      <c r="X8" s="41">
        <v>315</v>
      </c>
    </row>
    <row r="9" spans="1:24" ht="15" customHeight="1">
      <c r="A9" s="2">
        <v>875</v>
      </c>
      <c r="B9" s="64">
        <v>0.5</v>
      </c>
      <c r="C9" s="64"/>
      <c r="D9" s="64">
        <v>1</v>
      </c>
      <c r="E9" s="41">
        <v>295</v>
      </c>
      <c r="F9" s="41">
        <v>490</v>
      </c>
      <c r="G9" s="41">
        <v>405</v>
      </c>
      <c r="H9" s="41">
        <v>388</v>
      </c>
      <c r="I9" s="41">
        <v>368</v>
      </c>
      <c r="J9" s="41">
        <v>366</v>
      </c>
      <c r="K9" s="41">
        <v>388</v>
      </c>
      <c r="L9" s="41">
        <v>314</v>
      </c>
      <c r="M9" s="41">
        <v>323</v>
      </c>
      <c r="N9" s="41">
        <v>341</v>
      </c>
      <c r="O9" s="41">
        <v>309</v>
      </c>
      <c r="P9" s="41">
        <v>309</v>
      </c>
      <c r="Q9" s="41">
        <v>323</v>
      </c>
      <c r="R9" s="41">
        <v>314</v>
      </c>
      <c r="S9" s="41">
        <v>309</v>
      </c>
      <c r="T9" s="41">
        <v>314</v>
      </c>
      <c r="U9" s="41">
        <v>309</v>
      </c>
      <c r="V9" s="41">
        <v>309</v>
      </c>
      <c r="W9" s="41">
        <v>323</v>
      </c>
      <c r="X9" s="41">
        <v>368</v>
      </c>
    </row>
    <row r="10" spans="1:24" ht="15" customHeight="1">
      <c r="A10" s="2">
        <v>1050</v>
      </c>
      <c r="B10" s="64">
        <v>0.6</v>
      </c>
      <c r="C10" s="64"/>
      <c r="D10" s="64"/>
      <c r="E10" s="41">
        <v>350</v>
      </c>
      <c r="F10" s="41">
        <v>504</v>
      </c>
      <c r="G10" s="41">
        <v>449</v>
      </c>
      <c r="H10" s="41">
        <v>439</v>
      </c>
      <c r="I10" s="41">
        <v>425</v>
      </c>
      <c r="J10" s="41">
        <v>422</v>
      </c>
      <c r="K10" s="41">
        <v>439</v>
      </c>
      <c r="L10" s="41">
        <v>365</v>
      </c>
      <c r="M10" s="41">
        <v>393</v>
      </c>
      <c r="N10" s="41">
        <v>410</v>
      </c>
      <c r="O10" s="41">
        <v>359</v>
      </c>
      <c r="P10" s="41">
        <v>359</v>
      </c>
      <c r="Q10" s="41">
        <v>393</v>
      </c>
      <c r="R10" s="41">
        <v>365</v>
      </c>
      <c r="S10" s="41">
        <v>359</v>
      </c>
      <c r="T10" s="41">
        <v>365</v>
      </c>
      <c r="U10" s="41">
        <v>359</v>
      </c>
      <c r="V10" s="41">
        <v>359</v>
      </c>
      <c r="W10" s="41">
        <v>393</v>
      </c>
      <c r="X10" s="41">
        <v>425</v>
      </c>
    </row>
    <row r="11" spans="1:24" ht="15" customHeight="1">
      <c r="A11" s="2">
        <v>1400</v>
      </c>
      <c r="B11" s="64">
        <v>0.8</v>
      </c>
      <c r="C11" s="64">
        <v>2</v>
      </c>
      <c r="D11" s="64"/>
      <c r="E11" s="41">
        <v>403</v>
      </c>
      <c r="F11" s="41">
        <v>520</v>
      </c>
      <c r="G11" s="41">
        <v>493</v>
      </c>
      <c r="H11" s="41">
        <v>490</v>
      </c>
      <c r="I11" s="41">
        <v>481</v>
      </c>
      <c r="J11" s="41">
        <v>478</v>
      </c>
      <c r="K11" s="41">
        <v>490</v>
      </c>
      <c r="L11" s="41">
        <v>415</v>
      </c>
      <c r="M11" s="41">
        <v>462</v>
      </c>
      <c r="N11" s="41">
        <v>478</v>
      </c>
      <c r="O11" s="41">
        <v>408</v>
      </c>
      <c r="P11" s="41">
        <v>408</v>
      </c>
      <c r="Q11" s="41">
        <v>462</v>
      </c>
      <c r="R11" s="41">
        <v>415</v>
      </c>
      <c r="S11" s="41">
        <v>408</v>
      </c>
      <c r="T11" s="41">
        <v>415</v>
      </c>
      <c r="U11" s="41">
        <v>408</v>
      </c>
      <c r="V11" s="41">
        <v>408</v>
      </c>
      <c r="W11" s="41">
        <v>462</v>
      </c>
      <c r="X11" s="41">
        <v>481</v>
      </c>
    </row>
    <row r="12" spans="1:24" ht="15" customHeight="1">
      <c r="A12" s="2">
        <v>1750</v>
      </c>
      <c r="B12" s="64">
        <v>1</v>
      </c>
      <c r="C12" s="64"/>
      <c r="D12" s="64">
        <v>2</v>
      </c>
      <c r="E12" s="41">
        <v>464</v>
      </c>
      <c r="F12" s="41">
        <v>656</v>
      </c>
      <c r="G12" s="41">
        <v>637</v>
      </c>
      <c r="H12" s="41">
        <v>609</v>
      </c>
      <c r="I12" s="41">
        <v>579</v>
      </c>
      <c r="J12" s="41">
        <v>543</v>
      </c>
      <c r="K12" s="41">
        <v>609</v>
      </c>
      <c r="L12" s="41">
        <v>493</v>
      </c>
      <c r="M12" s="41">
        <v>506</v>
      </c>
      <c r="N12" s="41">
        <v>537</v>
      </c>
      <c r="O12" s="41">
        <v>481</v>
      </c>
      <c r="P12" s="41">
        <v>481</v>
      </c>
      <c r="Q12" s="41">
        <v>506</v>
      </c>
      <c r="R12" s="41">
        <v>493</v>
      </c>
      <c r="S12" s="41">
        <v>481</v>
      </c>
      <c r="T12" s="41">
        <v>493</v>
      </c>
      <c r="U12" s="41">
        <v>481</v>
      </c>
      <c r="V12" s="41">
        <v>481</v>
      </c>
      <c r="W12" s="41">
        <v>506</v>
      </c>
      <c r="X12" s="41">
        <v>579</v>
      </c>
    </row>
    <row r="13" spans="1:24" ht="15" customHeight="1">
      <c r="A13" s="2">
        <v>2100</v>
      </c>
      <c r="B13" s="64">
        <v>1.2</v>
      </c>
      <c r="C13" s="64">
        <v>3</v>
      </c>
      <c r="D13" s="64"/>
      <c r="E13" s="41">
        <v>510</v>
      </c>
      <c r="F13" s="41">
        <v>771</v>
      </c>
      <c r="G13" s="41">
        <v>666</v>
      </c>
      <c r="H13" s="41">
        <v>634</v>
      </c>
      <c r="I13" s="41">
        <v>621</v>
      </c>
      <c r="J13" s="41">
        <v>618</v>
      </c>
      <c r="K13" s="41">
        <v>634</v>
      </c>
      <c r="L13" s="41">
        <v>569</v>
      </c>
      <c r="M13" s="41">
        <v>564</v>
      </c>
      <c r="N13" s="41">
        <v>605</v>
      </c>
      <c r="O13" s="41">
        <v>556</v>
      </c>
      <c r="P13" s="41">
        <v>556</v>
      </c>
      <c r="Q13" s="41">
        <v>564</v>
      </c>
      <c r="R13" s="41">
        <v>569</v>
      </c>
      <c r="S13" s="41">
        <v>556</v>
      </c>
      <c r="T13" s="41">
        <v>569</v>
      </c>
      <c r="U13" s="41">
        <v>556</v>
      </c>
      <c r="V13" s="41">
        <v>556</v>
      </c>
      <c r="W13" s="41">
        <v>564</v>
      </c>
      <c r="X13" s="41">
        <v>621</v>
      </c>
    </row>
    <row r="14" spans="1:24" ht="15" customHeight="1">
      <c r="A14" s="2">
        <v>2625</v>
      </c>
      <c r="B14" s="64">
        <v>1.5</v>
      </c>
      <c r="C14" s="64"/>
      <c r="D14" s="64">
        <v>3</v>
      </c>
      <c r="E14" s="41">
        <v>570</v>
      </c>
      <c r="F14" s="41">
        <v>911</v>
      </c>
      <c r="G14" s="41">
        <v>808</v>
      </c>
      <c r="H14" s="41">
        <v>772</v>
      </c>
      <c r="I14" s="41">
        <v>735</v>
      </c>
      <c r="J14" s="41">
        <v>722</v>
      </c>
      <c r="K14" s="41">
        <v>741</v>
      </c>
      <c r="L14" s="41">
        <v>625</v>
      </c>
      <c r="M14" s="41">
        <v>643</v>
      </c>
      <c r="N14" s="41">
        <v>680</v>
      </c>
      <c r="O14" s="41">
        <v>618</v>
      </c>
      <c r="P14" s="41">
        <v>618</v>
      </c>
      <c r="Q14" s="41">
        <v>643</v>
      </c>
      <c r="R14" s="41">
        <v>625</v>
      </c>
      <c r="S14" s="41">
        <v>618</v>
      </c>
      <c r="T14" s="41">
        <v>625</v>
      </c>
      <c r="U14" s="41">
        <v>618</v>
      </c>
      <c r="V14" s="41">
        <v>618</v>
      </c>
      <c r="W14" s="41">
        <v>643</v>
      </c>
      <c r="X14" s="41">
        <v>735</v>
      </c>
    </row>
    <row r="15" spans="1:24" ht="15" customHeight="1">
      <c r="A15" s="2">
        <v>2800</v>
      </c>
      <c r="B15" s="64">
        <v>1.6</v>
      </c>
      <c r="C15" s="64">
        <v>4</v>
      </c>
      <c r="D15" s="64"/>
      <c r="E15" s="41">
        <v>579</v>
      </c>
      <c r="F15" s="41">
        <v>1019</v>
      </c>
      <c r="G15" s="41">
        <v>745</v>
      </c>
      <c r="H15" s="41">
        <v>741</v>
      </c>
      <c r="I15" s="41">
        <v>723</v>
      </c>
      <c r="J15" s="41">
        <v>780</v>
      </c>
      <c r="K15" s="41">
        <v>772</v>
      </c>
      <c r="L15" s="41">
        <v>653</v>
      </c>
      <c r="M15" s="41">
        <v>668</v>
      </c>
      <c r="N15" s="41">
        <v>711</v>
      </c>
      <c r="O15" s="41">
        <v>647</v>
      </c>
      <c r="P15" s="41">
        <v>647</v>
      </c>
      <c r="Q15" s="41">
        <v>668</v>
      </c>
      <c r="R15" s="41">
        <v>653</v>
      </c>
      <c r="S15" s="41">
        <v>647</v>
      </c>
      <c r="T15" s="41">
        <v>653</v>
      </c>
      <c r="U15" s="41">
        <v>647</v>
      </c>
      <c r="V15" s="41">
        <v>647</v>
      </c>
      <c r="W15" s="41">
        <v>668</v>
      </c>
      <c r="X15" s="41">
        <v>723</v>
      </c>
    </row>
    <row r="16" spans="1:24" ht="15" customHeight="1">
      <c r="A16" s="2">
        <v>3500</v>
      </c>
      <c r="B16" s="64">
        <v>2</v>
      </c>
      <c r="C16" s="64">
        <v>5</v>
      </c>
      <c r="D16" s="64">
        <v>4</v>
      </c>
      <c r="E16" s="41">
        <v>629</v>
      </c>
      <c r="F16" s="41">
        <v>1143</v>
      </c>
      <c r="G16" s="41">
        <v>915</v>
      </c>
      <c r="H16" s="41">
        <v>874</v>
      </c>
      <c r="I16" s="41">
        <v>832</v>
      </c>
      <c r="J16" s="41">
        <v>824</v>
      </c>
      <c r="K16" s="41">
        <v>874</v>
      </c>
      <c r="L16" s="41">
        <v>707</v>
      </c>
      <c r="M16" s="41">
        <v>728</v>
      </c>
      <c r="N16" s="41">
        <v>770</v>
      </c>
      <c r="O16" s="41">
        <v>701</v>
      </c>
      <c r="P16" s="41">
        <v>701</v>
      </c>
      <c r="Q16" s="41">
        <v>728</v>
      </c>
      <c r="R16" s="41">
        <v>707</v>
      </c>
      <c r="S16" s="41">
        <v>701</v>
      </c>
      <c r="T16" s="41">
        <v>707</v>
      </c>
      <c r="U16" s="41">
        <v>701</v>
      </c>
      <c r="V16" s="41">
        <v>701</v>
      </c>
      <c r="W16" s="41">
        <v>728</v>
      </c>
      <c r="X16" s="41">
        <v>832</v>
      </c>
    </row>
    <row r="17" spans="1:24" ht="15" customHeight="1">
      <c r="A17" s="2">
        <v>4200</v>
      </c>
      <c r="B17" s="2">
        <v>2.4</v>
      </c>
      <c r="C17" s="2">
        <v>6</v>
      </c>
      <c r="D17" s="2"/>
      <c r="E17" s="41">
        <v>668</v>
      </c>
      <c r="F17" s="41">
        <v>1203</v>
      </c>
      <c r="G17" s="41">
        <v>963</v>
      </c>
      <c r="H17" s="41">
        <v>918</v>
      </c>
      <c r="I17" s="41">
        <v>875</v>
      </c>
      <c r="J17" s="41">
        <v>864</v>
      </c>
      <c r="K17" s="41">
        <v>918</v>
      </c>
      <c r="L17" s="41">
        <v>745</v>
      </c>
      <c r="M17" s="41">
        <v>766</v>
      </c>
      <c r="N17" s="41">
        <v>809</v>
      </c>
      <c r="O17" s="41">
        <v>735</v>
      </c>
      <c r="P17" s="41">
        <v>735</v>
      </c>
      <c r="Q17" s="41">
        <v>766</v>
      </c>
      <c r="R17" s="41">
        <v>745</v>
      </c>
      <c r="S17" s="41">
        <v>735</v>
      </c>
      <c r="T17" s="41">
        <v>745</v>
      </c>
      <c r="U17" s="41">
        <v>735</v>
      </c>
      <c r="V17" s="41">
        <v>735</v>
      </c>
      <c r="W17" s="41">
        <v>766</v>
      </c>
      <c r="X17" s="41">
        <v>875</v>
      </c>
    </row>
    <row r="18" spans="1:24" ht="15" customHeight="1">
      <c r="A18" s="2">
        <v>4375</v>
      </c>
      <c r="B18" s="2">
        <v>2.5</v>
      </c>
      <c r="C18" s="2"/>
      <c r="D18" s="2">
        <v>5</v>
      </c>
      <c r="E18" s="41">
        <v>708</v>
      </c>
      <c r="F18" s="41">
        <v>1262</v>
      </c>
      <c r="G18" s="41">
        <v>1010</v>
      </c>
      <c r="H18" s="41">
        <v>964</v>
      </c>
      <c r="I18" s="41">
        <v>918</v>
      </c>
      <c r="J18" s="41">
        <v>903</v>
      </c>
      <c r="K18" s="41">
        <v>964</v>
      </c>
      <c r="L18" s="41">
        <v>781</v>
      </c>
      <c r="M18" s="41">
        <v>804</v>
      </c>
      <c r="N18" s="41">
        <v>850</v>
      </c>
      <c r="O18" s="41">
        <v>770</v>
      </c>
      <c r="P18" s="41">
        <v>770</v>
      </c>
      <c r="Q18" s="41">
        <v>804</v>
      </c>
      <c r="R18" s="41">
        <v>781</v>
      </c>
      <c r="S18" s="41">
        <v>770</v>
      </c>
      <c r="T18" s="41">
        <v>781</v>
      </c>
      <c r="U18" s="41">
        <v>770</v>
      </c>
      <c r="V18" s="41">
        <v>770</v>
      </c>
      <c r="W18" s="41">
        <v>804</v>
      </c>
      <c r="X18" s="41">
        <v>918</v>
      </c>
    </row>
    <row r="19" spans="1:24" ht="15" customHeight="1">
      <c r="A19" s="2">
        <v>4900</v>
      </c>
      <c r="B19" s="2">
        <v>2.8</v>
      </c>
      <c r="C19" s="2">
        <v>7</v>
      </c>
      <c r="D19" s="2"/>
      <c r="E19" s="41">
        <v>748</v>
      </c>
      <c r="F19" s="41">
        <v>1320</v>
      </c>
      <c r="G19" s="41">
        <v>1056</v>
      </c>
      <c r="H19" s="41">
        <v>1009</v>
      </c>
      <c r="I19" s="41">
        <v>961</v>
      </c>
      <c r="J19" s="41">
        <v>941</v>
      </c>
      <c r="K19" s="41">
        <v>1009</v>
      </c>
      <c r="L19" s="41">
        <v>817</v>
      </c>
      <c r="M19" s="41">
        <v>841</v>
      </c>
      <c r="N19" s="41">
        <v>889</v>
      </c>
      <c r="O19" s="41">
        <v>804</v>
      </c>
      <c r="P19" s="41">
        <v>804</v>
      </c>
      <c r="Q19" s="41">
        <v>841</v>
      </c>
      <c r="R19" s="41">
        <v>817</v>
      </c>
      <c r="S19" s="41">
        <v>804</v>
      </c>
      <c r="T19" s="41">
        <v>817</v>
      </c>
      <c r="U19" s="41">
        <v>804</v>
      </c>
      <c r="V19" s="41">
        <v>804</v>
      </c>
      <c r="W19" s="41">
        <v>841</v>
      </c>
      <c r="X19" s="41">
        <v>961</v>
      </c>
    </row>
    <row r="20" spans="1:24" ht="15" customHeight="1">
      <c r="A20" s="2">
        <v>5250</v>
      </c>
      <c r="B20" s="2">
        <v>3</v>
      </c>
      <c r="C20" s="2"/>
      <c r="D20" s="2">
        <v>6</v>
      </c>
      <c r="E20" s="41">
        <v>787</v>
      </c>
      <c r="F20" s="41">
        <v>1380</v>
      </c>
      <c r="G20" s="41">
        <v>1104</v>
      </c>
      <c r="H20" s="41">
        <v>1054</v>
      </c>
      <c r="I20" s="41">
        <v>1004</v>
      </c>
      <c r="J20" s="41">
        <v>982</v>
      </c>
      <c r="K20" s="41">
        <v>1054</v>
      </c>
      <c r="L20" s="41">
        <v>853</v>
      </c>
      <c r="M20" s="41">
        <v>879</v>
      </c>
      <c r="N20" s="41">
        <v>930</v>
      </c>
      <c r="O20" s="41">
        <v>840</v>
      </c>
      <c r="P20" s="41">
        <v>840</v>
      </c>
      <c r="Q20" s="41">
        <v>879</v>
      </c>
      <c r="R20" s="41">
        <v>853</v>
      </c>
      <c r="S20" s="41">
        <v>840</v>
      </c>
      <c r="T20" s="41">
        <v>853</v>
      </c>
      <c r="U20" s="41">
        <v>840</v>
      </c>
      <c r="V20" s="41">
        <v>840</v>
      </c>
      <c r="W20" s="41">
        <v>879</v>
      </c>
      <c r="X20" s="41">
        <v>1004</v>
      </c>
    </row>
    <row r="21" spans="1:24" ht="15" customHeight="1">
      <c r="A21" s="2">
        <v>5600</v>
      </c>
      <c r="B21" s="2">
        <v>3.2</v>
      </c>
      <c r="C21" s="2">
        <v>8</v>
      </c>
      <c r="D21" s="2"/>
      <c r="E21" s="41">
        <v>828</v>
      </c>
      <c r="F21" s="41">
        <v>1438</v>
      </c>
      <c r="G21" s="41">
        <v>1151</v>
      </c>
      <c r="H21" s="41">
        <v>1099</v>
      </c>
      <c r="I21" s="41">
        <v>1048</v>
      </c>
      <c r="J21" s="41">
        <v>1020</v>
      </c>
      <c r="K21" s="41">
        <v>1099</v>
      </c>
      <c r="L21" s="41">
        <v>890</v>
      </c>
      <c r="M21" s="41">
        <v>917</v>
      </c>
      <c r="N21" s="41">
        <v>969</v>
      </c>
      <c r="O21" s="41">
        <v>875</v>
      </c>
      <c r="P21" s="41">
        <v>875</v>
      </c>
      <c r="Q21" s="41">
        <v>917</v>
      </c>
      <c r="R21" s="41">
        <v>890</v>
      </c>
      <c r="S21" s="41">
        <v>875</v>
      </c>
      <c r="T21" s="41">
        <v>890</v>
      </c>
      <c r="U21" s="41">
        <v>875</v>
      </c>
      <c r="V21" s="41">
        <v>875</v>
      </c>
      <c r="W21" s="41">
        <v>917</v>
      </c>
      <c r="X21" s="41">
        <v>1048</v>
      </c>
    </row>
    <row r="22" spans="1:24" ht="15" customHeight="1">
      <c r="A22" s="2">
        <v>6125</v>
      </c>
      <c r="B22" s="2">
        <v>3.5</v>
      </c>
      <c r="C22" s="2"/>
      <c r="D22" s="2">
        <v>7</v>
      </c>
      <c r="E22" s="41">
        <v>868</v>
      </c>
      <c r="F22" s="41">
        <v>1498</v>
      </c>
      <c r="G22" s="41">
        <v>1199</v>
      </c>
      <c r="H22" s="41">
        <v>1145</v>
      </c>
      <c r="I22" s="41">
        <v>1090</v>
      </c>
      <c r="J22" s="41">
        <v>1059</v>
      </c>
      <c r="K22" s="41">
        <v>1145</v>
      </c>
      <c r="L22" s="41">
        <v>927</v>
      </c>
      <c r="M22" s="41">
        <v>956</v>
      </c>
      <c r="N22" s="41">
        <v>1009</v>
      </c>
      <c r="O22" s="41">
        <v>910</v>
      </c>
      <c r="P22" s="41">
        <v>910</v>
      </c>
      <c r="Q22" s="41">
        <v>956</v>
      </c>
      <c r="R22" s="41">
        <v>927</v>
      </c>
      <c r="S22" s="41">
        <v>910</v>
      </c>
      <c r="T22" s="41">
        <v>927</v>
      </c>
      <c r="U22" s="41">
        <v>910</v>
      </c>
      <c r="V22" s="41">
        <v>910</v>
      </c>
      <c r="W22" s="41">
        <v>956</v>
      </c>
      <c r="X22" s="41">
        <v>1090</v>
      </c>
    </row>
    <row r="23" spans="1:24" ht="15" customHeight="1">
      <c r="A23" s="2">
        <v>6300</v>
      </c>
      <c r="B23" s="2">
        <v>3.6</v>
      </c>
      <c r="C23" s="2">
        <v>9</v>
      </c>
      <c r="D23" s="2"/>
      <c r="E23" s="41">
        <v>909</v>
      </c>
      <c r="F23" s="41">
        <v>1558</v>
      </c>
      <c r="G23" s="41">
        <v>1246</v>
      </c>
      <c r="H23" s="41">
        <v>1189</v>
      </c>
      <c r="I23" s="41">
        <v>1133</v>
      </c>
      <c r="J23" s="41">
        <v>1100</v>
      </c>
      <c r="K23" s="41">
        <v>1189</v>
      </c>
      <c r="L23" s="41">
        <v>963</v>
      </c>
      <c r="M23" s="41">
        <v>992</v>
      </c>
      <c r="N23" s="41">
        <v>1049</v>
      </c>
      <c r="O23" s="41">
        <v>943</v>
      </c>
      <c r="P23" s="41">
        <v>943</v>
      </c>
      <c r="Q23" s="41">
        <v>992</v>
      </c>
      <c r="R23" s="41">
        <v>963</v>
      </c>
      <c r="S23" s="41">
        <v>943</v>
      </c>
      <c r="T23" s="41">
        <v>963</v>
      </c>
      <c r="U23" s="41">
        <v>943</v>
      </c>
      <c r="V23" s="41">
        <v>943</v>
      </c>
      <c r="W23" s="41">
        <v>992</v>
      </c>
      <c r="X23" s="41">
        <v>1133</v>
      </c>
    </row>
    <row r="24" spans="1:24" ht="15" customHeight="1">
      <c r="A24" s="2">
        <v>7000</v>
      </c>
      <c r="B24" s="2">
        <v>4</v>
      </c>
      <c r="C24" s="2">
        <v>10</v>
      </c>
      <c r="D24" s="2">
        <v>8</v>
      </c>
      <c r="E24" s="41">
        <v>947</v>
      </c>
      <c r="F24" s="41">
        <v>1616</v>
      </c>
      <c r="G24" s="41">
        <v>1293</v>
      </c>
      <c r="H24" s="41">
        <v>1235</v>
      </c>
      <c r="I24" s="41">
        <v>1176</v>
      </c>
      <c r="J24" s="41">
        <v>1139</v>
      </c>
      <c r="K24" s="41">
        <v>1235</v>
      </c>
      <c r="L24" s="41">
        <v>1000</v>
      </c>
      <c r="M24" s="41">
        <v>1029</v>
      </c>
      <c r="N24" s="41">
        <v>1088</v>
      </c>
      <c r="O24" s="41">
        <v>979</v>
      </c>
      <c r="P24" s="41">
        <v>979</v>
      </c>
      <c r="Q24" s="41">
        <v>1029</v>
      </c>
      <c r="R24" s="41">
        <v>1000</v>
      </c>
      <c r="S24" s="41">
        <v>979</v>
      </c>
      <c r="T24" s="41">
        <v>1000</v>
      </c>
      <c r="U24" s="41">
        <v>979</v>
      </c>
      <c r="V24" s="41">
        <v>979</v>
      </c>
      <c r="W24" s="41">
        <v>1029</v>
      </c>
      <c r="X24" s="41">
        <v>1176</v>
      </c>
    </row>
    <row r="25" spans="1:24" ht="15" customHeight="1">
      <c r="A25" s="3"/>
      <c r="B25" s="3"/>
      <c r="C25" s="3"/>
      <c r="D25" s="3"/>
    </row>
    <row r="26" spans="1:24" ht="15" customHeight="1">
      <c r="A26" s="4" t="s">
        <v>24</v>
      </c>
      <c r="B26" s="3"/>
      <c r="C26" s="3"/>
      <c r="D26" s="3"/>
    </row>
    <row r="27" spans="1:24" ht="15" customHeight="1">
      <c r="A27" s="3"/>
      <c r="B27" s="3"/>
      <c r="C27" s="3"/>
      <c r="D27" s="3"/>
    </row>
    <row r="28" spans="1:24" ht="15" customHeight="1">
      <c r="A28" s="100" t="s">
        <v>55</v>
      </c>
      <c r="B28" s="101"/>
      <c r="C28" s="6" t="s">
        <v>26</v>
      </c>
      <c r="D28" s="27"/>
      <c r="E28" s="69"/>
      <c r="F28" s="70"/>
      <c r="G28" s="71" t="s">
        <v>27</v>
      </c>
      <c r="H28" s="70"/>
      <c r="I28" s="70"/>
      <c r="J28" s="70"/>
      <c r="K28" s="70"/>
      <c r="L28" s="70"/>
      <c r="M28" s="70"/>
      <c r="N28" s="70"/>
      <c r="O28" s="70"/>
      <c r="P28" s="70"/>
      <c r="Q28" s="70"/>
      <c r="R28" s="70"/>
      <c r="S28" s="70"/>
      <c r="T28" s="71" t="s">
        <v>27</v>
      </c>
      <c r="U28" s="70"/>
      <c r="V28" s="70"/>
      <c r="W28" s="70"/>
      <c r="X28" s="72"/>
    </row>
    <row r="29" spans="1:24" ht="15" customHeight="1">
      <c r="A29" s="222" t="s">
        <v>28</v>
      </c>
      <c r="B29" s="223"/>
      <c r="C29" s="6" t="s">
        <v>39</v>
      </c>
      <c r="D29" s="73"/>
      <c r="E29" s="74" t="s">
        <v>43</v>
      </c>
      <c r="F29" s="74" t="s">
        <v>41</v>
      </c>
      <c r="G29" s="74" t="s">
        <v>41</v>
      </c>
      <c r="H29" s="74" t="s">
        <v>41</v>
      </c>
      <c r="I29" s="74" t="s">
        <v>41</v>
      </c>
      <c r="J29" s="74" t="s">
        <v>41</v>
      </c>
      <c r="K29" s="74" t="s">
        <v>41</v>
      </c>
      <c r="L29" s="74" t="s">
        <v>43</v>
      </c>
      <c r="M29" s="74" t="s">
        <v>41</v>
      </c>
      <c r="N29" s="74" t="s">
        <v>41</v>
      </c>
      <c r="O29" s="74" t="s">
        <v>43</v>
      </c>
      <c r="P29" s="74" t="s">
        <v>43</v>
      </c>
      <c r="Q29" s="74" t="s">
        <v>43</v>
      </c>
      <c r="R29" s="74" t="s">
        <v>43</v>
      </c>
      <c r="S29" s="74" t="s">
        <v>43</v>
      </c>
      <c r="T29" s="74" t="s">
        <v>43</v>
      </c>
      <c r="U29" s="74" t="s">
        <v>43</v>
      </c>
      <c r="V29" s="74" t="s">
        <v>43</v>
      </c>
      <c r="W29" s="74" t="s">
        <v>41</v>
      </c>
      <c r="X29" s="74" t="s">
        <v>41</v>
      </c>
    </row>
    <row r="30" spans="1:24" ht="15" customHeight="1">
      <c r="A30" s="222" t="s">
        <v>32</v>
      </c>
      <c r="B30" s="223"/>
      <c r="C30" s="6" t="s">
        <v>42</v>
      </c>
      <c r="D30" s="73"/>
      <c r="E30" s="74" t="s">
        <v>31</v>
      </c>
      <c r="F30" s="74" t="s">
        <v>43</v>
      </c>
      <c r="G30" s="74" t="s">
        <v>43</v>
      </c>
      <c r="H30" s="74" t="s">
        <v>43</v>
      </c>
      <c r="I30" s="74" t="s">
        <v>43</v>
      </c>
      <c r="J30" s="74" t="s">
        <v>43</v>
      </c>
      <c r="K30" s="74" t="s">
        <v>43</v>
      </c>
      <c r="L30" s="74" t="s">
        <v>31</v>
      </c>
      <c r="M30" s="74" t="s">
        <v>43</v>
      </c>
      <c r="N30" s="74" t="s">
        <v>43</v>
      </c>
      <c r="O30" s="74" t="s">
        <v>31</v>
      </c>
      <c r="P30" s="74" t="s">
        <v>31</v>
      </c>
      <c r="Q30" s="74" t="s">
        <v>31</v>
      </c>
      <c r="R30" s="74" t="s">
        <v>31</v>
      </c>
      <c r="S30" s="74" t="s">
        <v>31</v>
      </c>
      <c r="T30" s="74" t="s">
        <v>31</v>
      </c>
      <c r="U30" s="74" t="s">
        <v>31</v>
      </c>
      <c r="V30" s="74" t="s">
        <v>31</v>
      </c>
      <c r="W30" s="74" t="s">
        <v>43</v>
      </c>
      <c r="X30" s="74" t="s">
        <v>43</v>
      </c>
    </row>
    <row r="31" spans="1:24" ht="15" customHeight="1">
      <c r="A31" s="227" t="s">
        <v>33</v>
      </c>
      <c r="B31" s="228"/>
      <c r="C31" s="6" t="s">
        <v>42</v>
      </c>
      <c r="D31" s="76"/>
      <c r="E31" s="112">
        <v>3</v>
      </c>
      <c r="F31" s="112">
        <v>4</v>
      </c>
      <c r="G31" s="112">
        <v>4</v>
      </c>
      <c r="H31" s="112">
        <v>4</v>
      </c>
      <c r="I31" s="112">
        <v>4</v>
      </c>
      <c r="J31" s="112">
        <v>4</v>
      </c>
      <c r="K31" s="112">
        <v>4</v>
      </c>
      <c r="L31" s="74" t="s">
        <v>30</v>
      </c>
      <c r="M31" s="112">
        <v>4</v>
      </c>
      <c r="N31" s="112">
        <v>4</v>
      </c>
      <c r="O31" s="74" t="s">
        <v>30</v>
      </c>
      <c r="P31" s="74" t="s">
        <v>30</v>
      </c>
      <c r="Q31" s="74" t="s">
        <v>30</v>
      </c>
      <c r="R31" s="74" t="s">
        <v>30</v>
      </c>
      <c r="S31" s="74" t="s">
        <v>30</v>
      </c>
      <c r="T31" s="74" t="s">
        <v>30</v>
      </c>
      <c r="U31" s="74" t="s">
        <v>30</v>
      </c>
      <c r="V31" s="74" t="s">
        <v>30</v>
      </c>
      <c r="W31" s="112">
        <v>4</v>
      </c>
      <c r="X31" s="112">
        <v>4</v>
      </c>
    </row>
    <row r="33" spans="1:1">
      <c r="A33" s="89" t="s">
        <v>52</v>
      </c>
    </row>
    <row r="34" spans="1:1">
      <c r="A34" s="26" t="s">
        <v>56</v>
      </c>
    </row>
    <row r="35" spans="1:1">
      <c r="A35" s="3"/>
    </row>
  </sheetData>
  <mergeCells count="3">
    <mergeCell ref="A29:B29"/>
    <mergeCell ref="A30:B30"/>
    <mergeCell ref="A31:B31"/>
  </mergeCells>
  <conditionalFormatting sqref="E7:X24">
    <cfRule type="cellIs" dxfId="23" priority="1" stopIfTrue="1" operator="lessThan">
      <formula>#REF!</formula>
    </cfRule>
    <cfRule type="cellIs" dxfId="22" priority="3" operator="lessThan">
      <formula>#REF!</formula>
    </cfRule>
  </conditionalFormatting>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F668-5B64-41C0-997C-B2473556F1A7}">
  <dimension ref="A1:CJ34"/>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88" ht="15" customHeight="1"/>
    <row r="2" spans="1:88" ht="15" customHeight="1">
      <c r="A2" s="9"/>
      <c r="B2" s="7"/>
      <c r="C2" s="7"/>
      <c r="D2" s="7"/>
      <c r="E2" s="7"/>
    </row>
    <row r="3" spans="1:88" ht="20.45" customHeight="1">
      <c r="A3" s="9" t="str">
        <f>Voorblad!A5</f>
        <v>Team Freight Forwarding Logistics</v>
      </c>
      <c r="B3" s="8"/>
      <c r="C3" s="8"/>
      <c r="D3" s="8"/>
      <c r="E3" s="48"/>
    </row>
    <row r="4" spans="1:88" s="51" customFormat="1" ht="15.75">
      <c r="A4" s="62" t="s">
        <v>199</v>
      </c>
      <c r="B4" s="49"/>
      <c r="C4" s="50"/>
      <c r="D4" s="50"/>
      <c r="E4" s="50"/>
    </row>
    <row r="5" spans="1:88" ht="15" customHeight="1">
      <c r="A5" s="7"/>
      <c r="B5" s="7"/>
      <c r="C5" s="7"/>
      <c r="D5" s="7"/>
      <c r="E5" s="26"/>
    </row>
    <row r="6" spans="1:88" ht="15" customHeight="1">
      <c r="A6" s="63" t="s">
        <v>20</v>
      </c>
      <c r="B6" s="63" t="s">
        <v>21</v>
      </c>
      <c r="C6" s="64" t="s">
        <v>22</v>
      </c>
      <c r="D6" s="64" t="s">
        <v>23</v>
      </c>
      <c r="E6" s="2">
        <v>10</v>
      </c>
      <c r="F6" s="2">
        <v>11</v>
      </c>
      <c r="G6" s="2">
        <v>12</v>
      </c>
      <c r="H6" s="2">
        <v>15</v>
      </c>
      <c r="I6" s="122">
        <v>20</v>
      </c>
      <c r="J6" s="2">
        <v>21</v>
      </c>
      <c r="K6" s="2">
        <v>22</v>
      </c>
      <c r="L6" s="2">
        <v>23</v>
      </c>
      <c r="M6" s="2">
        <v>24</v>
      </c>
      <c r="N6" s="2">
        <v>25</v>
      </c>
      <c r="O6" s="2">
        <v>26</v>
      </c>
      <c r="P6" s="2">
        <v>27</v>
      </c>
      <c r="Q6" s="2">
        <v>28</v>
      </c>
      <c r="R6" s="2">
        <v>29</v>
      </c>
      <c r="S6" s="2">
        <v>30</v>
      </c>
      <c r="T6" s="2">
        <v>31</v>
      </c>
      <c r="U6" s="2">
        <v>32</v>
      </c>
      <c r="V6" s="2">
        <v>33</v>
      </c>
      <c r="W6" s="2">
        <v>34</v>
      </c>
      <c r="X6" s="2">
        <v>35</v>
      </c>
      <c r="Y6" s="2">
        <v>36</v>
      </c>
      <c r="Z6" s="2">
        <v>37</v>
      </c>
      <c r="AA6" s="2">
        <v>38</v>
      </c>
      <c r="AB6" s="2">
        <v>39</v>
      </c>
      <c r="AC6" s="2">
        <v>40</v>
      </c>
      <c r="AD6" s="2">
        <v>41</v>
      </c>
      <c r="AE6" s="2">
        <v>42</v>
      </c>
      <c r="AF6" s="2">
        <v>43</v>
      </c>
      <c r="AG6" s="2">
        <v>44</v>
      </c>
      <c r="AH6" s="2">
        <v>45</v>
      </c>
      <c r="AI6" s="2">
        <v>46</v>
      </c>
      <c r="AJ6" s="2">
        <v>47</v>
      </c>
      <c r="AK6" s="2">
        <v>48</v>
      </c>
      <c r="AL6" s="2">
        <v>49</v>
      </c>
      <c r="AM6" s="2">
        <v>50</v>
      </c>
      <c r="AN6" s="2">
        <v>51</v>
      </c>
      <c r="AO6" s="2">
        <v>52</v>
      </c>
      <c r="AP6" s="2">
        <v>53</v>
      </c>
      <c r="AQ6" s="2">
        <v>54</v>
      </c>
      <c r="AR6" s="2">
        <v>55</v>
      </c>
      <c r="AS6" s="2">
        <v>56</v>
      </c>
      <c r="AT6" s="2">
        <v>57</v>
      </c>
      <c r="AU6" s="2">
        <v>58</v>
      </c>
      <c r="AV6" s="2">
        <v>59</v>
      </c>
      <c r="AW6" s="2">
        <v>60</v>
      </c>
      <c r="AX6" s="2">
        <v>61</v>
      </c>
      <c r="AY6" s="2">
        <v>62</v>
      </c>
      <c r="AZ6" s="2">
        <v>63</v>
      </c>
      <c r="BA6" s="2">
        <v>64</v>
      </c>
      <c r="BB6" s="2">
        <v>65</v>
      </c>
      <c r="BC6" s="2">
        <v>66</v>
      </c>
      <c r="BD6" s="2">
        <v>67</v>
      </c>
      <c r="BE6" s="2">
        <v>68</v>
      </c>
      <c r="BF6" s="2">
        <v>69</v>
      </c>
      <c r="BG6" s="2">
        <v>70</v>
      </c>
      <c r="BH6" s="2">
        <v>71</v>
      </c>
      <c r="BI6" s="2">
        <v>72</v>
      </c>
      <c r="BJ6" s="2">
        <v>73</v>
      </c>
      <c r="BK6" s="2">
        <v>74</v>
      </c>
      <c r="BL6" s="2">
        <v>75</v>
      </c>
      <c r="BM6" s="2">
        <v>76</v>
      </c>
      <c r="BN6" s="2">
        <v>77</v>
      </c>
      <c r="BO6" s="2">
        <v>78</v>
      </c>
      <c r="BP6" s="2">
        <v>79</v>
      </c>
      <c r="BQ6" s="2">
        <v>80</v>
      </c>
      <c r="BR6" s="2">
        <v>81</v>
      </c>
      <c r="BS6" s="2">
        <v>82</v>
      </c>
      <c r="BT6" s="2">
        <v>83</v>
      </c>
      <c r="BU6" s="2">
        <v>84</v>
      </c>
      <c r="BV6" s="2">
        <v>85</v>
      </c>
      <c r="BW6" s="2">
        <v>86</v>
      </c>
      <c r="BX6" s="2">
        <v>87</v>
      </c>
      <c r="BY6" s="2">
        <v>88</v>
      </c>
      <c r="BZ6" s="2">
        <v>89</v>
      </c>
      <c r="CA6" s="2">
        <v>90</v>
      </c>
      <c r="CB6" s="2">
        <v>91</v>
      </c>
      <c r="CC6" s="2">
        <v>92</v>
      </c>
      <c r="CD6" s="2">
        <v>93</v>
      </c>
      <c r="CE6" s="2">
        <v>94</v>
      </c>
      <c r="CF6" s="2">
        <v>95</v>
      </c>
      <c r="CG6" s="2">
        <v>96</v>
      </c>
      <c r="CH6" s="2">
        <v>97</v>
      </c>
      <c r="CI6" s="2">
        <v>98</v>
      </c>
      <c r="CJ6" s="2">
        <v>99</v>
      </c>
    </row>
    <row r="7" spans="1:88" ht="15" customHeight="1">
      <c r="A7" s="64">
        <v>300</v>
      </c>
      <c r="B7" s="64">
        <v>0.2</v>
      </c>
      <c r="C7" s="64">
        <v>0.5</v>
      </c>
      <c r="D7" s="64"/>
      <c r="E7" s="68">
        <v>96</v>
      </c>
      <c r="F7" s="68">
        <v>96</v>
      </c>
      <c r="G7" s="68">
        <v>96</v>
      </c>
      <c r="H7" s="68">
        <v>96</v>
      </c>
      <c r="I7" s="68">
        <v>96</v>
      </c>
      <c r="J7" s="68">
        <v>96</v>
      </c>
      <c r="K7" s="68">
        <v>96</v>
      </c>
      <c r="L7" s="68">
        <v>96</v>
      </c>
      <c r="M7" s="68">
        <v>100</v>
      </c>
      <c r="N7" s="68">
        <v>100</v>
      </c>
      <c r="O7" s="68">
        <v>100</v>
      </c>
      <c r="P7" s="68">
        <v>100</v>
      </c>
      <c r="Q7" s="68">
        <v>96</v>
      </c>
      <c r="R7" s="68">
        <v>100</v>
      </c>
      <c r="S7" s="68">
        <v>100</v>
      </c>
      <c r="T7" s="68">
        <v>107</v>
      </c>
      <c r="U7" s="68">
        <v>100</v>
      </c>
      <c r="V7" s="68">
        <v>107</v>
      </c>
      <c r="W7" s="68">
        <v>107</v>
      </c>
      <c r="X7" s="68">
        <v>110</v>
      </c>
      <c r="Y7" s="68">
        <v>107</v>
      </c>
      <c r="Z7" s="68">
        <v>110</v>
      </c>
      <c r="AA7" s="68">
        <v>110</v>
      </c>
      <c r="AB7" s="68">
        <v>110</v>
      </c>
      <c r="AC7" s="68">
        <v>110</v>
      </c>
      <c r="AD7" s="68">
        <v>110</v>
      </c>
      <c r="AE7" s="68">
        <v>110</v>
      </c>
      <c r="AF7" s="68">
        <v>110</v>
      </c>
      <c r="AG7" s="68">
        <v>110</v>
      </c>
      <c r="AH7" s="68">
        <v>110</v>
      </c>
      <c r="AI7" s="68">
        <v>110</v>
      </c>
      <c r="AJ7" s="68">
        <v>110</v>
      </c>
      <c r="AK7" s="68">
        <v>110</v>
      </c>
      <c r="AL7" s="68">
        <v>110</v>
      </c>
      <c r="AM7" s="68">
        <v>107</v>
      </c>
      <c r="AN7" s="68">
        <v>100</v>
      </c>
      <c r="AO7" s="68">
        <v>107</v>
      </c>
      <c r="AP7" s="68">
        <v>110</v>
      </c>
      <c r="AQ7" s="68">
        <v>107</v>
      </c>
      <c r="AR7" s="68">
        <v>110</v>
      </c>
      <c r="AS7" s="68">
        <v>110</v>
      </c>
      <c r="AT7" s="68">
        <v>110</v>
      </c>
      <c r="AU7" s="68">
        <v>110</v>
      </c>
      <c r="AV7" s="68">
        <v>110</v>
      </c>
      <c r="AW7" s="68">
        <v>100</v>
      </c>
      <c r="AX7" s="68">
        <v>107</v>
      </c>
      <c r="AY7" s="68">
        <v>107</v>
      </c>
      <c r="AZ7" s="68">
        <v>107</v>
      </c>
      <c r="BA7" s="68">
        <v>107</v>
      </c>
      <c r="BB7" s="68">
        <v>110</v>
      </c>
      <c r="BC7" s="68">
        <v>107</v>
      </c>
      <c r="BD7" s="68">
        <v>110</v>
      </c>
      <c r="BE7" s="68">
        <v>110</v>
      </c>
      <c r="BF7" s="68">
        <v>110</v>
      </c>
      <c r="BG7" s="68">
        <v>100</v>
      </c>
      <c r="BH7" s="68">
        <v>107</v>
      </c>
      <c r="BI7" s="68">
        <v>107</v>
      </c>
      <c r="BJ7" s="68">
        <v>110</v>
      </c>
      <c r="BK7" s="68">
        <v>110</v>
      </c>
      <c r="BL7" s="68">
        <v>110</v>
      </c>
      <c r="BM7" s="68">
        <v>110</v>
      </c>
      <c r="BN7" s="68">
        <v>110</v>
      </c>
      <c r="BO7" s="68">
        <v>110</v>
      </c>
      <c r="BP7" s="68">
        <v>110</v>
      </c>
      <c r="BQ7" s="68">
        <v>100</v>
      </c>
      <c r="BR7" s="68">
        <v>100</v>
      </c>
      <c r="BS7" s="68">
        <v>100</v>
      </c>
      <c r="BT7" s="68">
        <v>107</v>
      </c>
      <c r="BU7" s="68">
        <v>107</v>
      </c>
      <c r="BV7" s="68">
        <v>107</v>
      </c>
      <c r="BW7" s="68">
        <v>100</v>
      </c>
      <c r="BX7" s="68">
        <v>107</v>
      </c>
      <c r="BY7" s="68">
        <v>110</v>
      </c>
      <c r="BZ7" s="68">
        <v>110</v>
      </c>
      <c r="CA7" s="68">
        <v>100</v>
      </c>
      <c r="CB7" s="68">
        <v>107</v>
      </c>
      <c r="CC7" s="68">
        <v>107</v>
      </c>
      <c r="CD7" s="68">
        <v>107</v>
      </c>
      <c r="CE7" s="68">
        <v>110</v>
      </c>
      <c r="CF7" s="68">
        <v>110</v>
      </c>
      <c r="CG7" s="68">
        <v>110</v>
      </c>
      <c r="CH7" s="68">
        <v>110</v>
      </c>
      <c r="CI7" s="68">
        <v>110</v>
      </c>
      <c r="CJ7" s="68">
        <v>110</v>
      </c>
    </row>
    <row r="8" spans="1:88" ht="15" customHeight="1">
      <c r="A8" s="64">
        <v>700</v>
      </c>
      <c r="B8" s="64">
        <v>0.4</v>
      </c>
      <c r="C8" s="64">
        <v>1</v>
      </c>
      <c r="D8" s="64"/>
      <c r="E8" s="68">
        <v>146</v>
      </c>
      <c r="F8" s="68">
        <v>146</v>
      </c>
      <c r="G8" s="68">
        <v>146</v>
      </c>
      <c r="H8" s="68">
        <v>146</v>
      </c>
      <c r="I8" s="68">
        <v>146</v>
      </c>
      <c r="J8" s="68">
        <v>146</v>
      </c>
      <c r="K8" s="68">
        <v>146</v>
      </c>
      <c r="L8" s="68">
        <v>146</v>
      </c>
      <c r="M8" s="68">
        <v>149</v>
      </c>
      <c r="N8" s="68">
        <v>149</v>
      </c>
      <c r="O8" s="68">
        <v>149</v>
      </c>
      <c r="P8" s="68">
        <v>149</v>
      </c>
      <c r="Q8" s="68">
        <v>146</v>
      </c>
      <c r="R8" s="68">
        <v>149</v>
      </c>
      <c r="S8" s="68">
        <v>149</v>
      </c>
      <c r="T8" s="68">
        <v>165</v>
      </c>
      <c r="U8" s="68">
        <v>149</v>
      </c>
      <c r="V8" s="68">
        <v>165</v>
      </c>
      <c r="W8" s="68">
        <v>165</v>
      </c>
      <c r="X8" s="68">
        <v>169</v>
      </c>
      <c r="Y8" s="68">
        <v>165</v>
      </c>
      <c r="Z8" s="68">
        <v>169</v>
      </c>
      <c r="AA8" s="68">
        <v>169</v>
      </c>
      <c r="AB8" s="68">
        <v>169</v>
      </c>
      <c r="AC8" s="68">
        <v>177</v>
      </c>
      <c r="AD8" s="68">
        <v>177</v>
      </c>
      <c r="AE8" s="68">
        <v>177</v>
      </c>
      <c r="AF8" s="68">
        <v>177</v>
      </c>
      <c r="AG8" s="68">
        <v>177</v>
      </c>
      <c r="AH8" s="68">
        <v>177</v>
      </c>
      <c r="AI8" s="68">
        <v>177</v>
      </c>
      <c r="AJ8" s="68">
        <v>177</v>
      </c>
      <c r="AK8" s="68">
        <v>177</v>
      </c>
      <c r="AL8" s="68">
        <v>177</v>
      </c>
      <c r="AM8" s="68">
        <v>165</v>
      </c>
      <c r="AN8" s="68">
        <v>149</v>
      </c>
      <c r="AO8" s="68">
        <v>165</v>
      </c>
      <c r="AP8" s="68">
        <v>169</v>
      </c>
      <c r="AQ8" s="68">
        <v>165</v>
      </c>
      <c r="AR8" s="68">
        <v>169</v>
      </c>
      <c r="AS8" s="68">
        <v>169</v>
      </c>
      <c r="AT8" s="68">
        <v>177</v>
      </c>
      <c r="AU8" s="68">
        <v>177</v>
      </c>
      <c r="AV8" s="68">
        <v>177</v>
      </c>
      <c r="AW8" s="68">
        <v>149</v>
      </c>
      <c r="AX8" s="68">
        <v>165</v>
      </c>
      <c r="AY8" s="68">
        <v>165</v>
      </c>
      <c r="AZ8" s="68">
        <v>165</v>
      </c>
      <c r="BA8" s="68">
        <v>165</v>
      </c>
      <c r="BB8" s="68">
        <v>169</v>
      </c>
      <c r="BC8" s="68">
        <v>165</v>
      </c>
      <c r="BD8" s="68">
        <v>169</v>
      </c>
      <c r="BE8" s="68">
        <v>169</v>
      </c>
      <c r="BF8" s="68">
        <v>169</v>
      </c>
      <c r="BG8" s="68">
        <v>149</v>
      </c>
      <c r="BH8" s="68">
        <v>165</v>
      </c>
      <c r="BI8" s="68">
        <v>165</v>
      </c>
      <c r="BJ8" s="68">
        <v>169</v>
      </c>
      <c r="BK8" s="68">
        <v>169</v>
      </c>
      <c r="BL8" s="68">
        <v>169</v>
      </c>
      <c r="BM8" s="68">
        <v>169</v>
      </c>
      <c r="BN8" s="68">
        <v>169</v>
      </c>
      <c r="BO8" s="68">
        <v>169</v>
      </c>
      <c r="BP8" s="68">
        <v>169</v>
      </c>
      <c r="BQ8" s="68">
        <v>149</v>
      </c>
      <c r="BR8" s="68">
        <v>149</v>
      </c>
      <c r="BS8" s="68">
        <v>149</v>
      </c>
      <c r="BT8" s="68">
        <v>165</v>
      </c>
      <c r="BU8" s="68">
        <v>165</v>
      </c>
      <c r="BV8" s="68">
        <v>165</v>
      </c>
      <c r="BW8" s="68">
        <v>149</v>
      </c>
      <c r="BX8" s="68">
        <v>165</v>
      </c>
      <c r="BY8" s="68">
        <v>169</v>
      </c>
      <c r="BZ8" s="68">
        <v>169</v>
      </c>
      <c r="CA8" s="68">
        <v>149</v>
      </c>
      <c r="CB8" s="68">
        <v>165</v>
      </c>
      <c r="CC8" s="68">
        <v>165</v>
      </c>
      <c r="CD8" s="68">
        <v>165</v>
      </c>
      <c r="CE8" s="68">
        <v>169</v>
      </c>
      <c r="CF8" s="68">
        <v>169</v>
      </c>
      <c r="CG8" s="68">
        <v>169</v>
      </c>
      <c r="CH8" s="68">
        <v>169</v>
      </c>
      <c r="CI8" s="68">
        <v>169</v>
      </c>
      <c r="CJ8" s="68">
        <v>169</v>
      </c>
    </row>
    <row r="9" spans="1:88" ht="15" customHeight="1">
      <c r="A9" s="64">
        <v>875</v>
      </c>
      <c r="B9" s="64">
        <v>0.5</v>
      </c>
      <c r="C9" s="64"/>
      <c r="D9" s="64">
        <v>1</v>
      </c>
      <c r="E9" s="68">
        <v>169</v>
      </c>
      <c r="F9" s="68">
        <v>169</v>
      </c>
      <c r="G9" s="68">
        <v>169</v>
      </c>
      <c r="H9" s="68">
        <v>169</v>
      </c>
      <c r="I9" s="68">
        <v>169</v>
      </c>
      <c r="J9" s="68">
        <v>169</v>
      </c>
      <c r="K9" s="68">
        <v>169</v>
      </c>
      <c r="L9" s="68">
        <v>169</v>
      </c>
      <c r="M9" s="68">
        <v>174</v>
      </c>
      <c r="N9" s="68">
        <v>174</v>
      </c>
      <c r="O9" s="68">
        <v>174</v>
      </c>
      <c r="P9" s="68">
        <v>174</v>
      </c>
      <c r="Q9" s="68">
        <v>169</v>
      </c>
      <c r="R9" s="68">
        <v>174</v>
      </c>
      <c r="S9" s="68">
        <v>174</v>
      </c>
      <c r="T9" s="68">
        <v>195</v>
      </c>
      <c r="U9" s="68">
        <v>174</v>
      </c>
      <c r="V9" s="68">
        <v>195</v>
      </c>
      <c r="W9" s="68">
        <v>195</v>
      </c>
      <c r="X9" s="68">
        <v>200</v>
      </c>
      <c r="Y9" s="68">
        <v>195</v>
      </c>
      <c r="Z9" s="68">
        <v>200</v>
      </c>
      <c r="AA9" s="68">
        <v>200</v>
      </c>
      <c r="AB9" s="68">
        <v>200</v>
      </c>
      <c r="AC9" s="68">
        <v>208</v>
      </c>
      <c r="AD9" s="68">
        <v>208</v>
      </c>
      <c r="AE9" s="68">
        <v>208</v>
      </c>
      <c r="AF9" s="68">
        <v>208</v>
      </c>
      <c r="AG9" s="68">
        <v>208</v>
      </c>
      <c r="AH9" s="68">
        <v>208</v>
      </c>
      <c r="AI9" s="68">
        <v>208</v>
      </c>
      <c r="AJ9" s="68">
        <v>208</v>
      </c>
      <c r="AK9" s="68">
        <v>208</v>
      </c>
      <c r="AL9" s="68">
        <v>208</v>
      </c>
      <c r="AM9" s="68">
        <v>195</v>
      </c>
      <c r="AN9" s="68">
        <v>174</v>
      </c>
      <c r="AO9" s="68">
        <v>195</v>
      </c>
      <c r="AP9" s="68">
        <v>200</v>
      </c>
      <c r="AQ9" s="68">
        <v>195</v>
      </c>
      <c r="AR9" s="68">
        <v>200</v>
      </c>
      <c r="AS9" s="68">
        <v>200</v>
      </c>
      <c r="AT9" s="68">
        <v>208</v>
      </c>
      <c r="AU9" s="68">
        <v>208</v>
      </c>
      <c r="AV9" s="68">
        <v>208</v>
      </c>
      <c r="AW9" s="68">
        <v>174</v>
      </c>
      <c r="AX9" s="68">
        <v>195</v>
      </c>
      <c r="AY9" s="68">
        <v>195</v>
      </c>
      <c r="AZ9" s="68">
        <v>195</v>
      </c>
      <c r="BA9" s="68">
        <v>195</v>
      </c>
      <c r="BB9" s="68">
        <v>200</v>
      </c>
      <c r="BC9" s="68">
        <v>195</v>
      </c>
      <c r="BD9" s="68">
        <v>200</v>
      </c>
      <c r="BE9" s="68">
        <v>200</v>
      </c>
      <c r="BF9" s="68">
        <v>200</v>
      </c>
      <c r="BG9" s="68">
        <v>174</v>
      </c>
      <c r="BH9" s="68">
        <v>195</v>
      </c>
      <c r="BI9" s="68">
        <v>195</v>
      </c>
      <c r="BJ9" s="68">
        <v>200</v>
      </c>
      <c r="BK9" s="68">
        <v>200</v>
      </c>
      <c r="BL9" s="68">
        <v>200</v>
      </c>
      <c r="BM9" s="68">
        <v>200</v>
      </c>
      <c r="BN9" s="68">
        <v>200</v>
      </c>
      <c r="BO9" s="68">
        <v>200</v>
      </c>
      <c r="BP9" s="68">
        <v>200</v>
      </c>
      <c r="BQ9" s="68">
        <v>174</v>
      </c>
      <c r="BR9" s="68">
        <v>174</v>
      </c>
      <c r="BS9" s="68">
        <v>174</v>
      </c>
      <c r="BT9" s="68">
        <v>195</v>
      </c>
      <c r="BU9" s="68">
        <v>195</v>
      </c>
      <c r="BV9" s="68">
        <v>195</v>
      </c>
      <c r="BW9" s="68">
        <v>174</v>
      </c>
      <c r="BX9" s="68">
        <v>195</v>
      </c>
      <c r="BY9" s="68">
        <v>200</v>
      </c>
      <c r="BZ9" s="68">
        <v>200</v>
      </c>
      <c r="CA9" s="68">
        <v>174</v>
      </c>
      <c r="CB9" s="68">
        <v>195</v>
      </c>
      <c r="CC9" s="68">
        <v>195</v>
      </c>
      <c r="CD9" s="68">
        <v>195</v>
      </c>
      <c r="CE9" s="68">
        <v>200</v>
      </c>
      <c r="CF9" s="68">
        <v>200</v>
      </c>
      <c r="CG9" s="68">
        <v>200</v>
      </c>
      <c r="CH9" s="68">
        <v>200</v>
      </c>
      <c r="CI9" s="68">
        <v>200</v>
      </c>
      <c r="CJ9" s="68">
        <v>200</v>
      </c>
    </row>
    <row r="10" spans="1:88" ht="15" customHeight="1">
      <c r="A10" s="64">
        <v>1050</v>
      </c>
      <c r="B10" s="64">
        <v>0.6</v>
      </c>
      <c r="C10" s="64"/>
      <c r="D10" s="64"/>
      <c r="E10" s="68">
        <v>207</v>
      </c>
      <c r="F10" s="68">
        <v>207</v>
      </c>
      <c r="G10" s="68">
        <v>207</v>
      </c>
      <c r="H10" s="68">
        <v>207</v>
      </c>
      <c r="I10" s="68">
        <v>207</v>
      </c>
      <c r="J10" s="68">
        <v>207</v>
      </c>
      <c r="K10" s="68">
        <v>207</v>
      </c>
      <c r="L10" s="68">
        <v>207</v>
      </c>
      <c r="M10" s="68">
        <v>215</v>
      </c>
      <c r="N10" s="68">
        <v>215</v>
      </c>
      <c r="O10" s="68">
        <v>215</v>
      </c>
      <c r="P10" s="68">
        <v>215</v>
      </c>
      <c r="Q10" s="68">
        <v>207</v>
      </c>
      <c r="R10" s="68">
        <v>215</v>
      </c>
      <c r="S10" s="68">
        <v>215</v>
      </c>
      <c r="T10" s="68">
        <v>247</v>
      </c>
      <c r="U10" s="68">
        <v>215</v>
      </c>
      <c r="V10" s="68">
        <v>247</v>
      </c>
      <c r="W10" s="68">
        <v>247</v>
      </c>
      <c r="X10" s="68">
        <v>260</v>
      </c>
      <c r="Y10" s="68">
        <v>247</v>
      </c>
      <c r="Z10" s="68">
        <v>260</v>
      </c>
      <c r="AA10" s="68">
        <v>260</v>
      </c>
      <c r="AB10" s="68">
        <v>260</v>
      </c>
      <c r="AC10" s="68">
        <v>271</v>
      </c>
      <c r="AD10" s="68">
        <v>271</v>
      </c>
      <c r="AE10" s="68">
        <v>271</v>
      </c>
      <c r="AF10" s="68">
        <v>271</v>
      </c>
      <c r="AG10" s="68">
        <v>271</v>
      </c>
      <c r="AH10" s="68">
        <v>271</v>
      </c>
      <c r="AI10" s="68">
        <v>271</v>
      </c>
      <c r="AJ10" s="68">
        <v>271</v>
      </c>
      <c r="AK10" s="68">
        <v>271</v>
      </c>
      <c r="AL10" s="68">
        <v>271</v>
      </c>
      <c r="AM10" s="68">
        <v>247</v>
      </c>
      <c r="AN10" s="68">
        <v>215</v>
      </c>
      <c r="AO10" s="68">
        <v>247</v>
      </c>
      <c r="AP10" s="68">
        <v>260</v>
      </c>
      <c r="AQ10" s="68">
        <v>247</v>
      </c>
      <c r="AR10" s="68">
        <v>260</v>
      </c>
      <c r="AS10" s="68">
        <v>260</v>
      </c>
      <c r="AT10" s="68">
        <v>271</v>
      </c>
      <c r="AU10" s="68">
        <v>271</v>
      </c>
      <c r="AV10" s="68">
        <v>271</v>
      </c>
      <c r="AW10" s="68">
        <v>215</v>
      </c>
      <c r="AX10" s="68">
        <v>247</v>
      </c>
      <c r="AY10" s="68">
        <v>247</v>
      </c>
      <c r="AZ10" s="68">
        <v>247</v>
      </c>
      <c r="BA10" s="68">
        <v>247</v>
      </c>
      <c r="BB10" s="68">
        <v>260</v>
      </c>
      <c r="BC10" s="68">
        <v>247</v>
      </c>
      <c r="BD10" s="68">
        <v>260</v>
      </c>
      <c r="BE10" s="68">
        <v>260</v>
      </c>
      <c r="BF10" s="68">
        <v>260</v>
      </c>
      <c r="BG10" s="68">
        <v>215</v>
      </c>
      <c r="BH10" s="68">
        <v>247</v>
      </c>
      <c r="BI10" s="68">
        <v>247</v>
      </c>
      <c r="BJ10" s="68">
        <v>260</v>
      </c>
      <c r="BK10" s="68">
        <v>260</v>
      </c>
      <c r="BL10" s="68">
        <v>260</v>
      </c>
      <c r="BM10" s="68">
        <v>260</v>
      </c>
      <c r="BN10" s="68">
        <v>260</v>
      </c>
      <c r="BO10" s="68">
        <v>260</v>
      </c>
      <c r="BP10" s="68">
        <v>260</v>
      </c>
      <c r="BQ10" s="68">
        <v>215</v>
      </c>
      <c r="BR10" s="68">
        <v>215</v>
      </c>
      <c r="BS10" s="68">
        <v>215</v>
      </c>
      <c r="BT10" s="68">
        <v>247</v>
      </c>
      <c r="BU10" s="68">
        <v>247</v>
      </c>
      <c r="BV10" s="68">
        <v>247</v>
      </c>
      <c r="BW10" s="68">
        <v>215</v>
      </c>
      <c r="BX10" s="68">
        <v>247</v>
      </c>
      <c r="BY10" s="68">
        <v>260</v>
      </c>
      <c r="BZ10" s="68">
        <v>260</v>
      </c>
      <c r="CA10" s="68">
        <v>215</v>
      </c>
      <c r="CB10" s="68">
        <v>247</v>
      </c>
      <c r="CC10" s="68">
        <v>247</v>
      </c>
      <c r="CD10" s="68">
        <v>247</v>
      </c>
      <c r="CE10" s="68">
        <v>260</v>
      </c>
      <c r="CF10" s="68">
        <v>260</v>
      </c>
      <c r="CG10" s="68">
        <v>260</v>
      </c>
      <c r="CH10" s="68">
        <v>260</v>
      </c>
      <c r="CI10" s="68">
        <v>260</v>
      </c>
      <c r="CJ10" s="68">
        <v>260</v>
      </c>
    </row>
    <row r="11" spans="1:88" ht="15" customHeight="1">
      <c r="A11" s="64">
        <v>1400</v>
      </c>
      <c r="B11" s="64">
        <v>0.8</v>
      </c>
      <c r="C11" s="64">
        <v>2</v>
      </c>
      <c r="D11" s="64"/>
      <c r="E11" s="68">
        <v>257</v>
      </c>
      <c r="F11" s="68">
        <v>257</v>
      </c>
      <c r="G11" s="68">
        <v>257</v>
      </c>
      <c r="H11" s="68">
        <v>257</v>
      </c>
      <c r="I11" s="68">
        <v>257</v>
      </c>
      <c r="J11" s="68">
        <v>257</v>
      </c>
      <c r="K11" s="68">
        <v>257</v>
      </c>
      <c r="L11" s="68">
        <v>257</v>
      </c>
      <c r="M11" s="68">
        <v>266</v>
      </c>
      <c r="N11" s="68">
        <v>266</v>
      </c>
      <c r="O11" s="68">
        <v>266</v>
      </c>
      <c r="P11" s="68">
        <v>266</v>
      </c>
      <c r="Q11" s="68">
        <v>257</v>
      </c>
      <c r="R11" s="68">
        <v>266</v>
      </c>
      <c r="S11" s="68">
        <v>266</v>
      </c>
      <c r="T11" s="68">
        <v>297</v>
      </c>
      <c r="U11" s="68">
        <v>266</v>
      </c>
      <c r="V11" s="68">
        <v>297</v>
      </c>
      <c r="W11" s="68">
        <v>297</v>
      </c>
      <c r="X11" s="68">
        <v>309</v>
      </c>
      <c r="Y11" s="68">
        <v>297</v>
      </c>
      <c r="Z11" s="68">
        <v>309</v>
      </c>
      <c r="AA11" s="68">
        <v>309</v>
      </c>
      <c r="AB11" s="68">
        <v>309</v>
      </c>
      <c r="AC11" s="68">
        <v>321</v>
      </c>
      <c r="AD11" s="68">
        <v>321</v>
      </c>
      <c r="AE11" s="68">
        <v>321</v>
      </c>
      <c r="AF11" s="68">
        <v>321</v>
      </c>
      <c r="AG11" s="68">
        <v>321</v>
      </c>
      <c r="AH11" s="68">
        <v>321</v>
      </c>
      <c r="AI11" s="68">
        <v>321</v>
      </c>
      <c r="AJ11" s="68">
        <v>321</v>
      </c>
      <c r="AK11" s="68">
        <v>321</v>
      </c>
      <c r="AL11" s="68">
        <v>321</v>
      </c>
      <c r="AM11" s="68">
        <v>297</v>
      </c>
      <c r="AN11" s="68">
        <v>266</v>
      </c>
      <c r="AO11" s="68">
        <v>297</v>
      </c>
      <c r="AP11" s="68">
        <v>309</v>
      </c>
      <c r="AQ11" s="68">
        <v>297</v>
      </c>
      <c r="AR11" s="68">
        <v>309</v>
      </c>
      <c r="AS11" s="68">
        <v>309</v>
      </c>
      <c r="AT11" s="68">
        <v>321</v>
      </c>
      <c r="AU11" s="68">
        <v>321</v>
      </c>
      <c r="AV11" s="68">
        <v>321</v>
      </c>
      <c r="AW11" s="68">
        <v>266</v>
      </c>
      <c r="AX11" s="68">
        <v>297</v>
      </c>
      <c r="AY11" s="68">
        <v>297</v>
      </c>
      <c r="AZ11" s="68">
        <v>297</v>
      </c>
      <c r="BA11" s="68">
        <v>297</v>
      </c>
      <c r="BB11" s="68">
        <v>309</v>
      </c>
      <c r="BC11" s="68">
        <v>297</v>
      </c>
      <c r="BD11" s="68">
        <v>309</v>
      </c>
      <c r="BE11" s="68">
        <v>309</v>
      </c>
      <c r="BF11" s="68">
        <v>309</v>
      </c>
      <c r="BG11" s="68">
        <v>266</v>
      </c>
      <c r="BH11" s="68">
        <v>297</v>
      </c>
      <c r="BI11" s="68">
        <v>297</v>
      </c>
      <c r="BJ11" s="68">
        <v>309</v>
      </c>
      <c r="BK11" s="68">
        <v>309</v>
      </c>
      <c r="BL11" s="68">
        <v>309</v>
      </c>
      <c r="BM11" s="68">
        <v>309</v>
      </c>
      <c r="BN11" s="68">
        <v>309</v>
      </c>
      <c r="BO11" s="68">
        <v>309</v>
      </c>
      <c r="BP11" s="68">
        <v>309</v>
      </c>
      <c r="BQ11" s="68">
        <v>266</v>
      </c>
      <c r="BR11" s="68">
        <v>266</v>
      </c>
      <c r="BS11" s="68">
        <v>266</v>
      </c>
      <c r="BT11" s="68">
        <v>297</v>
      </c>
      <c r="BU11" s="68">
        <v>297</v>
      </c>
      <c r="BV11" s="68">
        <v>297</v>
      </c>
      <c r="BW11" s="68">
        <v>266</v>
      </c>
      <c r="BX11" s="68">
        <v>297</v>
      </c>
      <c r="BY11" s="68">
        <v>309</v>
      </c>
      <c r="BZ11" s="68">
        <v>309</v>
      </c>
      <c r="CA11" s="68">
        <v>266</v>
      </c>
      <c r="CB11" s="68">
        <v>297</v>
      </c>
      <c r="CC11" s="68">
        <v>297</v>
      </c>
      <c r="CD11" s="68">
        <v>297</v>
      </c>
      <c r="CE11" s="68">
        <v>309</v>
      </c>
      <c r="CF11" s="68">
        <v>309</v>
      </c>
      <c r="CG11" s="68">
        <v>309</v>
      </c>
      <c r="CH11" s="68">
        <v>309</v>
      </c>
      <c r="CI11" s="68">
        <v>309</v>
      </c>
      <c r="CJ11" s="68">
        <v>309</v>
      </c>
    </row>
    <row r="12" spans="1:88" ht="15" customHeight="1">
      <c r="A12" s="64">
        <v>1750</v>
      </c>
      <c r="B12" s="64">
        <v>1</v>
      </c>
      <c r="C12" s="64"/>
      <c r="D12" s="64">
        <v>2</v>
      </c>
      <c r="E12" s="68">
        <v>300</v>
      </c>
      <c r="F12" s="68">
        <v>300</v>
      </c>
      <c r="G12" s="68">
        <v>300</v>
      </c>
      <c r="H12" s="68">
        <v>300</v>
      </c>
      <c r="I12" s="68">
        <v>300</v>
      </c>
      <c r="J12" s="68">
        <v>300</v>
      </c>
      <c r="K12" s="68">
        <v>300</v>
      </c>
      <c r="L12" s="68">
        <v>300</v>
      </c>
      <c r="M12" s="68">
        <v>312</v>
      </c>
      <c r="N12" s="68">
        <v>312</v>
      </c>
      <c r="O12" s="68">
        <v>312</v>
      </c>
      <c r="P12" s="68">
        <v>312</v>
      </c>
      <c r="Q12" s="68">
        <v>300</v>
      </c>
      <c r="R12" s="68">
        <v>312</v>
      </c>
      <c r="S12" s="68">
        <v>312</v>
      </c>
      <c r="T12" s="68">
        <v>353</v>
      </c>
      <c r="U12" s="68">
        <v>312</v>
      </c>
      <c r="V12" s="68">
        <v>353</v>
      </c>
      <c r="W12" s="68">
        <v>353</v>
      </c>
      <c r="X12" s="68">
        <v>367</v>
      </c>
      <c r="Y12" s="68">
        <v>353</v>
      </c>
      <c r="Z12" s="68">
        <v>367</v>
      </c>
      <c r="AA12" s="68">
        <v>367</v>
      </c>
      <c r="AB12" s="68">
        <v>367</v>
      </c>
      <c r="AC12" s="68">
        <v>382</v>
      </c>
      <c r="AD12" s="68">
        <v>382</v>
      </c>
      <c r="AE12" s="68">
        <v>382</v>
      </c>
      <c r="AF12" s="68">
        <v>382</v>
      </c>
      <c r="AG12" s="68">
        <v>382</v>
      </c>
      <c r="AH12" s="68">
        <v>382</v>
      </c>
      <c r="AI12" s="68">
        <v>382</v>
      </c>
      <c r="AJ12" s="68">
        <v>382</v>
      </c>
      <c r="AK12" s="68">
        <v>382</v>
      </c>
      <c r="AL12" s="68">
        <v>382</v>
      </c>
      <c r="AM12" s="68">
        <v>353</v>
      </c>
      <c r="AN12" s="68">
        <v>312</v>
      </c>
      <c r="AO12" s="68">
        <v>353</v>
      </c>
      <c r="AP12" s="68">
        <v>367</v>
      </c>
      <c r="AQ12" s="68">
        <v>353</v>
      </c>
      <c r="AR12" s="68">
        <v>367</v>
      </c>
      <c r="AS12" s="68">
        <v>367</v>
      </c>
      <c r="AT12" s="68">
        <v>382</v>
      </c>
      <c r="AU12" s="68">
        <v>382</v>
      </c>
      <c r="AV12" s="68">
        <v>382</v>
      </c>
      <c r="AW12" s="68">
        <v>312</v>
      </c>
      <c r="AX12" s="68">
        <v>353</v>
      </c>
      <c r="AY12" s="68">
        <v>353</v>
      </c>
      <c r="AZ12" s="68">
        <v>353</v>
      </c>
      <c r="BA12" s="68">
        <v>353</v>
      </c>
      <c r="BB12" s="68">
        <v>367</v>
      </c>
      <c r="BC12" s="68">
        <v>353</v>
      </c>
      <c r="BD12" s="68">
        <v>367</v>
      </c>
      <c r="BE12" s="68">
        <v>367</v>
      </c>
      <c r="BF12" s="68">
        <v>367</v>
      </c>
      <c r="BG12" s="68">
        <v>312</v>
      </c>
      <c r="BH12" s="68">
        <v>353</v>
      </c>
      <c r="BI12" s="68">
        <v>353</v>
      </c>
      <c r="BJ12" s="68">
        <v>367</v>
      </c>
      <c r="BK12" s="68">
        <v>367</v>
      </c>
      <c r="BL12" s="68">
        <v>367</v>
      </c>
      <c r="BM12" s="68">
        <v>367</v>
      </c>
      <c r="BN12" s="68">
        <v>367</v>
      </c>
      <c r="BO12" s="68">
        <v>367</v>
      </c>
      <c r="BP12" s="68">
        <v>367</v>
      </c>
      <c r="BQ12" s="68">
        <v>312</v>
      </c>
      <c r="BR12" s="68">
        <v>312</v>
      </c>
      <c r="BS12" s="68">
        <v>312</v>
      </c>
      <c r="BT12" s="68">
        <v>353</v>
      </c>
      <c r="BU12" s="68">
        <v>353</v>
      </c>
      <c r="BV12" s="68">
        <v>353</v>
      </c>
      <c r="BW12" s="68">
        <v>312</v>
      </c>
      <c r="BX12" s="68">
        <v>353</v>
      </c>
      <c r="BY12" s="68">
        <v>367</v>
      </c>
      <c r="BZ12" s="68">
        <v>367</v>
      </c>
      <c r="CA12" s="68">
        <v>312</v>
      </c>
      <c r="CB12" s="68">
        <v>353</v>
      </c>
      <c r="CC12" s="68">
        <v>353</v>
      </c>
      <c r="CD12" s="68">
        <v>353</v>
      </c>
      <c r="CE12" s="68">
        <v>367</v>
      </c>
      <c r="CF12" s="68">
        <v>367</v>
      </c>
      <c r="CG12" s="68">
        <v>367</v>
      </c>
      <c r="CH12" s="68">
        <v>367</v>
      </c>
      <c r="CI12" s="68">
        <v>367</v>
      </c>
      <c r="CJ12" s="68">
        <v>367</v>
      </c>
    </row>
    <row r="13" spans="1:88" ht="15" customHeight="1">
      <c r="A13" s="64">
        <v>2100</v>
      </c>
      <c r="B13" s="64">
        <v>1.2</v>
      </c>
      <c r="C13" s="64">
        <v>3</v>
      </c>
      <c r="D13" s="64"/>
      <c r="E13" s="68">
        <v>361</v>
      </c>
      <c r="F13" s="68">
        <v>361</v>
      </c>
      <c r="G13" s="68">
        <v>361</v>
      </c>
      <c r="H13" s="68">
        <v>361</v>
      </c>
      <c r="I13" s="68">
        <v>361</v>
      </c>
      <c r="J13" s="68">
        <v>361</v>
      </c>
      <c r="K13" s="68">
        <v>361</v>
      </c>
      <c r="L13" s="68">
        <v>361</v>
      </c>
      <c r="M13" s="68">
        <v>373</v>
      </c>
      <c r="N13" s="68">
        <v>373</v>
      </c>
      <c r="O13" s="68">
        <v>373</v>
      </c>
      <c r="P13" s="68">
        <v>373</v>
      </c>
      <c r="Q13" s="68">
        <v>361</v>
      </c>
      <c r="R13" s="68">
        <v>373</v>
      </c>
      <c r="S13" s="68">
        <v>373</v>
      </c>
      <c r="T13" s="68">
        <v>393</v>
      </c>
      <c r="U13" s="68">
        <v>373</v>
      </c>
      <c r="V13" s="68">
        <v>393</v>
      </c>
      <c r="W13" s="68">
        <v>393</v>
      </c>
      <c r="X13" s="68">
        <v>407</v>
      </c>
      <c r="Y13" s="68">
        <v>393</v>
      </c>
      <c r="Z13" s="68">
        <v>407</v>
      </c>
      <c r="AA13" s="68">
        <v>407</v>
      </c>
      <c r="AB13" s="68">
        <v>407</v>
      </c>
      <c r="AC13" s="68">
        <v>421</v>
      </c>
      <c r="AD13" s="68">
        <v>421</v>
      </c>
      <c r="AE13" s="68">
        <v>421</v>
      </c>
      <c r="AF13" s="68">
        <v>421</v>
      </c>
      <c r="AG13" s="68">
        <v>421</v>
      </c>
      <c r="AH13" s="68">
        <v>421</v>
      </c>
      <c r="AI13" s="68">
        <v>421</v>
      </c>
      <c r="AJ13" s="68">
        <v>421</v>
      </c>
      <c r="AK13" s="68">
        <v>421</v>
      </c>
      <c r="AL13" s="68">
        <v>421</v>
      </c>
      <c r="AM13" s="68">
        <v>393</v>
      </c>
      <c r="AN13" s="68">
        <v>373</v>
      </c>
      <c r="AO13" s="68">
        <v>393</v>
      </c>
      <c r="AP13" s="68">
        <v>407</v>
      </c>
      <c r="AQ13" s="68">
        <v>393</v>
      </c>
      <c r="AR13" s="68">
        <v>407</v>
      </c>
      <c r="AS13" s="68">
        <v>407</v>
      </c>
      <c r="AT13" s="68">
        <v>421</v>
      </c>
      <c r="AU13" s="68">
        <v>421</v>
      </c>
      <c r="AV13" s="68">
        <v>421</v>
      </c>
      <c r="AW13" s="68">
        <v>373</v>
      </c>
      <c r="AX13" s="68">
        <v>393</v>
      </c>
      <c r="AY13" s="68">
        <v>393</v>
      </c>
      <c r="AZ13" s="68">
        <v>393</v>
      </c>
      <c r="BA13" s="68">
        <v>393</v>
      </c>
      <c r="BB13" s="68">
        <v>407</v>
      </c>
      <c r="BC13" s="68">
        <v>393</v>
      </c>
      <c r="BD13" s="68">
        <v>407</v>
      </c>
      <c r="BE13" s="68">
        <v>407</v>
      </c>
      <c r="BF13" s="68">
        <v>407</v>
      </c>
      <c r="BG13" s="68">
        <v>373</v>
      </c>
      <c r="BH13" s="68">
        <v>393</v>
      </c>
      <c r="BI13" s="68">
        <v>393</v>
      </c>
      <c r="BJ13" s="68">
        <v>407</v>
      </c>
      <c r="BK13" s="68">
        <v>407</v>
      </c>
      <c r="BL13" s="68">
        <v>407</v>
      </c>
      <c r="BM13" s="68">
        <v>407</v>
      </c>
      <c r="BN13" s="68">
        <v>407</v>
      </c>
      <c r="BO13" s="68">
        <v>407</v>
      </c>
      <c r="BP13" s="68">
        <v>407</v>
      </c>
      <c r="BQ13" s="68">
        <v>373</v>
      </c>
      <c r="BR13" s="68">
        <v>373</v>
      </c>
      <c r="BS13" s="68">
        <v>373</v>
      </c>
      <c r="BT13" s="68">
        <v>393</v>
      </c>
      <c r="BU13" s="68">
        <v>393</v>
      </c>
      <c r="BV13" s="68">
        <v>393</v>
      </c>
      <c r="BW13" s="68">
        <v>373</v>
      </c>
      <c r="BX13" s="68">
        <v>393</v>
      </c>
      <c r="BY13" s="68">
        <v>407</v>
      </c>
      <c r="BZ13" s="68">
        <v>407</v>
      </c>
      <c r="CA13" s="68">
        <v>373</v>
      </c>
      <c r="CB13" s="68">
        <v>393</v>
      </c>
      <c r="CC13" s="68">
        <v>393</v>
      </c>
      <c r="CD13" s="68">
        <v>393</v>
      </c>
      <c r="CE13" s="68">
        <v>407</v>
      </c>
      <c r="CF13" s="68">
        <v>407</v>
      </c>
      <c r="CG13" s="68">
        <v>407</v>
      </c>
      <c r="CH13" s="68">
        <v>407</v>
      </c>
      <c r="CI13" s="68">
        <v>407</v>
      </c>
      <c r="CJ13" s="68">
        <v>407</v>
      </c>
    </row>
    <row r="14" spans="1:88" ht="15" customHeight="1">
      <c r="A14" s="64">
        <v>2625</v>
      </c>
      <c r="B14" s="2">
        <v>1.5</v>
      </c>
      <c r="C14" s="82"/>
      <c r="D14" s="64">
        <v>3</v>
      </c>
      <c r="E14" s="68">
        <v>424</v>
      </c>
      <c r="F14" s="68">
        <v>424</v>
      </c>
      <c r="G14" s="68">
        <v>424</v>
      </c>
      <c r="H14" s="68">
        <v>424</v>
      </c>
      <c r="I14" s="68">
        <v>424</v>
      </c>
      <c r="J14" s="68">
        <v>424</v>
      </c>
      <c r="K14" s="68">
        <v>424</v>
      </c>
      <c r="L14" s="68">
        <v>424</v>
      </c>
      <c r="M14" s="68">
        <v>440</v>
      </c>
      <c r="N14" s="68">
        <v>440</v>
      </c>
      <c r="O14" s="68">
        <v>440</v>
      </c>
      <c r="P14" s="68">
        <v>440</v>
      </c>
      <c r="Q14" s="68">
        <v>424</v>
      </c>
      <c r="R14" s="68">
        <v>440</v>
      </c>
      <c r="S14" s="68">
        <v>440</v>
      </c>
      <c r="T14" s="68">
        <v>464</v>
      </c>
      <c r="U14" s="68">
        <v>440</v>
      </c>
      <c r="V14" s="68">
        <v>464</v>
      </c>
      <c r="W14" s="68">
        <v>464</v>
      </c>
      <c r="X14" s="68">
        <v>483</v>
      </c>
      <c r="Y14" s="68">
        <v>464</v>
      </c>
      <c r="Z14" s="68">
        <v>483</v>
      </c>
      <c r="AA14" s="68">
        <v>483</v>
      </c>
      <c r="AB14" s="68">
        <v>483</v>
      </c>
      <c r="AC14" s="68">
        <v>502</v>
      </c>
      <c r="AD14" s="68">
        <v>502</v>
      </c>
      <c r="AE14" s="68">
        <v>502</v>
      </c>
      <c r="AF14" s="68">
        <v>502</v>
      </c>
      <c r="AG14" s="68">
        <v>502</v>
      </c>
      <c r="AH14" s="68">
        <v>502</v>
      </c>
      <c r="AI14" s="68">
        <v>502</v>
      </c>
      <c r="AJ14" s="68">
        <v>502</v>
      </c>
      <c r="AK14" s="68">
        <v>502</v>
      </c>
      <c r="AL14" s="68">
        <v>502</v>
      </c>
      <c r="AM14" s="68">
        <v>464</v>
      </c>
      <c r="AN14" s="68">
        <v>440</v>
      </c>
      <c r="AO14" s="68">
        <v>464</v>
      </c>
      <c r="AP14" s="68">
        <v>483</v>
      </c>
      <c r="AQ14" s="68">
        <v>464</v>
      </c>
      <c r="AR14" s="68">
        <v>483</v>
      </c>
      <c r="AS14" s="68">
        <v>483</v>
      </c>
      <c r="AT14" s="68">
        <v>502</v>
      </c>
      <c r="AU14" s="68">
        <v>502</v>
      </c>
      <c r="AV14" s="68">
        <v>502</v>
      </c>
      <c r="AW14" s="68">
        <v>440</v>
      </c>
      <c r="AX14" s="68">
        <v>464</v>
      </c>
      <c r="AY14" s="68">
        <v>464</v>
      </c>
      <c r="AZ14" s="68">
        <v>464</v>
      </c>
      <c r="BA14" s="68">
        <v>464</v>
      </c>
      <c r="BB14" s="68">
        <v>483</v>
      </c>
      <c r="BC14" s="68">
        <v>464</v>
      </c>
      <c r="BD14" s="68">
        <v>483</v>
      </c>
      <c r="BE14" s="68">
        <v>483</v>
      </c>
      <c r="BF14" s="68">
        <v>483</v>
      </c>
      <c r="BG14" s="68">
        <v>440</v>
      </c>
      <c r="BH14" s="68">
        <v>464</v>
      </c>
      <c r="BI14" s="68">
        <v>464</v>
      </c>
      <c r="BJ14" s="68">
        <v>483</v>
      </c>
      <c r="BK14" s="68">
        <v>483</v>
      </c>
      <c r="BL14" s="68">
        <v>483</v>
      </c>
      <c r="BM14" s="68">
        <v>483</v>
      </c>
      <c r="BN14" s="68">
        <v>483</v>
      </c>
      <c r="BO14" s="68">
        <v>483</v>
      </c>
      <c r="BP14" s="68">
        <v>483</v>
      </c>
      <c r="BQ14" s="68">
        <v>440</v>
      </c>
      <c r="BR14" s="68">
        <v>440</v>
      </c>
      <c r="BS14" s="68">
        <v>440</v>
      </c>
      <c r="BT14" s="68">
        <v>464</v>
      </c>
      <c r="BU14" s="68">
        <v>464</v>
      </c>
      <c r="BV14" s="68">
        <v>464</v>
      </c>
      <c r="BW14" s="68">
        <v>440</v>
      </c>
      <c r="BX14" s="68">
        <v>464</v>
      </c>
      <c r="BY14" s="68">
        <v>483</v>
      </c>
      <c r="BZ14" s="68">
        <v>483</v>
      </c>
      <c r="CA14" s="68">
        <v>440</v>
      </c>
      <c r="CB14" s="68">
        <v>464</v>
      </c>
      <c r="CC14" s="68">
        <v>464</v>
      </c>
      <c r="CD14" s="68">
        <v>464</v>
      </c>
      <c r="CE14" s="68">
        <v>483</v>
      </c>
      <c r="CF14" s="68">
        <v>483</v>
      </c>
      <c r="CG14" s="68">
        <v>483</v>
      </c>
      <c r="CH14" s="68">
        <v>483</v>
      </c>
      <c r="CI14" s="68">
        <v>483</v>
      </c>
      <c r="CJ14" s="68">
        <v>483</v>
      </c>
    </row>
    <row r="15" spans="1:88" ht="15" customHeight="1">
      <c r="A15" s="64">
        <v>2800</v>
      </c>
      <c r="B15" s="64">
        <v>1.6</v>
      </c>
      <c r="C15" s="64">
        <v>4</v>
      </c>
      <c r="D15" s="64"/>
      <c r="E15" s="68">
        <v>463</v>
      </c>
      <c r="F15" s="68">
        <v>463</v>
      </c>
      <c r="G15" s="68">
        <v>463</v>
      </c>
      <c r="H15" s="68">
        <v>463</v>
      </c>
      <c r="I15" s="68">
        <v>463</v>
      </c>
      <c r="J15" s="68">
        <v>463</v>
      </c>
      <c r="K15" s="68">
        <v>463</v>
      </c>
      <c r="L15" s="68">
        <v>463</v>
      </c>
      <c r="M15" s="68">
        <v>480</v>
      </c>
      <c r="N15" s="68">
        <v>480</v>
      </c>
      <c r="O15" s="68">
        <v>480</v>
      </c>
      <c r="P15" s="68">
        <v>480</v>
      </c>
      <c r="Q15" s="68">
        <v>463</v>
      </c>
      <c r="R15" s="68">
        <v>480</v>
      </c>
      <c r="S15" s="68">
        <v>480</v>
      </c>
      <c r="T15" s="68">
        <v>506</v>
      </c>
      <c r="U15" s="68">
        <v>480</v>
      </c>
      <c r="V15" s="68">
        <v>506</v>
      </c>
      <c r="W15" s="68">
        <v>506</v>
      </c>
      <c r="X15" s="68">
        <v>526</v>
      </c>
      <c r="Y15" s="68">
        <v>506</v>
      </c>
      <c r="Z15" s="68">
        <v>526</v>
      </c>
      <c r="AA15" s="68">
        <v>526</v>
      </c>
      <c r="AB15" s="68">
        <v>526</v>
      </c>
      <c r="AC15" s="68">
        <v>545</v>
      </c>
      <c r="AD15" s="68">
        <v>545</v>
      </c>
      <c r="AE15" s="68">
        <v>545</v>
      </c>
      <c r="AF15" s="68">
        <v>545</v>
      </c>
      <c r="AG15" s="68">
        <v>545</v>
      </c>
      <c r="AH15" s="68">
        <v>545</v>
      </c>
      <c r="AI15" s="68">
        <v>545</v>
      </c>
      <c r="AJ15" s="68">
        <v>545</v>
      </c>
      <c r="AK15" s="68">
        <v>545</v>
      </c>
      <c r="AL15" s="68">
        <v>545</v>
      </c>
      <c r="AM15" s="68">
        <v>506</v>
      </c>
      <c r="AN15" s="68">
        <v>480</v>
      </c>
      <c r="AO15" s="68">
        <v>506</v>
      </c>
      <c r="AP15" s="68">
        <v>526</v>
      </c>
      <c r="AQ15" s="68">
        <v>506</v>
      </c>
      <c r="AR15" s="68">
        <v>526</v>
      </c>
      <c r="AS15" s="68">
        <v>526</v>
      </c>
      <c r="AT15" s="68">
        <v>545</v>
      </c>
      <c r="AU15" s="68">
        <v>545</v>
      </c>
      <c r="AV15" s="68">
        <v>545</v>
      </c>
      <c r="AW15" s="68">
        <v>480</v>
      </c>
      <c r="AX15" s="68">
        <v>506</v>
      </c>
      <c r="AY15" s="68">
        <v>506</v>
      </c>
      <c r="AZ15" s="68">
        <v>506</v>
      </c>
      <c r="BA15" s="68">
        <v>506</v>
      </c>
      <c r="BB15" s="68">
        <v>526</v>
      </c>
      <c r="BC15" s="68">
        <v>506</v>
      </c>
      <c r="BD15" s="68">
        <v>526</v>
      </c>
      <c r="BE15" s="68">
        <v>526</v>
      </c>
      <c r="BF15" s="68">
        <v>526</v>
      </c>
      <c r="BG15" s="68">
        <v>480</v>
      </c>
      <c r="BH15" s="68">
        <v>506</v>
      </c>
      <c r="BI15" s="68">
        <v>506</v>
      </c>
      <c r="BJ15" s="68">
        <v>526</v>
      </c>
      <c r="BK15" s="68">
        <v>526</v>
      </c>
      <c r="BL15" s="68">
        <v>526</v>
      </c>
      <c r="BM15" s="68">
        <v>526</v>
      </c>
      <c r="BN15" s="68">
        <v>526</v>
      </c>
      <c r="BO15" s="68">
        <v>526</v>
      </c>
      <c r="BP15" s="68">
        <v>526</v>
      </c>
      <c r="BQ15" s="68">
        <v>480</v>
      </c>
      <c r="BR15" s="68">
        <v>480</v>
      </c>
      <c r="BS15" s="68">
        <v>480</v>
      </c>
      <c r="BT15" s="68">
        <v>506</v>
      </c>
      <c r="BU15" s="68">
        <v>506</v>
      </c>
      <c r="BV15" s="68">
        <v>506</v>
      </c>
      <c r="BW15" s="68">
        <v>480</v>
      </c>
      <c r="BX15" s="68">
        <v>506</v>
      </c>
      <c r="BY15" s="68">
        <v>526</v>
      </c>
      <c r="BZ15" s="68">
        <v>526</v>
      </c>
      <c r="CA15" s="68">
        <v>480</v>
      </c>
      <c r="CB15" s="68">
        <v>506</v>
      </c>
      <c r="CC15" s="68">
        <v>506</v>
      </c>
      <c r="CD15" s="68">
        <v>506</v>
      </c>
      <c r="CE15" s="68">
        <v>526</v>
      </c>
      <c r="CF15" s="68">
        <v>526</v>
      </c>
      <c r="CG15" s="68">
        <v>526</v>
      </c>
      <c r="CH15" s="68">
        <v>526</v>
      </c>
      <c r="CI15" s="68">
        <v>526</v>
      </c>
      <c r="CJ15" s="68">
        <v>526</v>
      </c>
    </row>
    <row r="16" spans="1:88" ht="15" customHeight="1">
      <c r="A16" s="64">
        <v>3500</v>
      </c>
      <c r="B16" s="64">
        <v>2</v>
      </c>
      <c r="C16" s="64">
        <v>5</v>
      </c>
      <c r="D16" s="64">
        <v>4</v>
      </c>
      <c r="E16" s="68">
        <v>496</v>
      </c>
      <c r="F16" s="68">
        <v>496</v>
      </c>
      <c r="G16" s="68">
        <v>496</v>
      </c>
      <c r="H16" s="68">
        <v>496</v>
      </c>
      <c r="I16" s="68">
        <v>496</v>
      </c>
      <c r="J16" s="68">
        <v>506</v>
      </c>
      <c r="K16" s="68">
        <v>496</v>
      </c>
      <c r="L16" s="68">
        <v>496</v>
      </c>
      <c r="M16" s="68">
        <v>546</v>
      </c>
      <c r="N16" s="68">
        <v>546</v>
      </c>
      <c r="O16" s="68">
        <v>546</v>
      </c>
      <c r="P16" s="68">
        <v>546</v>
      </c>
      <c r="Q16" s="68">
        <v>496</v>
      </c>
      <c r="R16" s="68">
        <v>506</v>
      </c>
      <c r="S16" s="68">
        <v>546</v>
      </c>
      <c r="T16" s="68">
        <v>599</v>
      </c>
      <c r="U16" s="68">
        <v>546</v>
      </c>
      <c r="V16" s="68">
        <v>599</v>
      </c>
      <c r="W16" s="68">
        <v>599</v>
      </c>
      <c r="X16" s="68">
        <v>622</v>
      </c>
      <c r="Y16" s="68">
        <v>599</v>
      </c>
      <c r="Z16" s="68">
        <v>622</v>
      </c>
      <c r="AA16" s="68">
        <v>622</v>
      </c>
      <c r="AB16" s="68">
        <v>622</v>
      </c>
      <c r="AC16" s="68">
        <v>647</v>
      </c>
      <c r="AD16" s="68">
        <v>647</v>
      </c>
      <c r="AE16" s="68">
        <v>647</v>
      </c>
      <c r="AF16" s="68">
        <v>647</v>
      </c>
      <c r="AG16" s="68">
        <v>647</v>
      </c>
      <c r="AH16" s="68">
        <v>647</v>
      </c>
      <c r="AI16" s="68">
        <v>647</v>
      </c>
      <c r="AJ16" s="68">
        <v>647</v>
      </c>
      <c r="AK16" s="68">
        <v>647</v>
      </c>
      <c r="AL16" s="68">
        <v>647</v>
      </c>
      <c r="AM16" s="68">
        <v>599</v>
      </c>
      <c r="AN16" s="68">
        <v>546</v>
      </c>
      <c r="AO16" s="68">
        <v>599</v>
      </c>
      <c r="AP16" s="68">
        <v>622</v>
      </c>
      <c r="AQ16" s="68">
        <v>599</v>
      </c>
      <c r="AR16" s="68">
        <v>622</v>
      </c>
      <c r="AS16" s="68">
        <v>622</v>
      </c>
      <c r="AT16" s="68">
        <v>647</v>
      </c>
      <c r="AU16" s="68">
        <v>647</v>
      </c>
      <c r="AV16" s="68">
        <v>647</v>
      </c>
      <c r="AW16" s="68">
        <v>546</v>
      </c>
      <c r="AX16" s="68">
        <v>599</v>
      </c>
      <c r="AY16" s="68">
        <v>599</v>
      </c>
      <c r="AZ16" s="68">
        <v>599</v>
      </c>
      <c r="BA16" s="68">
        <v>599</v>
      </c>
      <c r="BB16" s="68">
        <v>622</v>
      </c>
      <c r="BC16" s="68">
        <v>599</v>
      </c>
      <c r="BD16" s="68">
        <v>622</v>
      </c>
      <c r="BE16" s="68">
        <v>622</v>
      </c>
      <c r="BF16" s="68">
        <v>622</v>
      </c>
      <c r="BG16" s="68">
        <v>546</v>
      </c>
      <c r="BH16" s="68">
        <v>599</v>
      </c>
      <c r="BI16" s="68">
        <v>599</v>
      </c>
      <c r="BJ16" s="68">
        <v>622</v>
      </c>
      <c r="BK16" s="68">
        <v>622</v>
      </c>
      <c r="BL16" s="68">
        <v>622</v>
      </c>
      <c r="BM16" s="68">
        <v>622</v>
      </c>
      <c r="BN16" s="68">
        <v>622</v>
      </c>
      <c r="BO16" s="68">
        <v>622</v>
      </c>
      <c r="BP16" s="68">
        <v>622</v>
      </c>
      <c r="BQ16" s="68">
        <v>546</v>
      </c>
      <c r="BR16" s="68">
        <v>546</v>
      </c>
      <c r="BS16" s="68">
        <v>546</v>
      </c>
      <c r="BT16" s="68">
        <v>599</v>
      </c>
      <c r="BU16" s="68">
        <v>599</v>
      </c>
      <c r="BV16" s="68">
        <v>540</v>
      </c>
      <c r="BW16" s="68">
        <v>546</v>
      </c>
      <c r="BX16" s="68">
        <v>599</v>
      </c>
      <c r="BY16" s="68">
        <v>622</v>
      </c>
      <c r="BZ16" s="68">
        <v>622</v>
      </c>
      <c r="CA16" s="68">
        <v>546</v>
      </c>
      <c r="CB16" s="68">
        <v>526</v>
      </c>
      <c r="CC16" s="68">
        <v>526</v>
      </c>
      <c r="CD16" s="68">
        <v>526</v>
      </c>
      <c r="CE16" s="68">
        <v>622</v>
      </c>
      <c r="CF16" s="68">
        <v>622</v>
      </c>
      <c r="CG16" s="68">
        <v>622</v>
      </c>
      <c r="CH16" s="68">
        <v>622</v>
      </c>
      <c r="CI16" s="68">
        <v>622</v>
      </c>
      <c r="CJ16" s="68">
        <v>622</v>
      </c>
    </row>
    <row r="17" spans="1:88" ht="15" customHeight="1">
      <c r="A17" s="2">
        <v>4200</v>
      </c>
      <c r="B17" s="2">
        <v>2.4</v>
      </c>
      <c r="C17" s="2">
        <v>6</v>
      </c>
      <c r="D17" s="2"/>
      <c r="E17" s="68">
        <v>527</v>
      </c>
      <c r="F17" s="68">
        <v>527</v>
      </c>
      <c r="G17" s="68">
        <v>527</v>
      </c>
      <c r="H17" s="68">
        <v>527</v>
      </c>
      <c r="I17" s="68">
        <v>527</v>
      </c>
      <c r="J17" s="68">
        <v>548</v>
      </c>
      <c r="K17" s="68">
        <v>527</v>
      </c>
      <c r="L17" s="68">
        <v>527</v>
      </c>
      <c r="M17" s="68">
        <v>590</v>
      </c>
      <c r="N17" s="68">
        <v>590</v>
      </c>
      <c r="O17" s="68">
        <v>599</v>
      </c>
      <c r="P17" s="68">
        <v>586</v>
      </c>
      <c r="Q17" s="68">
        <v>527</v>
      </c>
      <c r="R17" s="68">
        <v>532</v>
      </c>
      <c r="S17" s="68">
        <v>590</v>
      </c>
      <c r="T17" s="68">
        <v>670</v>
      </c>
      <c r="U17" s="68">
        <v>621</v>
      </c>
      <c r="V17" s="68">
        <v>676</v>
      </c>
      <c r="W17" s="68">
        <v>676</v>
      </c>
      <c r="X17" s="68">
        <v>703</v>
      </c>
      <c r="Y17" s="68">
        <v>676</v>
      </c>
      <c r="Z17" s="68">
        <v>703</v>
      </c>
      <c r="AA17" s="68">
        <v>703</v>
      </c>
      <c r="AB17" s="68">
        <v>703</v>
      </c>
      <c r="AC17" s="68">
        <v>732</v>
      </c>
      <c r="AD17" s="68">
        <v>732</v>
      </c>
      <c r="AE17" s="68">
        <v>732</v>
      </c>
      <c r="AF17" s="68">
        <v>732</v>
      </c>
      <c r="AG17" s="68">
        <v>732</v>
      </c>
      <c r="AH17" s="68">
        <v>732</v>
      </c>
      <c r="AI17" s="68">
        <v>732</v>
      </c>
      <c r="AJ17" s="68">
        <v>732</v>
      </c>
      <c r="AK17" s="68">
        <v>732</v>
      </c>
      <c r="AL17" s="68">
        <v>732</v>
      </c>
      <c r="AM17" s="68">
        <v>623</v>
      </c>
      <c r="AN17" s="68">
        <v>605</v>
      </c>
      <c r="AO17" s="68">
        <v>649</v>
      </c>
      <c r="AP17" s="68">
        <v>703</v>
      </c>
      <c r="AQ17" s="68">
        <v>676</v>
      </c>
      <c r="AR17" s="68">
        <v>703</v>
      </c>
      <c r="AS17" s="68">
        <v>703</v>
      </c>
      <c r="AT17" s="68">
        <v>732</v>
      </c>
      <c r="AU17" s="68">
        <v>732</v>
      </c>
      <c r="AV17" s="68">
        <v>732</v>
      </c>
      <c r="AW17" s="68">
        <v>590</v>
      </c>
      <c r="AX17" s="68">
        <v>625</v>
      </c>
      <c r="AY17" s="68">
        <v>662</v>
      </c>
      <c r="AZ17" s="68">
        <v>667</v>
      </c>
      <c r="BA17" s="68">
        <v>670</v>
      </c>
      <c r="BB17" s="68">
        <v>703</v>
      </c>
      <c r="BC17" s="68">
        <v>676</v>
      </c>
      <c r="BD17" s="68">
        <v>698</v>
      </c>
      <c r="BE17" s="68">
        <v>703</v>
      </c>
      <c r="BF17" s="68">
        <v>703</v>
      </c>
      <c r="BG17" s="68">
        <v>621</v>
      </c>
      <c r="BH17" s="68">
        <v>676</v>
      </c>
      <c r="BI17" s="68">
        <v>676</v>
      </c>
      <c r="BJ17" s="68">
        <v>703</v>
      </c>
      <c r="BK17" s="68">
        <v>703</v>
      </c>
      <c r="BL17" s="68">
        <v>703</v>
      </c>
      <c r="BM17" s="68">
        <v>703</v>
      </c>
      <c r="BN17" s="68">
        <v>703</v>
      </c>
      <c r="BO17" s="68">
        <v>703</v>
      </c>
      <c r="BP17" s="68">
        <v>703</v>
      </c>
      <c r="BQ17" s="68">
        <v>564</v>
      </c>
      <c r="BR17" s="68">
        <v>552</v>
      </c>
      <c r="BS17" s="68">
        <v>576</v>
      </c>
      <c r="BT17" s="68">
        <v>670</v>
      </c>
      <c r="BU17" s="68">
        <v>620</v>
      </c>
      <c r="BV17" s="68">
        <v>574</v>
      </c>
      <c r="BW17" s="68">
        <v>633</v>
      </c>
      <c r="BX17" s="68">
        <v>676</v>
      </c>
      <c r="BY17" s="68">
        <v>703</v>
      </c>
      <c r="BZ17" s="68">
        <v>703</v>
      </c>
      <c r="CA17" s="68">
        <v>564</v>
      </c>
      <c r="CB17" s="68">
        <v>544</v>
      </c>
      <c r="CC17" s="68">
        <v>544</v>
      </c>
      <c r="CD17" s="68">
        <v>544</v>
      </c>
      <c r="CE17" s="68">
        <v>703</v>
      </c>
      <c r="CF17" s="68">
        <v>684</v>
      </c>
      <c r="CG17" s="68">
        <v>694</v>
      </c>
      <c r="CH17" s="68">
        <v>703</v>
      </c>
      <c r="CI17" s="68">
        <v>703</v>
      </c>
      <c r="CJ17" s="68">
        <v>703</v>
      </c>
    </row>
    <row r="18" spans="1:88" ht="15" customHeight="1">
      <c r="A18" s="2">
        <v>4375</v>
      </c>
      <c r="B18" s="2">
        <v>2.5</v>
      </c>
      <c r="C18" s="2"/>
      <c r="D18" s="2">
        <v>5</v>
      </c>
      <c r="E18" s="68">
        <v>557</v>
      </c>
      <c r="F18" s="68">
        <v>557</v>
      </c>
      <c r="G18" s="68">
        <v>557</v>
      </c>
      <c r="H18" s="68">
        <v>557</v>
      </c>
      <c r="I18" s="68">
        <v>557</v>
      </c>
      <c r="J18" s="68">
        <v>563</v>
      </c>
      <c r="K18" s="68">
        <v>557</v>
      </c>
      <c r="L18" s="68">
        <v>557</v>
      </c>
      <c r="M18" s="68">
        <v>605</v>
      </c>
      <c r="N18" s="68">
        <v>605</v>
      </c>
      <c r="O18" s="68">
        <v>614</v>
      </c>
      <c r="P18" s="68">
        <v>599</v>
      </c>
      <c r="Q18" s="68">
        <v>557</v>
      </c>
      <c r="R18" s="68">
        <v>557</v>
      </c>
      <c r="S18" s="68">
        <v>605</v>
      </c>
      <c r="T18" s="68">
        <v>683</v>
      </c>
      <c r="U18" s="68">
        <v>635</v>
      </c>
      <c r="V18" s="68">
        <v>706</v>
      </c>
      <c r="W18" s="68">
        <v>706</v>
      </c>
      <c r="X18" s="68">
        <v>737</v>
      </c>
      <c r="Y18" s="68">
        <v>708</v>
      </c>
      <c r="Z18" s="68">
        <v>737</v>
      </c>
      <c r="AA18" s="68">
        <v>737</v>
      </c>
      <c r="AB18" s="68">
        <v>737</v>
      </c>
      <c r="AC18" s="68">
        <v>766</v>
      </c>
      <c r="AD18" s="68">
        <v>766</v>
      </c>
      <c r="AE18" s="68">
        <v>766</v>
      </c>
      <c r="AF18" s="68">
        <v>766</v>
      </c>
      <c r="AG18" s="68">
        <v>766</v>
      </c>
      <c r="AH18" s="68">
        <v>766</v>
      </c>
      <c r="AI18" s="68">
        <v>766</v>
      </c>
      <c r="AJ18" s="68">
        <v>766</v>
      </c>
      <c r="AK18" s="68">
        <v>766</v>
      </c>
      <c r="AL18" s="68">
        <v>766</v>
      </c>
      <c r="AM18" s="68">
        <v>637</v>
      </c>
      <c r="AN18" s="68">
        <v>617</v>
      </c>
      <c r="AO18" s="68">
        <v>663</v>
      </c>
      <c r="AP18" s="68">
        <v>723</v>
      </c>
      <c r="AQ18" s="68">
        <v>701</v>
      </c>
      <c r="AR18" s="68">
        <v>727</v>
      </c>
      <c r="AS18" s="68">
        <v>737</v>
      </c>
      <c r="AT18" s="68">
        <v>766</v>
      </c>
      <c r="AU18" s="68">
        <v>766</v>
      </c>
      <c r="AV18" s="68">
        <v>757</v>
      </c>
      <c r="AW18" s="68">
        <v>605</v>
      </c>
      <c r="AX18" s="68">
        <v>639</v>
      </c>
      <c r="AY18" s="68">
        <v>676</v>
      </c>
      <c r="AZ18" s="68">
        <v>681</v>
      </c>
      <c r="BA18" s="68">
        <v>683</v>
      </c>
      <c r="BB18" s="68">
        <v>737</v>
      </c>
      <c r="BC18" s="68">
        <v>701</v>
      </c>
      <c r="BD18" s="68">
        <v>711</v>
      </c>
      <c r="BE18" s="68">
        <v>737</v>
      </c>
      <c r="BF18" s="68">
        <v>737</v>
      </c>
      <c r="BG18" s="68">
        <v>635</v>
      </c>
      <c r="BH18" s="68">
        <v>708</v>
      </c>
      <c r="BI18" s="68">
        <v>708</v>
      </c>
      <c r="BJ18" s="68">
        <v>737</v>
      </c>
      <c r="BK18" s="68">
        <v>737</v>
      </c>
      <c r="BL18" s="68">
        <v>737</v>
      </c>
      <c r="BM18" s="68">
        <v>737</v>
      </c>
      <c r="BN18" s="68">
        <v>737</v>
      </c>
      <c r="BO18" s="68">
        <v>737</v>
      </c>
      <c r="BP18" s="68">
        <v>737</v>
      </c>
      <c r="BQ18" s="68">
        <v>589</v>
      </c>
      <c r="BR18" s="68">
        <v>557</v>
      </c>
      <c r="BS18" s="68">
        <v>590</v>
      </c>
      <c r="BT18" s="68">
        <v>683</v>
      </c>
      <c r="BU18" s="68">
        <v>634</v>
      </c>
      <c r="BV18" s="68">
        <v>608</v>
      </c>
      <c r="BW18" s="68">
        <v>647</v>
      </c>
      <c r="BX18" s="68">
        <v>708</v>
      </c>
      <c r="BY18" s="68">
        <v>737</v>
      </c>
      <c r="BZ18" s="68">
        <v>737</v>
      </c>
      <c r="CA18" s="68">
        <v>589</v>
      </c>
      <c r="CB18" s="68">
        <v>557</v>
      </c>
      <c r="CC18" s="68">
        <v>557</v>
      </c>
      <c r="CD18" s="68">
        <v>557</v>
      </c>
      <c r="CE18" s="68">
        <v>723</v>
      </c>
      <c r="CF18" s="68">
        <v>698</v>
      </c>
      <c r="CG18" s="68">
        <v>707</v>
      </c>
      <c r="CH18" s="68">
        <v>737</v>
      </c>
      <c r="CI18" s="68">
        <v>737</v>
      </c>
      <c r="CJ18" s="68">
        <v>737</v>
      </c>
    </row>
    <row r="19" spans="1:88" ht="15" customHeight="1">
      <c r="A19" s="2">
        <v>4900</v>
      </c>
      <c r="B19" s="2">
        <v>2.8</v>
      </c>
      <c r="C19" s="2">
        <v>7</v>
      </c>
      <c r="D19" s="2"/>
      <c r="E19" s="68">
        <v>599</v>
      </c>
      <c r="F19" s="68">
        <v>599</v>
      </c>
      <c r="G19" s="68">
        <v>599</v>
      </c>
      <c r="H19" s="68">
        <v>599</v>
      </c>
      <c r="I19" s="68">
        <v>599</v>
      </c>
      <c r="J19" s="68">
        <v>603</v>
      </c>
      <c r="K19" s="68">
        <v>599</v>
      </c>
      <c r="L19" s="68">
        <v>599</v>
      </c>
      <c r="M19" s="68">
        <v>645</v>
      </c>
      <c r="N19" s="68">
        <v>645</v>
      </c>
      <c r="O19" s="68">
        <v>655</v>
      </c>
      <c r="P19" s="68">
        <v>640</v>
      </c>
      <c r="Q19" s="68">
        <v>599</v>
      </c>
      <c r="R19" s="68">
        <v>599</v>
      </c>
      <c r="S19" s="68">
        <v>645</v>
      </c>
      <c r="T19" s="68">
        <v>725</v>
      </c>
      <c r="U19" s="68">
        <v>677</v>
      </c>
      <c r="V19" s="68">
        <v>748</v>
      </c>
      <c r="W19" s="68">
        <v>748</v>
      </c>
      <c r="X19" s="68">
        <v>793</v>
      </c>
      <c r="Y19" s="68">
        <v>760</v>
      </c>
      <c r="Z19" s="68">
        <v>793</v>
      </c>
      <c r="AA19" s="68">
        <v>793</v>
      </c>
      <c r="AB19" s="68">
        <v>793</v>
      </c>
      <c r="AC19" s="68">
        <v>825</v>
      </c>
      <c r="AD19" s="68">
        <v>825</v>
      </c>
      <c r="AE19" s="68">
        <v>820</v>
      </c>
      <c r="AF19" s="68">
        <v>825</v>
      </c>
      <c r="AG19" s="68">
        <v>825</v>
      </c>
      <c r="AH19" s="68">
        <v>825</v>
      </c>
      <c r="AI19" s="68">
        <v>825</v>
      </c>
      <c r="AJ19" s="68">
        <v>825</v>
      </c>
      <c r="AK19" s="68">
        <v>825</v>
      </c>
      <c r="AL19" s="68">
        <v>825</v>
      </c>
      <c r="AM19" s="68">
        <v>678</v>
      </c>
      <c r="AN19" s="68">
        <v>659</v>
      </c>
      <c r="AO19" s="68">
        <v>705</v>
      </c>
      <c r="AP19" s="68">
        <v>763</v>
      </c>
      <c r="AQ19" s="68">
        <v>741</v>
      </c>
      <c r="AR19" s="68">
        <v>768</v>
      </c>
      <c r="AS19" s="68">
        <v>793</v>
      </c>
      <c r="AT19" s="68">
        <v>825</v>
      </c>
      <c r="AU19" s="68">
        <v>825</v>
      </c>
      <c r="AV19" s="68">
        <v>798</v>
      </c>
      <c r="AW19" s="68">
        <v>645</v>
      </c>
      <c r="AX19" s="68">
        <v>681</v>
      </c>
      <c r="AY19" s="68">
        <v>716</v>
      </c>
      <c r="AZ19" s="68">
        <v>722</v>
      </c>
      <c r="BA19" s="68">
        <v>725</v>
      </c>
      <c r="BB19" s="68">
        <v>793</v>
      </c>
      <c r="BC19" s="68">
        <v>741</v>
      </c>
      <c r="BD19" s="68">
        <v>753</v>
      </c>
      <c r="BE19" s="68">
        <v>793</v>
      </c>
      <c r="BF19" s="68">
        <v>793</v>
      </c>
      <c r="BG19" s="68">
        <v>677</v>
      </c>
      <c r="BH19" s="68">
        <v>750</v>
      </c>
      <c r="BI19" s="68">
        <v>760</v>
      </c>
      <c r="BJ19" s="68">
        <v>793</v>
      </c>
      <c r="BK19" s="68">
        <v>793</v>
      </c>
      <c r="BL19" s="68">
        <v>793</v>
      </c>
      <c r="BM19" s="68">
        <v>793</v>
      </c>
      <c r="BN19" s="68">
        <v>793</v>
      </c>
      <c r="BO19" s="68">
        <v>793</v>
      </c>
      <c r="BP19" s="68">
        <v>793</v>
      </c>
      <c r="BQ19" s="68">
        <v>599</v>
      </c>
      <c r="BR19" s="68">
        <v>599</v>
      </c>
      <c r="BS19" s="68">
        <v>631</v>
      </c>
      <c r="BT19" s="68">
        <v>725</v>
      </c>
      <c r="BU19" s="68">
        <v>675</v>
      </c>
      <c r="BV19" s="68">
        <v>649</v>
      </c>
      <c r="BW19" s="68">
        <v>688</v>
      </c>
      <c r="BX19" s="68">
        <v>760</v>
      </c>
      <c r="BY19" s="68">
        <v>793</v>
      </c>
      <c r="BZ19" s="68">
        <v>793</v>
      </c>
      <c r="CA19" s="68">
        <v>599</v>
      </c>
      <c r="CB19" s="68">
        <v>599</v>
      </c>
      <c r="CC19" s="68">
        <v>599</v>
      </c>
      <c r="CD19" s="68">
        <v>599</v>
      </c>
      <c r="CE19" s="68">
        <v>763</v>
      </c>
      <c r="CF19" s="68">
        <v>739</v>
      </c>
      <c r="CG19" s="68">
        <v>749</v>
      </c>
      <c r="CH19" s="68">
        <v>793</v>
      </c>
      <c r="CI19" s="68">
        <v>793</v>
      </c>
      <c r="CJ19" s="68">
        <v>793</v>
      </c>
    </row>
    <row r="20" spans="1:88" ht="15" customHeight="1">
      <c r="A20" s="2">
        <v>5250</v>
      </c>
      <c r="B20" s="2">
        <v>3</v>
      </c>
      <c r="C20" s="2"/>
      <c r="D20" s="2">
        <v>6</v>
      </c>
      <c r="E20" s="68">
        <v>638</v>
      </c>
      <c r="F20" s="68">
        <v>638</v>
      </c>
      <c r="G20" s="68">
        <v>638</v>
      </c>
      <c r="H20" s="68">
        <v>638</v>
      </c>
      <c r="I20" s="68">
        <v>638</v>
      </c>
      <c r="J20" s="68">
        <v>642</v>
      </c>
      <c r="K20" s="68">
        <v>638</v>
      </c>
      <c r="L20" s="68">
        <v>638</v>
      </c>
      <c r="M20" s="68">
        <v>684</v>
      </c>
      <c r="N20" s="68">
        <v>684</v>
      </c>
      <c r="O20" s="68">
        <v>694</v>
      </c>
      <c r="P20" s="68">
        <v>680</v>
      </c>
      <c r="Q20" s="68">
        <v>638</v>
      </c>
      <c r="R20" s="68">
        <v>638</v>
      </c>
      <c r="S20" s="68">
        <v>684</v>
      </c>
      <c r="T20" s="68">
        <v>763</v>
      </c>
      <c r="U20" s="68">
        <v>715</v>
      </c>
      <c r="V20" s="68">
        <v>786</v>
      </c>
      <c r="W20" s="68">
        <v>786</v>
      </c>
      <c r="X20" s="68">
        <v>853</v>
      </c>
      <c r="Y20" s="68">
        <v>820</v>
      </c>
      <c r="Z20" s="68">
        <v>853</v>
      </c>
      <c r="AA20" s="68">
        <v>853</v>
      </c>
      <c r="AB20" s="68">
        <v>853</v>
      </c>
      <c r="AC20" s="68">
        <v>889</v>
      </c>
      <c r="AD20" s="68">
        <v>871</v>
      </c>
      <c r="AE20" s="68">
        <v>857</v>
      </c>
      <c r="AF20" s="68">
        <v>889</v>
      </c>
      <c r="AG20" s="68">
        <v>889</v>
      </c>
      <c r="AH20" s="68">
        <v>889</v>
      </c>
      <c r="AI20" s="68">
        <v>889</v>
      </c>
      <c r="AJ20" s="68">
        <v>889</v>
      </c>
      <c r="AK20" s="68">
        <v>889</v>
      </c>
      <c r="AL20" s="68">
        <v>889</v>
      </c>
      <c r="AM20" s="68">
        <v>717</v>
      </c>
      <c r="AN20" s="68">
        <v>698</v>
      </c>
      <c r="AO20" s="68">
        <v>743</v>
      </c>
      <c r="AP20" s="68">
        <v>803</v>
      </c>
      <c r="AQ20" s="68">
        <v>781</v>
      </c>
      <c r="AR20" s="68">
        <v>806</v>
      </c>
      <c r="AS20" s="68">
        <v>853</v>
      </c>
      <c r="AT20" s="68">
        <v>889</v>
      </c>
      <c r="AU20" s="68">
        <v>889</v>
      </c>
      <c r="AV20" s="68">
        <v>838</v>
      </c>
      <c r="AW20" s="68">
        <v>684</v>
      </c>
      <c r="AX20" s="68">
        <v>719</v>
      </c>
      <c r="AY20" s="68">
        <v>756</v>
      </c>
      <c r="AZ20" s="68">
        <v>761</v>
      </c>
      <c r="BA20" s="68">
        <v>763</v>
      </c>
      <c r="BB20" s="68">
        <v>836</v>
      </c>
      <c r="BC20" s="68">
        <v>781</v>
      </c>
      <c r="BD20" s="68">
        <v>792</v>
      </c>
      <c r="BE20" s="68">
        <v>839</v>
      </c>
      <c r="BF20" s="68">
        <v>838</v>
      </c>
      <c r="BG20" s="68">
        <v>715</v>
      </c>
      <c r="BH20" s="68">
        <v>789</v>
      </c>
      <c r="BI20" s="68">
        <v>820</v>
      </c>
      <c r="BJ20" s="68">
        <v>853</v>
      </c>
      <c r="BK20" s="68">
        <v>852</v>
      </c>
      <c r="BL20" s="68">
        <v>853</v>
      </c>
      <c r="BM20" s="68">
        <v>853</v>
      </c>
      <c r="BN20" s="68">
        <v>853</v>
      </c>
      <c r="BO20" s="68">
        <v>853</v>
      </c>
      <c r="BP20" s="68">
        <v>853</v>
      </c>
      <c r="BQ20" s="68">
        <v>638</v>
      </c>
      <c r="BR20" s="68">
        <v>638</v>
      </c>
      <c r="BS20" s="68">
        <v>670</v>
      </c>
      <c r="BT20" s="68">
        <v>763</v>
      </c>
      <c r="BU20" s="68">
        <v>714</v>
      </c>
      <c r="BV20" s="68">
        <v>688</v>
      </c>
      <c r="BW20" s="68">
        <v>727</v>
      </c>
      <c r="BX20" s="68">
        <v>820</v>
      </c>
      <c r="BY20" s="68">
        <v>853</v>
      </c>
      <c r="BZ20" s="68">
        <v>853</v>
      </c>
      <c r="CA20" s="68">
        <v>638</v>
      </c>
      <c r="CB20" s="68">
        <v>638</v>
      </c>
      <c r="CC20" s="68">
        <v>638</v>
      </c>
      <c r="CD20" s="68">
        <v>638</v>
      </c>
      <c r="CE20" s="68">
        <v>803</v>
      </c>
      <c r="CF20" s="68">
        <v>778</v>
      </c>
      <c r="CG20" s="68">
        <v>787</v>
      </c>
      <c r="CH20" s="68">
        <v>839</v>
      </c>
      <c r="CI20" s="68">
        <v>847</v>
      </c>
      <c r="CJ20" s="68">
        <v>853</v>
      </c>
    </row>
    <row r="21" spans="1:88" ht="15" customHeight="1">
      <c r="A21" s="2">
        <v>5600</v>
      </c>
      <c r="B21" s="2">
        <v>3.2</v>
      </c>
      <c r="C21" s="2">
        <v>8</v>
      </c>
      <c r="D21" s="2"/>
      <c r="E21" s="68">
        <v>670</v>
      </c>
      <c r="F21" s="68">
        <v>670</v>
      </c>
      <c r="G21" s="68">
        <v>670</v>
      </c>
      <c r="H21" s="68">
        <v>670</v>
      </c>
      <c r="I21" s="68">
        <v>670</v>
      </c>
      <c r="J21" s="68">
        <v>673</v>
      </c>
      <c r="K21" s="68">
        <v>670</v>
      </c>
      <c r="L21" s="68">
        <v>670</v>
      </c>
      <c r="M21" s="68">
        <v>715</v>
      </c>
      <c r="N21" s="68">
        <v>715</v>
      </c>
      <c r="O21" s="68">
        <v>725</v>
      </c>
      <c r="P21" s="68">
        <v>711</v>
      </c>
      <c r="Q21" s="68">
        <v>670</v>
      </c>
      <c r="R21" s="68">
        <v>670</v>
      </c>
      <c r="S21" s="68">
        <v>715</v>
      </c>
      <c r="T21" s="68">
        <v>796</v>
      </c>
      <c r="U21" s="68">
        <v>747</v>
      </c>
      <c r="V21" s="68">
        <v>818</v>
      </c>
      <c r="W21" s="68">
        <v>818</v>
      </c>
      <c r="X21" s="68">
        <v>886</v>
      </c>
      <c r="Y21" s="68">
        <v>852</v>
      </c>
      <c r="Z21" s="68">
        <v>887</v>
      </c>
      <c r="AA21" s="68">
        <v>896</v>
      </c>
      <c r="AB21" s="68">
        <v>896</v>
      </c>
      <c r="AC21" s="68">
        <v>934</v>
      </c>
      <c r="AD21" s="68">
        <v>902</v>
      </c>
      <c r="AE21" s="68">
        <v>890</v>
      </c>
      <c r="AF21" s="68">
        <v>934</v>
      </c>
      <c r="AG21" s="68">
        <v>934</v>
      </c>
      <c r="AH21" s="68">
        <v>934</v>
      </c>
      <c r="AI21" s="68">
        <v>934</v>
      </c>
      <c r="AJ21" s="68">
        <v>934</v>
      </c>
      <c r="AK21" s="68">
        <v>934</v>
      </c>
      <c r="AL21" s="68">
        <v>934</v>
      </c>
      <c r="AM21" s="68">
        <v>749</v>
      </c>
      <c r="AN21" s="68">
        <v>729</v>
      </c>
      <c r="AO21" s="68">
        <v>775</v>
      </c>
      <c r="AP21" s="68">
        <v>834</v>
      </c>
      <c r="AQ21" s="68">
        <v>811</v>
      </c>
      <c r="AR21" s="68">
        <v>839</v>
      </c>
      <c r="AS21" s="68">
        <v>893</v>
      </c>
      <c r="AT21" s="68">
        <v>921</v>
      </c>
      <c r="AU21" s="68">
        <v>934</v>
      </c>
      <c r="AV21" s="68">
        <v>869</v>
      </c>
      <c r="AW21" s="68">
        <v>715</v>
      </c>
      <c r="AX21" s="68">
        <v>751</v>
      </c>
      <c r="AY21" s="68">
        <v>787</v>
      </c>
      <c r="AZ21" s="68">
        <v>793</v>
      </c>
      <c r="BA21" s="68">
        <v>796</v>
      </c>
      <c r="BB21" s="68">
        <v>868</v>
      </c>
      <c r="BC21" s="68">
        <v>811</v>
      </c>
      <c r="BD21" s="68">
        <v>824</v>
      </c>
      <c r="BE21" s="68">
        <v>870</v>
      </c>
      <c r="BF21" s="68">
        <v>869</v>
      </c>
      <c r="BG21" s="68">
        <v>747</v>
      </c>
      <c r="BH21" s="68">
        <v>821</v>
      </c>
      <c r="BI21" s="68">
        <v>854</v>
      </c>
      <c r="BJ21" s="68">
        <v>896</v>
      </c>
      <c r="BK21" s="68">
        <v>884</v>
      </c>
      <c r="BL21" s="68">
        <v>896</v>
      </c>
      <c r="BM21" s="68">
        <v>896</v>
      </c>
      <c r="BN21" s="68">
        <v>891</v>
      </c>
      <c r="BO21" s="68">
        <v>896</v>
      </c>
      <c r="BP21" s="68">
        <v>896</v>
      </c>
      <c r="BQ21" s="68">
        <v>670</v>
      </c>
      <c r="BR21" s="68">
        <v>670</v>
      </c>
      <c r="BS21" s="68">
        <v>702</v>
      </c>
      <c r="BT21" s="68">
        <v>796</v>
      </c>
      <c r="BU21" s="68">
        <v>746</v>
      </c>
      <c r="BV21" s="68">
        <v>719</v>
      </c>
      <c r="BW21" s="68">
        <v>758</v>
      </c>
      <c r="BX21" s="68">
        <v>862</v>
      </c>
      <c r="BY21" s="68">
        <v>896</v>
      </c>
      <c r="BZ21" s="68">
        <v>896</v>
      </c>
      <c r="CA21" s="68">
        <v>670</v>
      </c>
      <c r="CB21" s="68">
        <v>670</v>
      </c>
      <c r="CC21" s="68">
        <v>670</v>
      </c>
      <c r="CD21" s="68">
        <v>670</v>
      </c>
      <c r="CE21" s="68">
        <v>834</v>
      </c>
      <c r="CF21" s="68">
        <v>809</v>
      </c>
      <c r="CG21" s="68">
        <v>820</v>
      </c>
      <c r="CH21" s="68">
        <v>870</v>
      </c>
      <c r="CI21" s="68">
        <v>878</v>
      </c>
      <c r="CJ21" s="68">
        <v>896</v>
      </c>
    </row>
    <row r="22" spans="1:88" ht="15" customHeight="1">
      <c r="A22" s="2">
        <v>6125</v>
      </c>
      <c r="B22" s="2">
        <v>3.5</v>
      </c>
      <c r="C22" s="2"/>
      <c r="D22" s="2">
        <v>7</v>
      </c>
      <c r="E22" s="68">
        <v>718</v>
      </c>
      <c r="F22" s="68">
        <v>718</v>
      </c>
      <c r="G22" s="68">
        <v>718</v>
      </c>
      <c r="H22" s="68">
        <v>718</v>
      </c>
      <c r="I22" s="68">
        <v>718</v>
      </c>
      <c r="J22" s="68">
        <v>723</v>
      </c>
      <c r="K22" s="68">
        <v>718</v>
      </c>
      <c r="L22" s="68">
        <v>718</v>
      </c>
      <c r="M22" s="68">
        <v>763</v>
      </c>
      <c r="N22" s="68">
        <v>763</v>
      </c>
      <c r="O22" s="68">
        <v>774</v>
      </c>
      <c r="P22" s="68">
        <v>760</v>
      </c>
      <c r="Q22" s="68">
        <v>718</v>
      </c>
      <c r="R22" s="68">
        <v>718</v>
      </c>
      <c r="S22" s="68">
        <v>763</v>
      </c>
      <c r="T22" s="68">
        <v>844</v>
      </c>
      <c r="U22" s="68">
        <v>796</v>
      </c>
      <c r="V22" s="68">
        <v>867</v>
      </c>
      <c r="W22" s="68">
        <v>867</v>
      </c>
      <c r="X22" s="68">
        <v>934</v>
      </c>
      <c r="Y22" s="68">
        <v>900</v>
      </c>
      <c r="Z22" s="68">
        <v>936</v>
      </c>
      <c r="AA22" s="68">
        <v>952</v>
      </c>
      <c r="AB22" s="68">
        <v>975</v>
      </c>
      <c r="AC22" s="68">
        <v>1012</v>
      </c>
      <c r="AD22" s="68">
        <v>951</v>
      </c>
      <c r="AE22" s="68">
        <v>938</v>
      </c>
      <c r="AF22" s="68">
        <v>1018</v>
      </c>
      <c r="AG22" s="68">
        <v>1005</v>
      </c>
      <c r="AH22" s="68">
        <v>1018</v>
      </c>
      <c r="AI22" s="68">
        <v>1018</v>
      </c>
      <c r="AJ22" s="68">
        <v>1018</v>
      </c>
      <c r="AK22" s="68">
        <v>1018</v>
      </c>
      <c r="AL22" s="68">
        <v>1018</v>
      </c>
      <c r="AM22" s="68">
        <v>797</v>
      </c>
      <c r="AN22" s="68">
        <v>778</v>
      </c>
      <c r="AO22" s="68">
        <v>824</v>
      </c>
      <c r="AP22" s="68">
        <v>884</v>
      </c>
      <c r="AQ22" s="68">
        <v>862</v>
      </c>
      <c r="AR22" s="68">
        <v>887</v>
      </c>
      <c r="AS22" s="68">
        <v>942</v>
      </c>
      <c r="AT22" s="68">
        <v>970</v>
      </c>
      <c r="AU22" s="68">
        <v>986</v>
      </c>
      <c r="AV22" s="68">
        <v>918</v>
      </c>
      <c r="AW22" s="68">
        <v>763</v>
      </c>
      <c r="AX22" s="68">
        <v>800</v>
      </c>
      <c r="AY22" s="68">
        <v>836</v>
      </c>
      <c r="AZ22" s="68">
        <v>842</v>
      </c>
      <c r="BA22" s="68">
        <v>844</v>
      </c>
      <c r="BB22" s="68">
        <v>917</v>
      </c>
      <c r="BC22" s="68">
        <v>862</v>
      </c>
      <c r="BD22" s="68">
        <v>872</v>
      </c>
      <c r="BE22" s="68">
        <v>919</v>
      </c>
      <c r="BF22" s="68">
        <v>918</v>
      </c>
      <c r="BG22" s="68">
        <v>796</v>
      </c>
      <c r="BH22" s="68">
        <v>870</v>
      </c>
      <c r="BI22" s="68">
        <v>904</v>
      </c>
      <c r="BJ22" s="68">
        <v>963</v>
      </c>
      <c r="BK22" s="68">
        <v>933</v>
      </c>
      <c r="BL22" s="68">
        <v>977</v>
      </c>
      <c r="BM22" s="68">
        <v>963</v>
      </c>
      <c r="BN22" s="68">
        <v>940</v>
      </c>
      <c r="BO22" s="68">
        <v>977</v>
      </c>
      <c r="BP22" s="68">
        <v>977</v>
      </c>
      <c r="BQ22" s="68">
        <v>718</v>
      </c>
      <c r="BR22" s="68">
        <v>718</v>
      </c>
      <c r="BS22" s="68">
        <v>751</v>
      </c>
      <c r="BT22" s="68">
        <v>844</v>
      </c>
      <c r="BU22" s="68">
        <v>795</v>
      </c>
      <c r="BV22" s="68">
        <v>768</v>
      </c>
      <c r="BW22" s="68">
        <v>807</v>
      </c>
      <c r="BX22" s="68">
        <v>930</v>
      </c>
      <c r="BY22" s="68">
        <v>967</v>
      </c>
      <c r="BZ22" s="68">
        <v>977</v>
      </c>
      <c r="CA22" s="68">
        <v>718</v>
      </c>
      <c r="CB22" s="68">
        <v>718</v>
      </c>
      <c r="CC22" s="68">
        <v>718</v>
      </c>
      <c r="CD22" s="68">
        <v>718</v>
      </c>
      <c r="CE22" s="68">
        <v>884</v>
      </c>
      <c r="CF22" s="68">
        <v>857</v>
      </c>
      <c r="CG22" s="68">
        <v>868</v>
      </c>
      <c r="CH22" s="68">
        <v>919</v>
      </c>
      <c r="CI22" s="68">
        <v>927</v>
      </c>
      <c r="CJ22" s="68">
        <v>977</v>
      </c>
    </row>
    <row r="23" spans="1:88" ht="15" customHeight="1">
      <c r="A23" s="2">
        <v>6300</v>
      </c>
      <c r="B23" s="2">
        <v>3.6</v>
      </c>
      <c r="C23" s="2">
        <v>9</v>
      </c>
      <c r="D23" s="2"/>
      <c r="E23" s="68">
        <v>733</v>
      </c>
      <c r="F23" s="68">
        <v>733</v>
      </c>
      <c r="G23" s="68">
        <v>733</v>
      </c>
      <c r="H23" s="68">
        <v>733</v>
      </c>
      <c r="I23" s="68">
        <v>733</v>
      </c>
      <c r="J23" s="68">
        <v>737</v>
      </c>
      <c r="K23" s="68">
        <v>733</v>
      </c>
      <c r="L23" s="68">
        <v>733</v>
      </c>
      <c r="M23" s="68">
        <v>778</v>
      </c>
      <c r="N23" s="68">
        <v>778</v>
      </c>
      <c r="O23" s="68">
        <v>787</v>
      </c>
      <c r="P23" s="68">
        <v>774</v>
      </c>
      <c r="Q23" s="68">
        <v>733</v>
      </c>
      <c r="R23" s="68">
        <v>733</v>
      </c>
      <c r="S23" s="68">
        <v>778</v>
      </c>
      <c r="T23" s="68">
        <v>857</v>
      </c>
      <c r="U23" s="68">
        <v>809</v>
      </c>
      <c r="V23" s="68">
        <v>880</v>
      </c>
      <c r="W23" s="68">
        <v>880</v>
      </c>
      <c r="X23" s="68">
        <v>948</v>
      </c>
      <c r="Y23" s="68">
        <v>915</v>
      </c>
      <c r="Z23" s="68">
        <v>949</v>
      </c>
      <c r="AA23" s="68">
        <v>966</v>
      </c>
      <c r="AB23" s="68">
        <v>990</v>
      </c>
      <c r="AC23" s="68">
        <v>1026</v>
      </c>
      <c r="AD23" s="68">
        <v>965</v>
      </c>
      <c r="AE23" s="68">
        <v>952</v>
      </c>
      <c r="AF23" s="68">
        <v>1035</v>
      </c>
      <c r="AG23" s="68">
        <v>1018</v>
      </c>
      <c r="AH23" s="68">
        <v>1035</v>
      </c>
      <c r="AI23" s="68">
        <v>1035</v>
      </c>
      <c r="AJ23" s="68">
        <v>1035</v>
      </c>
      <c r="AK23" s="68">
        <v>1035</v>
      </c>
      <c r="AL23" s="68">
        <v>1035</v>
      </c>
      <c r="AM23" s="68">
        <v>810</v>
      </c>
      <c r="AN23" s="68">
        <v>792</v>
      </c>
      <c r="AO23" s="68">
        <v>838</v>
      </c>
      <c r="AP23" s="68">
        <v>896</v>
      </c>
      <c r="AQ23" s="68">
        <v>875</v>
      </c>
      <c r="AR23" s="68">
        <v>900</v>
      </c>
      <c r="AS23" s="68">
        <v>957</v>
      </c>
      <c r="AT23" s="68">
        <v>984</v>
      </c>
      <c r="AU23" s="68">
        <v>1001</v>
      </c>
      <c r="AV23" s="68">
        <v>932</v>
      </c>
      <c r="AW23" s="68">
        <v>778</v>
      </c>
      <c r="AX23" s="68">
        <v>814</v>
      </c>
      <c r="AY23" s="68">
        <v>849</v>
      </c>
      <c r="AZ23" s="68">
        <v>855</v>
      </c>
      <c r="BA23" s="68">
        <v>857</v>
      </c>
      <c r="BB23" s="68">
        <v>930</v>
      </c>
      <c r="BC23" s="68">
        <v>875</v>
      </c>
      <c r="BD23" s="68">
        <v>886</v>
      </c>
      <c r="BE23" s="68">
        <v>933</v>
      </c>
      <c r="BF23" s="68">
        <v>932</v>
      </c>
      <c r="BG23" s="68">
        <v>809</v>
      </c>
      <c r="BH23" s="68">
        <v>882</v>
      </c>
      <c r="BI23" s="68">
        <v>918</v>
      </c>
      <c r="BJ23" s="68">
        <v>977</v>
      </c>
      <c r="BK23" s="68">
        <v>947</v>
      </c>
      <c r="BL23" s="68">
        <v>993</v>
      </c>
      <c r="BM23" s="68">
        <v>977</v>
      </c>
      <c r="BN23" s="68">
        <v>954</v>
      </c>
      <c r="BO23" s="68">
        <v>993</v>
      </c>
      <c r="BP23" s="68">
        <v>993</v>
      </c>
      <c r="BQ23" s="68">
        <v>733</v>
      </c>
      <c r="BR23" s="68">
        <v>733</v>
      </c>
      <c r="BS23" s="68">
        <v>763</v>
      </c>
      <c r="BT23" s="68">
        <v>857</v>
      </c>
      <c r="BU23" s="68">
        <v>808</v>
      </c>
      <c r="BV23" s="68">
        <v>782</v>
      </c>
      <c r="BW23" s="68">
        <v>821</v>
      </c>
      <c r="BX23" s="68">
        <v>943</v>
      </c>
      <c r="BY23" s="68">
        <v>981</v>
      </c>
      <c r="BZ23" s="68">
        <v>993</v>
      </c>
      <c r="CA23" s="68">
        <v>733</v>
      </c>
      <c r="CB23" s="68">
        <v>733</v>
      </c>
      <c r="CC23" s="68">
        <v>733</v>
      </c>
      <c r="CD23" s="68">
        <v>733</v>
      </c>
      <c r="CE23" s="68">
        <v>896</v>
      </c>
      <c r="CF23" s="68">
        <v>872</v>
      </c>
      <c r="CG23" s="68">
        <v>881</v>
      </c>
      <c r="CH23" s="68">
        <v>933</v>
      </c>
      <c r="CI23" s="68">
        <v>941</v>
      </c>
      <c r="CJ23" s="68">
        <v>993</v>
      </c>
    </row>
    <row r="24" spans="1:88" ht="15" customHeight="1">
      <c r="A24" s="2">
        <v>7000</v>
      </c>
      <c r="B24" s="2">
        <v>4</v>
      </c>
      <c r="C24" s="2">
        <v>10</v>
      </c>
      <c r="D24" s="2">
        <v>8</v>
      </c>
      <c r="E24" s="68">
        <v>796</v>
      </c>
      <c r="F24" s="68">
        <v>796</v>
      </c>
      <c r="G24" s="68">
        <v>796</v>
      </c>
      <c r="H24" s="68">
        <v>796</v>
      </c>
      <c r="I24" s="68">
        <v>796</v>
      </c>
      <c r="J24" s="68">
        <v>799</v>
      </c>
      <c r="K24" s="68">
        <v>796</v>
      </c>
      <c r="L24" s="68">
        <v>796</v>
      </c>
      <c r="M24" s="68">
        <v>841</v>
      </c>
      <c r="N24" s="68">
        <v>841</v>
      </c>
      <c r="O24" s="68">
        <v>850</v>
      </c>
      <c r="P24" s="68">
        <v>836</v>
      </c>
      <c r="Q24" s="68">
        <v>796</v>
      </c>
      <c r="R24" s="68">
        <v>796</v>
      </c>
      <c r="S24" s="68">
        <v>841</v>
      </c>
      <c r="T24" s="68">
        <v>921</v>
      </c>
      <c r="U24" s="68">
        <v>873</v>
      </c>
      <c r="V24" s="68">
        <v>942</v>
      </c>
      <c r="W24" s="68">
        <v>942</v>
      </c>
      <c r="X24" s="68">
        <v>1011</v>
      </c>
      <c r="Y24" s="68">
        <v>978</v>
      </c>
      <c r="Z24" s="68">
        <v>1012</v>
      </c>
      <c r="AA24" s="68">
        <v>1029</v>
      </c>
      <c r="AB24" s="68">
        <v>1052</v>
      </c>
      <c r="AC24" s="68">
        <v>1088</v>
      </c>
      <c r="AD24" s="68">
        <v>1027</v>
      </c>
      <c r="AE24" s="68">
        <v>1015</v>
      </c>
      <c r="AF24" s="68">
        <v>1130</v>
      </c>
      <c r="AG24" s="68">
        <v>1082</v>
      </c>
      <c r="AH24" s="68">
        <v>1099</v>
      </c>
      <c r="AI24" s="68">
        <v>1136</v>
      </c>
      <c r="AJ24" s="68">
        <v>1136</v>
      </c>
      <c r="AK24" s="68">
        <v>1136</v>
      </c>
      <c r="AL24" s="68">
        <v>1136</v>
      </c>
      <c r="AM24" s="68">
        <v>874</v>
      </c>
      <c r="AN24" s="68">
        <v>854</v>
      </c>
      <c r="AO24" s="68">
        <v>899</v>
      </c>
      <c r="AP24" s="68">
        <v>960</v>
      </c>
      <c r="AQ24" s="68">
        <v>937</v>
      </c>
      <c r="AR24" s="68">
        <v>964</v>
      </c>
      <c r="AS24" s="68">
        <v>1018</v>
      </c>
      <c r="AT24" s="68">
        <v>1047</v>
      </c>
      <c r="AU24" s="68">
        <v>1063</v>
      </c>
      <c r="AV24" s="68">
        <v>994</v>
      </c>
      <c r="AW24" s="68">
        <v>841</v>
      </c>
      <c r="AX24" s="68">
        <v>876</v>
      </c>
      <c r="AY24" s="68">
        <v>913</v>
      </c>
      <c r="AZ24" s="68">
        <v>918</v>
      </c>
      <c r="BA24" s="68">
        <v>921</v>
      </c>
      <c r="BB24" s="68">
        <v>993</v>
      </c>
      <c r="BC24" s="68">
        <v>937</v>
      </c>
      <c r="BD24" s="68">
        <v>949</v>
      </c>
      <c r="BE24" s="68">
        <v>996</v>
      </c>
      <c r="BF24" s="68">
        <v>994</v>
      </c>
      <c r="BG24" s="68">
        <v>873</v>
      </c>
      <c r="BH24" s="68">
        <v>946</v>
      </c>
      <c r="BI24" s="68">
        <v>980</v>
      </c>
      <c r="BJ24" s="68">
        <v>1040</v>
      </c>
      <c r="BK24" s="68">
        <v>1009</v>
      </c>
      <c r="BL24" s="68">
        <v>1080</v>
      </c>
      <c r="BM24" s="68">
        <v>1040</v>
      </c>
      <c r="BN24" s="68">
        <v>1016</v>
      </c>
      <c r="BO24" s="68">
        <v>1055</v>
      </c>
      <c r="BP24" s="68">
        <v>1089</v>
      </c>
      <c r="BQ24" s="68">
        <v>796</v>
      </c>
      <c r="BR24" s="68">
        <v>796</v>
      </c>
      <c r="BS24" s="68">
        <v>827</v>
      </c>
      <c r="BT24" s="68">
        <v>921</v>
      </c>
      <c r="BU24" s="68">
        <v>871</v>
      </c>
      <c r="BV24" s="68">
        <v>845</v>
      </c>
      <c r="BW24" s="68">
        <v>884</v>
      </c>
      <c r="BX24" s="68">
        <v>1007</v>
      </c>
      <c r="BY24" s="68">
        <v>1044</v>
      </c>
      <c r="BZ24" s="68">
        <v>1067</v>
      </c>
      <c r="CA24" s="68">
        <v>796</v>
      </c>
      <c r="CB24" s="68">
        <v>796</v>
      </c>
      <c r="CC24" s="68">
        <v>796</v>
      </c>
      <c r="CD24" s="68">
        <v>796</v>
      </c>
      <c r="CE24" s="68">
        <v>960</v>
      </c>
      <c r="CF24" s="68">
        <v>935</v>
      </c>
      <c r="CG24" s="68">
        <v>945</v>
      </c>
      <c r="CH24" s="68">
        <v>996</v>
      </c>
      <c r="CI24" s="68">
        <v>1004</v>
      </c>
      <c r="CJ24" s="68">
        <v>1067</v>
      </c>
    </row>
    <row r="25" spans="1:88" ht="15" customHeight="1">
      <c r="A25" s="3"/>
      <c r="B25" s="3"/>
      <c r="C25" s="3"/>
      <c r="D25" s="3"/>
    </row>
    <row r="26" spans="1:88" ht="15" customHeight="1">
      <c r="A26" s="4" t="s">
        <v>24</v>
      </c>
      <c r="B26" s="3"/>
      <c r="C26" s="3"/>
      <c r="D26" s="3"/>
    </row>
    <row r="27" spans="1:88" ht="15" customHeight="1">
      <c r="A27" s="3"/>
      <c r="B27" s="3"/>
      <c r="C27" s="3"/>
      <c r="D27" s="3"/>
    </row>
    <row r="28" spans="1:88" ht="15" customHeight="1">
      <c r="A28" s="6" t="s">
        <v>25</v>
      </c>
      <c r="B28" s="40"/>
      <c r="C28" s="225" t="s">
        <v>26</v>
      </c>
      <c r="D28" s="226"/>
      <c r="E28" s="69"/>
      <c r="F28" s="70"/>
      <c r="G28" s="71" t="s">
        <v>27</v>
      </c>
      <c r="H28" s="70"/>
      <c r="I28" s="70"/>
      <c r="J28" s="70"/>
      <c r="K28" s="70"/>
      <c r="L28" s="70"/>
      <c r="M28" s="70"/>
      <c r="N28" s="71"/>
      <c r="O28" s="70"/>
      <c r="P28" s="70"/>
      <c r="Q28" s="70"/>
      <c r="R28" s="70"/>
      <c r="S28" s="70"/>
      <c r="T28" s="71" t="s">
        <v>27</v>
      </c>
      <c r="U28" s="70"/>
      <c r="V28" s="70"/>
      <c r="W28" s="70"/>
      <c r="X28" s="70"/>
      <c r="Y28" s="70"/>
      <c r="Z28" s="70"/>
      <c r="AA28" s="71"/>
      <c r="AB28" s="70"/>
      <c r="AC28" s="70"/>
      <c r="AD28" s="71"/>
      <c r="AE28" s="70"/>
      <c r="AF28" s="71" t="s">
        <v>27</v>
      </c>
      <c r="AG28" s="70"/>
      <c r="AH28" s="70"/>
      <c r="AI28" s="70"/>
      <c r="AJ28" s="70"/>
      <c r="AK28" s="70"/>
      <c r="AL28" s="70"/>
      <c r="AM28" s="70"/>
      <c r="AN28" s="71"/>
      <c r="AO28" s="70"/>
      <c r="AP28" s="70"/>
      <c r="AQ28" s="70"/>
      <c r="AR28" s="71" t="s">
        <v>27</v>
      </c>
      <c r="AS28" s="70"/>
      <c r="AT28" s="71"/>
      <c r="AU28" s="70"/>
      <c r="AV28" s="70"/>
      <c r="AW28" s="70"/>
      <c r="AX28" s="70"/>
      <c r="AY28" s="70"/>
      <c r="AZ28" s="70"/>
      <c r="BA28" s="71"/>
      <c r="BB28" s="70"/>
      <c r="BC28" s="70"/>
      <c r="BD28" s="71" t="s">
        <v>27</v>
      </c>
      <c r="BE28" s="70"/>
      <c r="BF28" s="70"/>
      <c r="BG28" s="70"/>
      <c r="BH28" s="70"/>
      <c r="BI28" s="70"/>
      <c r="BJ28" s="71"/>
      <c r="BK28" s="70"/>
      <c r="BL28" s="70"/>
      <c r="BM28" s="70"/>
      <c r="BN28" s="71"/>
      <c r="BO28" s="70"/>
      <c r="BP28" s="71" t="s">
        <v>27</v>
      </c>
      <c r="BQ28" s="70"/>
      <c r="BR28" s="70"/>
      <c r="BS28" s="70"/>
      <c r="BT28" s="70"/>
      <c r="BU28" s="70"/>
      <c r="BV28" s="70"/>
      <c r="BW28" s="71"/>
      <c r="BX28" s="70"/>
      <c r="BY28" s="70"/>
      <c r="BZ28" s="70"/>
      <c r="CA28" s="71"/>
      <c r="CB28" s="71" t="s">
        <v>27</v>
      </c>
      <c r="CC28" s="70"/>
      <c r="CD28" s="70"/>
      <c r="CE28" s="70"/>
      <c r="CF28" s="70"/>
      <c r="CG28" s="70"/>
      <c r="CH28" s="70"/>
      <c r="CI28" s="70"/>
      <c r="CJ28" s="72"/>
    </row>
    <row r="29" spans="1:88" ht="15" customHeight="1">
      <c r="A29" s="222" t="s">
        <v>28</v>
      </c>
      <c r="B29" s="223"/>
      <c r="C29" s="104" t="s">
        <v>39</v>
      </c>
      <c r="D29" s="114"/>
      <c r="E29" s="74" t="s">
        <v>31</v>
      </c>
      <c r="F29" s="74" t="s">
        <v>31</v>
      </c>
      <c r="G29" s="74" t="s">
        <v>31</v>
      </c>
      <c r="H29" s="74" t="s">
        <v>31</v>
      </c>
      <c r="I29" s="74" t="s">
        <v>31</v>
      </c>
      <c r="J29" s="74" t="s">
        <v>31</v>
      </c>
      <c r="K29" s="74" t="s">
        <v>31</v>
      </c>
      <c r="L29" s="74" t="s">
        <v>31</v>
      </c>
      <c r="M29" s="74" t="s">
        <v>31</v>
      </c>
      <c r="N29" s="74" t="s">
        <v>31</v>
      </c>
      <c r="O29" s="74" t="s">
        <v>31</v>
      </c>
      <c r="P29" s="74" t="s">
        <v>31</v>
      </c>
      <c r="Q29" s="74" t="s">
        <v>31</v>
      </c>
      <c r="R29" s="74" t="s">
        <v>31</v>
      </c>
      <c r="S29" s="74" t="s">
        <v>31</v>
      </c>
      <c r="T29" s="74" t="s">
        <v>31</v>
      </c>
      <c r="U29" s="74" t="s">
        <v>31</v>
      </c>
      <c r="V29" s="74" t="s">
        <v>31</v>
      </c>
      <c r="W29" s="74" t="s">
        <v>31</v>
      </c>
      <c r="X29" s="74" t="s">
        <v>31</v>
      </c>
      <c r="Y29" s="74" t="s">
        <v>31</v>
      </c>
      <c r="Z29" s="74" t="s">
        <v>31</v>
      </c>
      <c r="AA29" s="74" t="s">
        <v>31</v>
      </c>
      <c r="AB29" s="74" t="s">
        <v>31</v>
      </c>
      <c r="AC29" s="74" t="s">
        <v>31</v>
      </c>
      <c r="AD29" s="74" t="s">
        <v>31</v>
      </c>
      <c r="AE29" s="74" t="s">
        <v>31</v>
      </c>
      <c r="AF29" s="74" t="s">
        <v>31</v>
      </c>
      <c r="AG29" s="74" t="s">
        <v>31</v>
      </c>
      <c r="AH29" s="74" t="s">
        <v>31</v>
      </c>
      <c r="AI29" s="74" t="s">
        <v>31</v>
      </c>
      <c r="AJ29" s="74" t="s">
        <v>31</v>
      </c>
      <c r="AK29" s="74" t="s">
        <v>31</v>
      </c>
      <c r="AL29" s="74" t="s">
        <v>31</v>
      </c>
      <c r="AM29" s="74" t="s">
        <v>31</v>
      </c>
      <c r="AN29" s="74" t="s">
        <v>31</v>
      </c>
      <c r="AO29" s="74" t="s">
        <v>31</v>
      </c>
      <c r="AP29" s="74" t="s">
        <v>31</v>
      </c>
      <c r="AQ29" s="74" t="s">
        <v>31</v>
      </c>
      <c r="AR29" s="74" t="s">
        <v>31</v>
      </c>
      <c r="AS29" s="74" t="s">
        <v>31</v>
      </c>
      <c r="AT29" s="74" t="s">
        <v>31</v>
      </c>
      <c r="AU29" s="74" t="s">
        <v>31</v>
      </c>
      <c r="AV29" s="74" t="s">
        <v>31</v>
      </c>
      <c r="AW29" s="74" t="s">
        <v>31</v>
      </c>
      <c r="AX29" s="74" t="s">
        <v>31</v>
      </c>
      <c r="AY29" s="74" t="s">
        <v>31</v>
      </c>
      <c r="AZ29" s="74" t="s">
        <v>31</v>
      </c>
      <c r="BA29" s="74" t="s">
        <v>31</v>
      </c>
      <c r="BB29" s="74" t="s">
        <v>31</v>
      </c>
      <c r="BC29" s="74" t="s">
        <v>31</v>
      </c>
      <c r="BD29" s="74" t="s">
        <v>31</v>
      </c>
      <c r="BE29" s="74" t="s">
        <v>31</v>
      </c>
      <c r="BF29" s="74" t="s">
        <v>31</v>
      </c>
      <c r="BG29" s="74" t="s">
        <v>31</v>
      </c>
      <c r="BH29" s="74" t="s">
        <v>31</v>
      </c>
      <c r="BI29" s="74" t="s">
        <v>31</v>
      </c>
      <c r="BJ29" s="74" t="s">
        <v>31</v>
      </c>
      <c r="BK29" s="74" t="s">
        <v>31</v>
      </c>
      <c r="BL29" s="74" t="s">
        <v>31</v>
      </c>
      <c r="BM29" s="74" t="s">
        <v>31</v>
      </c>
      <c r="BN29" s="74" t="s">
        <v>31</v>
      </c>
      <c r="BO29" s="74" t="s">
        <v>31</v>
      </c>
      <c r="BP29" s="74" t="s">
        <v>31</v>
      </c>
      <c r="BQ29" s="74" t="s">
        <v>31</v>
      </c>
      <c r="BR29" s="74" t="s">
        <v>31</v>
      </c>
      <c r="BS29" s="74" t="s">
        <v>31</v>
      </c>
      <c r="BT29" s="74" t="s">
        <v>31</v>
      </c>
      <c r="BU29" s="74" t="s">
        <v>31</v>
      </c>
      <c r="BV29" s="74" t="s">
        <v>31</v>
      </c>
      <c r="BW29" s="74" t="s">
        <v>31</v>
      </c>
      <c r="BX29" s="74" t="s">
        <v>31</v>
      </c>
      <c r="BY29" s="74" t="s">
        <v>31</v>
      </c>
      <c r="BZ29" s="74" t="s">
        <v>31</v>
      </c>
      <c r="CA29" s="74" t="s">
        <v>31</v>
      </c>
      <c r="CB29" s="74" t="s">
        <v>31</v>
      </c>
      <c r="CC29" s="74" t="s">
        <v>31</v>
      </c>
      <c r="CD29" s="74" t="s">
        <v>31</v>
      </c>
      <c r="CE29" s="74" t="s">
        <v>31</v>
      </c>
      <c r="CF29" s="74" t="s">
        <v>31</v>
      </c>
      <c r="CG29" s="74" t="s">
        <v>31</v>
      </c>
      <c r="CH29" s="74" t="s">
        <v>31</v>
      </c>
      <c r="CI29" s="74" t="s">
        <v>31</v>
      </c>
      <c r="CJ29" s="74" t="s">
        <v>31</v>
      </c>
    </row>
    <row r="30" spans="1:88" ht="15" customHeight="1">
      <c r="A30" s="222" t="s">
        <v>32</v>
      </c>
      <c r="B30" s="223"/>
      <c r="C30" s="6" t="s">
        <v>39</v>
      </c>
      <c r="D30" s="73"/>
      <c r="E30" s="74" t="s">
        <v>31</v>
      </c>
      <c r="F30" s="74" t="s">
        <v>31</v>
      </c>
      <c r="G30" s="74" t="s">
        <v>31</v>
      </c>
      <c r="H30" s="74" t="s">
        <v>31</v>
      </c>
      <c r="I30" s="74" t="s">
        <v>31</v>
      </c>
      <c r="J30" s="74" t="s">
        <v>31</v>
      </c>
      <c r="K30" s="74" t="s">
        <v>31</v>
      </c>
      <c r="L30" s="74" t="s">
        <v>31</v>
      </c>
      <c r="M30" s="74" t="s">
        <v>31</v>
      </c>
      <c r="N30" s="74" t="s">
        <v>31</v>
      </c>
      <c r="O30" s="74" t="s">
        <v>31</v>
      </c>
      <c r="P30" s="74" t="s">
        <v>31</v>
      </c>
      <c r="Q30" s="74" t="s">
        <v>31</v>
      </c>
      <c r="R30" s="74" t="s">
        <v>31</v>
      </c>
      <c r="S30" s="74" t="s">
        <v>31</v>
      </c>
      <c r="T30" s="74" t="s">
        <v>31</v>
      </c>
      <c r="U30" s="74" t="s">
        <v>31</v>
      </c>
      <c r="V30" s="74" t="s">
        <v>31</v>
      </c>
      <c r="W30" s="74" t="s">
        <v>31</v>
      </c>
      <c r="X30" s="74" t="s">
        <v>31</v>
      </c>
      <c r="Y30" s="74" t="s">
        <v>31</v>
      </c>
      <c r="Z30" s="74" t="s">
        <v>31</v>
      </c>
      <c r="AA30" s="74" t="s">
        <v>31</v>
      </c>
      <c r="AB30" s="74" t="s">
        <v>31</v>
      </c>
      <c r="AC30" s="74" t="s">
        <v>31</v>
      </c>
      <c r="AD30" s="74" t="s">
        <v>31</v>
      </c>
      <c r="AE30" s="74" t="s">
        <v>31</v>
      </c>
      <c r="AF30" s="74" t="s">
        <v>31</v>
      </c>
      <c r="AG30" s="74" t="s">
        <v>31</v>
      </c>
      <c r="AH30" s="74" t="s">
        <v>31</v>
      </c>
      <c r="AI30" s="74" t="s">
        <v>31</v>
      </c>
      <c r="AJ30" s="74" t="s">
        <v>31</v>
      </c>
      <c r="AK30" s="74" t="s">
        <v>31</v>
      </c>
      <c r="AL30" s="74" t="s">
        <v>31</v>
      </c>
      <c r="AM30" s="74" t="s">
        <v>31</v>
      </c>
      <c r="AN30" s="74" t="s">
        <v>31</v>
      </c>
      <c r="AO30" s="74" t="s">
        <v>31</v>
      </c>
      <c r="AP30" s="74" t="s">
        <v>31</v>
      </c>
      <c r="AQ30" s="74" t="s">
        <v>31</v>
      </c>
      <c r="AR30" s="74" t="s">
        <v>31</v>
      </c>
      <c r="AS30" s="74" t="s">
        <v>31</v>
      </c>
      <c r="AT30" s="74" t="s">
        <v>31</v>
      </c>
      <c r="AU30" s="74" t="s">
        <v>31</v>
      </c>
      <c r="AV30" s="74" t="s">
        <v>31</v>
      </c>
      <c r="AW30" s="74" t="s">
        <v>31</v>
      </c>
      <c r="AX30" s="74" t="s">
        <v>31</v>
      </c>
      <c r="AY30" s="74" t="s">
        <v>31</v>
      </c>
      <c r="AZ30" s="74" t="s">
        <v>31</v>
      </c>
      <c r="BA30" s="74" t="s">
        <v>31</v>
      </c>
      <c r="BB30" s="74" t="s">
        <v>31</v>
      </c>
      <c r="BC30" s="74" t="s">
        <v>31</v>
      </c>
      <c r="BD30" s="74" t="s">
        <v>31</v>
      </c>
      <c r="BE30" s="74" t="s">
        <v>31</v>
      </c>
      <c r="BF30" s="74" t="s">
        <v>31</v>
      </c>
      <c r="BG30" s="74" t="s">
        <v>31</v>
      </c>
      <c r="BH30" s="74" t="s">
        <v>31</v>
      </c>
      <c r="BI30" s="74" t="s">
        <v>31</v>
      </c>
      <c r="BJ30" s="74" t="s">
        <v>31</v>
      </c>
      <c r="BK30" s="74" t="s">
        <v>31</v>
      </c>
      <c r="BL30" s="74" t="s">
        <v>31</v>
      </c>
      <c r="BM30" s="74" t="s">
        <v>31</v>
      </c>
      <c r="BN30" s="74" t="s">
        <v>31</v>
      </c>
      <c r="BO30" s="74" t="s">
        <v>31</v>
      </c>
      <c r="BP30" s="74" t="s">
        <v>31</v>
      </c>
      <c r="BQ30" s="74" t="s">
        <v>31</v>
      </c>
      <c r="BR30" s="74" t="s">
        <v>31</v>
      </c>
      <c r="BS30" s="74" t="s">
        <v>31</v>
      </c>
      <c r="BT30" s="74" t="s">
        <v>31</v>
      </c>
      <c r="BU30" s="74" t="s">
        <v>31</v>
      </c>
      <c r="BV30" s="74" t="s">
        <v>31</v>
      </c>
      <c r="BW30" s="74" t="s">
        <v>31</v>
      </c>
      <c r="BX30" s="74" t="s">
        <v>31</v>
      </c>
      <c r="BY30" s="74" t="s">
        <v>31</v>
      </c>
      <c r="BZ30" s="74" t="s">
        <v>31</v>
      </c>
      <c r="CA30" s="74" t="s">
        <v>31</v>
      </c>
      <c r="CB30" s="74" t="s">
        <v>31</v>
      </c>
      <c r="CC30" s="74" t="s">
        <v>31</v>
      </c>
      <c r="CD30" s="74" t="s">
        <v>31</v>
      </c>
      <c r="CE30" s="74" t="s">
        <v>31</v>
      </c>
      <c r="CF30" s="74" t="s">
        <v>31</v>
      </c>
      <c r="CG30" s="74" t="s">
        <v>31</v>
      </c>
      <c r="CH30" s="74" t="s">
        <v>31</v>
      </c>
      <c r="CI30" s="74" t="s">
        <v>31</v>
      </c>
      <c r="CJ30" s="74" t="s">
        <v>31</v>
      </c>
    </row>
    <row r="31" spans="1:88" ht="15" customHeight="1">
      <c r="A31" s="227" t="s">
        <v>33</v>
      </c>
      <c r="B31" s="228"/>
      <c r="C31" s="6" t="s">
        <v>42</v>
      </c>
      <c r="D31" s="76"/>
      <c r="E31" s="74" t="s">
        <v>30</v>
      </c>
      <c r="F31" s="74" t="s">
        <v>30</v>
      </c>
      <c r="G31" s="74" t="s">
        <v>30</v>
      </c>
      <c r="H31" s="74" t="s">
        <v>30</v>
      </c>
      <c r="I31" s="74" t="s">
        <v>30</v>
      </c>
      <c r="J31" s="74" t="s">
        <v>30</v>
      </c>
      <c r="K31" s="74" t="s">
        <v>30</v>
      </c>
      <c r="L31" s="74" t="s">
        <v>30</v>
      </c>
      <c r="M31" s="74" t="s">
        <v>30</v>
      </c>
      <c r="N31" s="74" t="s">
        <v>30</v>
      </c>
      <c r="O31" s="74" t="s">
        <v>30</v>
      </c>
      <c r="P31" s="74" t="s">
        <v>30</v>
      </c>
      <c r="Q31" s="74" t="s">
        <v>30</v>
      </c>
      <c r="R31" s="74" t="s">
        <v>30</v>
      </c>
      <c r="S31" s="74" t="s">
        <v>30</v>
      </c>
      <c r="T31" s="74" t="s">
        <v>30</v>
      </c>
      <c r="U31" s="74" t="s">
        <v>30</v>
      </c>
      <c r="V31" s="74" t="s">
        <v>30</v>
      </c>
      <c r="W31" s="74" t="s">
        <v>30</v>
      </c>
      <c r="X31" s="74" t="s">
        <v>30</v>
      </c>
      <c r="Y31" s="74" t="s">
        <v>30</v>
      </c>
      <c r="Z31" s="74" t="s">
        <v>30</v>
      </c>
      <c r="AA31" s="74" t="s">
        <v>30</v>
      </c>
      <c r="AB31" s="74" t="s">
        <v>30</v>
      </c>
      <c r="AC31" s="74" t="s">
        <v>30</v>
      </c>
      <c r="AD31" s="74" t="s">
        <v>30</v>
      </c>
      <c r="AE31" s="74" t="s">
        <v>30</v>
      </c>
      <c r="AF31" s="74" t="s">
        <v>30</v>
      </c>
      <c r="AG31" s="74" t="s">
        <v>30</v>
      </c>
      <c r="AH31" s="74" t="s">
        <v>30</v>
      </c>
      <c r="AI31" s="74" t="s">
        <v>30</v>
      </c>
      <c r="AJ31" s="74" t="s">
        <v>30</v>
      </c>
      <c r="AK31" s="74" t="s">
        <v>30</v>
      </c>
      <c r="AL31" s="74" t="s">
        <v>30</v>
      </c>
      <c r="AM31" s="74" t="s">
        <v>30</v>
      </c>
      <c r="AN31" s="74" t="s">
        <v>30</v>
      </c>
      <c r="AO31" s="74" t="s">
        <v>30</v>
      </c>
      <c r="AP31" s="74" t="s">
        <v>30</v>
      </c>
      <c r="AQ31" s="74" t="s">
        <v>30</v>
      </c>
      <c r="AR31" s="74" t="s">
        <v>30</v>
      </c>
      <c r="AS31" s="74" t="s">
        <v>30</v>
      </c>
      <c r="AT31" s="74" t="s">
        <v>30</v>
      </c>
      <c r="AU31" s="74" t="s">
        <v>30</v>
      </c>
      <c r="AV31" s="74" t="s">
        <v>30</v>
      </c>
      <c r="AW31" s="74" t="s">
        <v>30</v>
      </c>
      <c r="AX31" s="74" t="s">
        <v>30</v>
      </c>
      <c r="AY31" s="74" t="s">
        <v>30</v>
      </c>
      <c r="AZ31" s="74" t="s">
        <v>30</v>
      </c>
      <c r="BA31" s="74" t="s">
        <v>30</v>
      </c>
      <c r="BB31" s="74" t="s">
        <v>30</v>
      </c>
      <c r="BC31" s="74" t="s">
        <v>30</v>
      </c>
      <c r="BD31" s="74" t="s">
        <v>30</v>
      </c>
      <c r="BE31" s="74" t="s">
        <v>30</v>
      </c>
      <c r="BF31" s="74" t="s">
        <v>30</v>
      </c>
      <c r="BG31" s="74" t="s">
        <v>30</v>
      </c>
      <c r="BH31" s="74" t="s">
        <v>30</v>
      </c>
      <c r="BI31" s="74" t="s">
        <v>30</v>
      </c>
      <c r="BJ31" s="74" t="s">
        <v>30</v>
      </c>
      <c r="BK31" s="74" t="s">
        <v>30</v>
      </c>
      <c r="BL31" s="74" t="s">
        <v>30</v>
      </c>
      <c r="BM31" s="74" t="s">
        <v>30</v>
      </c>
      <c r="BN31" s="74" t="s">
        <v>30</v>
      </c>
      <c r="BO31" s="74" t="s">
        <v>30</v>
      </c>
      <c r="BP31" s="74" t="s">
        <v>30</v>
      </c>
      <c r="BQ31" s="74" t="s">
        <v>30</v>
      </c>
      <c r="BR31" s="74" t="s">
        <v>30</v>
      </c>
      <c r="BS31" s="74" t="s">
        <v>30</v>
      </c>
      <c r="BT31" s="74" t="s">
        <v>30</v>
      </c>
      <c r="BU31" s="74" t="s">
        <v>30</v>
      </c>
      <c r="BV31" s="74" t="s">
        <v>30</v>
      </c>
      <c r="BW31" s="74" t="s">
        <v>30</v>
      </c>
      <c r="BX31" s="74" t="s">
        <v>30</v>
      </c>
      <c r="BY31" s="74" t="s">
        <v>30</v>
      </c>
      <c r="BZ31" s="74" t="s">
        <v>30</v>
      </c>
      <c r="CA31" s="74" t="s">
        <v>30</v>
      </c>
      <c r="CB31" s="74" t="s">
        <v>30</v>
      </c>
      <c r="CC31" s="74" t="s">
        <v>30</v>
      </c>
      <c r="CD31" s="74" t="s">
        <v>30</v>
      </c>
      <c r="CE31" s="74" t="s">
        <v>30</v>
      </c>
      <c r="CF31" s="74" t="s">
        <v>30</v>
      </c>
      <c r="CG31" s="74" t="s">
        <v>30</v>
      </c>
      <c r="CH31" s="74" t="s">
        <v>30</v>
      </c>
      <c r="CI31" s="74" t="s">
        <v>30</v>
      </c>
      <c r="CJ31" s="74" t="s">
        <v>30</v>
      </c>
    </row>
    <row r="33" spans="1:1">
      <c r="A33" s="89" t="s">
        <v>52</v>
      </c>
    </row>
    <row r="34" spans="1:1">
      <c r="A34" s="26" t="s">
        <v>200</v>
      </c>
    </row>
  </sheetData>
  <mergeCells count="4">
    <mergeCell ref="A29:B29"/>
    <mergeCell ref="A30:B30"/>
    <mergeCell ref="A31:B31"/>
    <mergeCell ref="C28:D28"/>
  </mergeCells>
  <conditionalFormatting sqref="E7:CJ24">
    <cfRule type="cellIs" dxfId="21" priority="1" stopIfTrue="1" operator="lessThan">
      <formula>#REF!</formula>
    </cfRule>
    <cfRule type="cellIs" dxfId="20" priority="2" operator="lessThan">
      <formula>#REF!</formula>
    </cfRule>
  </conditionalFormatting>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9AC83-4A48-4822-ABC0-4E404D34F213}">
  <dimension ref="A1:CS35"/>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97" ht="15" customHeight="1"/>
    <row r="2" spans="1:97" ht="15" customHeight="1">
      <c r="A2" s="9"/>
      <c r="B2" s="7"/>
      <c r="C2" s="7"/>
      <c r="D2" s="7"/>
      <c r="E2" s="7"/>
    </row>
    <row r="3" spans="1:97" ht="20.45" customHeight="1">
      <c r="A3" s="9" t="str">
        <f>Voorblad!A5</f>
        <v>Team Freight Forwarding Logistics</v>
      </c>
      <c r="B3" s="8"/>
      <c r="C3" s="8"/>
      <c r="D3" s="8"/>
      <c r="E3" s="48"/>
    </row>
    <row r="4" spans="1:97" s="51" customFormat="1" ht="15.75">
      <c r="A4" s="62" t="s">
        <v>201</v>
      </c>
      <c r="B4" s="49"/>
      <c r="C4" s="50"/>
      <c r="D4" s="50"/>
      <c r="E4" s="50"/>
    </row>
    <row r="5" spans="1:97" ht="15" customHeight="1">
      <c r="A5" s="7"/>
      <c r="B5" s="7"/>
      <c r="C5" s="7"/>
      <c r="D5" s="7"/>
      <c r="E5" s="26"/>
    </row>
    <row r="6" spans="1:97" ht="15" customHeight="1">
      <c r="A6" s="63" t="s">
        <v>20</v>
      </c>
      <c r="B6" s="63" t="s">
        <v>21</v>
      </c>
      <c r="C6" s="64" t="s">
        <v>22</v>
      </c>
      <c r="D6" s="64" t="s">
        <v>23</v>
      </c>
      <c r="E6" s="123" t="s">
        <v>62</v>
      </c>
      <c r="F6" s="123">
        <v>1</v>
      </c>
      <c r="G6" s="123">
        <v>2</v>
      </c>
      <c r="H6" s="123">
        <v>3</v>
      </c>
      <c r="I6" s="123">
        <v>4</v>
      </c>
      <c r="J6" s="123">
        <v>5</v>
      </c>
      <c r="K6" s="123">
        <v>6</v>
      </c>
      <c r="L6" s="123">
        <v>7</v>
      </c>
      <c r="M6" s="123">
        <v>8</v>
      </c>
      <c r="N6" s="123">
        <v>9</v>
      </c>
      <c r="O6" s="124">
        <v>10</v>
      </c>
      <c r="P6" s="125">
        <v>11</v>
      </c>
      <c r="Q6" s="125">
        <v>12</v>
      </c>
      <c r="R6" s="125">
        <v>13</v>
      </c>
      <c r="S6" s="125">
        <v>14</v>
      </c>
      <c r="T6" s="125">
        <v>15</v>
      </c>
      <c r="U6" s="125">
        <v>16</v>
      </c>
      <c r="V6" s="125">
        <v>17</v>
      </c>
      <c r="W6" s="125">
        <v>18</v>
      </c>
      <c r="X6" s="125">
        <v>19</v>
      </c>
      <c r="Y6" s="124">
        <v>20</v>
      </c>
      <c r="Z6" s="124">
        <v>21</v>
      </c>
      <c r="AA6" s="124">
        <v>22</v>
      </c>
      <c r="AB6" s="124">
        <v>230</v>
      </c>
      <c r="AC6" s="124">
        <v>24</v>
      </c>
      <c r="AD6" s="124">
        <v>25</v>
      </c>
      <c r="AE6" s="124">
        <v>26</v>
      </c>
      <c r="AF6" s="124">
        <v>27</v>
      </c>
      <c r="AG6" s="124">
        <v>28</v>
      </c>
      <c r="AH6" s="124">
        <v>29</v>
      </c>
      <c r="AI6" s="125">
        <v>30</v>
      </c>
      <c r="AJ6" s="125">
        <v>31</v>
      </c>
      <c r="AK6" s="125">
        <v>32</v>
      </c>
      <c r="AL6" s="125">
        <v>33</v>
      </c>
      <c r="AM6" s="125">
        <v>34</v>
      </c>
      <c r="AN6" s="125">
        <v>35</v>
      </c>
      <c r="AO6" s="125">
        <v>36</v>
      </c>
      <c r="AP6" s="125">
        <v>37</v>
      </c>
      <c r="AQ6" s="125">
        <v>38</v>
      </c>
      <c r="AR6" s="125">
        <v>39</v>
      </c>
      <c r="AS6" s="125">
        <v>40</v>
      </c>
      <c r="AT6" s="125">
        <v>41</v>
      </c>
      <c r="AU6" s="125">
        <v>42</v>
      </c>
      <c r="AV6" s="125">
        <v>43</v>
      </c>
      <c r="AW6" s="125">
        <v>44</v>
      </c>
      <c r="AX6" s="125">
        <v>45</v>
      </c>
      <c r="AY6" s="125">
        <v>46</v>
      </c>
      <c r="AZ6" s="125">
        <v>47</v>
      </c>
      <c r="BA6" s="125">
        <v>48</v>
      </c>
      <c r="BB6" s="125">
        <v>50</v>
      </c>
      <c r="BC6" s="125">
        <v>51</v>
      </c>
      <c r="BD6" s="124">
        <v>52</v>
      </c>
      <c r="BE6" s="124">
        <v>53</v>
      </c>
      <c r="BF6" s="125">
        <v>54</v>
      </c>
      <c r="BG6" s="125">
        <v>55</v>
      </c>
      <c r="BH6" s="125">
        <v>56</v>
      </c>
      <c r="BI6" s="125">
        <v>57</v>
      </c>
      <c r="BJ6" s="124">
        <v>58</v>
      </c>
      <c r="BK6" s="125">
        <v>59</v>
      </c>
      <c r="BL6" s="125">
        <v>60</v>
      </c>
      <c r="BM6" s="124">
        <v>61</v>
      </c>
      <c r="BN6" s="125">
        <v>62</v>
      </c>
      <c r="BO6" s="125">
        <v>63</v>
      </c>
      <c r="BP6" s="125">
        <v>64</v>
      </c>
      <c r="BQ6" s="125">
        <v>65</v>
      </c>
      <c r="BR6" s="125">
        <v>66</v>
      </c>
      <c r="BS6" s="125">
        <v>67</v>
      </c>
      <c r="BT6" s="124">
        <v>70</v>
      </c>
      <c r="BU6" s="125">
        <v>71</v>
      </c>
      <c r="BV6" s="124">
        <v>72</v>
      </c>
      <c r="BW6" s="124">
        <v>73</v>
      </c>
      <c r="BX6" s="124">
        <v>74</v>
      </c>
      <c r="BY6" s="124">
        <v>75</v>
      </c>
      <c r="BZ6" s="124">
        <v>76</v>
      </c>
      <c r="CA6" s="125">
        <v>80</v>
      </c>
      <c r="CB6" s="125">
        <v>81</v>
      </c>
      <c r="CC6" s="125">
        <v>82</v>
      </c>
      <c r="CD6" s="125">
        <v>83</v>
      </c>
      <c r="CE6" s="124">
        <v>84</v>
      </c>
      <c r="CF6" s="124">
        <v>85</v>
      </c>
      <c r="CG6" s="125">
        <v>86</v>
      </c>
      <c r="CH6" s="124">
        <v>87</v>
      </c>
      <c r="CI6" s="124">
        <v>88</v>
      </c>
      <c r="CJ6" s="124">
        <v>89</v>
      </c>
      <c r="CK6" s="125">
        <v>90</v>
      </c>
      <c r="CL6" s="125">
        <v>91</v>
      </c>
      <c r="CM6" s="125">
        <v>92</v>
      </c>
      <c r="CN6" s="125">
        <v>93</v>
      </c>
      <c r="CO6" s="125">
        <v>94</v>
      </c>
      <c r="CP6" s="125">
        <v>95</v>
      </c>
      <c r="CQ6" s="125">
        <v>96</v>
      </c>
      <c r="CR6" s="125">
        <v>97</v>
      </c>
      <c r="CS6" s="124">
        <v>98</v>
      </c>
    </row>
    <row r="7" spans="1:97" ht="15" customHeight="1">
      <c r="A7" s="64">
        <v>300</v>
      </c>
      <c r="B7" s="64">
        <v>0.2</v>
      </c>
      <c r="C7" s="64">
        <v>0.5</v>
      </c>
      <c r="D7" s="64"/>
      <c r="E7" s="68">
        <v>132</v>
      </c>
      <c r="F7" s="68">
        <v>138</v>
      </c>
      <c r="G7" s="68">
        <v>138</v>
      </c>
      <c r="H7" s="68">
        <v>138</v>
      </c>
      <c r="I7" s="68">
        <v>138</v>
      </c>
      <c r="J7" s="68">
        <v>138</v>
      </c>
      <c r="K7" s="68">
        <v>138</v>
      </c>
      <c r="L7" s="68">
        <v>166</v>
      </c>
      <c r="M7" s="68">
        <v>166</v>
      </c>
      <c r="N7" s="68">
        <v>166</v>
      </c>
      <c r="O7" s="68">
        <v>121</v>
      </c>
      <c r="P7" s="68">
        <v>131</v>
      </c>
      <c r="Q7" s="68">
        <v>121</v>
      </c>
      <c r="R7" s="68">
        <v>121</v>
      </c>
      <c r="S7" s="68">
        <v>121</v>
      </c>
      <c r="T7" s="68">
        <v>121</v>
      </c>
      <c r="U7" s="68">
        <v>124</v>
      </c>
      <c r="V7" s="68">
        <v>124</v>
      </c>
      <c r="W7" s="68">
        <v>124</v>
      </c>
      <c r="X7" s="68">
        <v>124</v>
      </c>
      <c r="Y7" s="68">
        <v>113</v>
      </c>
      <c r="Z7" s="68">
        <v>113</v>
      </c>
      <c r="AA7" s="68">
        <v>113</v>
      </c>
      <c r="AB7" s="68">
        <v>113</v>
      </c>
      <c r="AC7" s="68">
        <v>113</v>
      </c>
      <c r="AD7" s="68">
        <v>113</v>
      </c>
      <c r="AE7" s="68">
        <v>113</v>
      </c>
      <c r="AF7" s="68">
        <v>113</v>
      </c>
      <c r="AG7" s="68">
        <v>121</v>
      </c>
      <c r="AH7" s="68">
        <v>124</v>
      </c>
      <c r="AI7" s="68">
        <v>122</v>
      </c>
      <c r="AJ7" s="68">
        <v>122</v>
      </c>
      <c r="AK7" s="68">
        <v>122</v>
      </c>
      <c r="AL7" s="68">
        <v>135</v>
      </c>
      <c r="AM7" s="68">
        <v>135</v>
      </c>
      <c r="AN7" s="68">
        <v>122</v>
      </c>
      <c r="AO7" s="68">
        <v>122</v>
      </c>
      <c r="AP7" s="68">
        <v>122</v>
      </c>
      <c r="AQ7" s="68">
        <v>132</v>
      </c>
      <c r="AR7" s="68">
        <v>135</v>
      </c>
      <c r="AS7" s="68">
        <v>124</v>
      </c>
      <c r="AT7" s="68">
        <v>124</v>
      </c>
      <c r="AU7" s="68">
        <v>124</v>
      </c>
      <c r="AV7" s="68">
        <v>124</v>
      </c>
      <c r="AW7" s="68">
        <v>124</v>
      </c>
      <c r="AX7" s="68">
        <v>122</v>
      </c>
      <c r="AY7" s="68">
        <v>113</v>
      </c>
      <c r="AZ7" s="68">
        <v>124</v>
      </c>
      <c r="BA7" s="68">
        <v>124</v>
      </c>
      <c r="BB7" s="68">
        <v>135</v>
      </c>
      <c r="BC7" s="68">
        <v>135</v>
      </c>
      <c r="BD7" s="68">
        <v>135</v>
      </c>
      <c r="BE7" s="68">
        <v>135</v>
      </c>
      <c r="BF7" s="68">
        <v>135</v>
      </c>
      <c r="BG7" s="68">
        <v>135</v>
      </c>
      <c r="BH7" s="68">
        <v>135</v>
      </c>
      <c r="BI7" s="68">
        <v>135</v>
      </c>
      <c r="BJ7" s="68">
        <v>135</v>
      </c>
      <c r="BK7" s="68">
        <v>135</v>
      </c>
      <c r="BL7" s="68">
        <v>146</v>
      </c>
      <c r="BM7" s="68">
        <v>146</v>
      </c>
      <c r="BN7" s="68">
        <v>146</v>
      </c>
      <c r="BO7" s="68">
        <v>146</v>
      </c>
      <c r="BP7" s="68">
        <v>146</v>
      </c>
      <c r="BQ7" s="68">
        <v>146</v>
      </c>
      <c r="BR7" s="68">
        <v>146</v>
      </c>
      <c r="BS7" s="68">
        <v>146</v>
      </c>
      <c r="BT7" s="68">
        <v>149</v>
      </c>
      <c r="BU7" s="68">
        <v>149</v>
      </c>
      <c r="BV7" s="68">
        <v>149</v>
      </c>
      <c r="BW7" s="68">
        <v>149</v>
      </c>
      <c r="BX7" s="68">
        <v>149</v>
      </c>
      <c r="BY7" s="68">
        <v>154</v>
      </c>
      <c r="BZ7" s="68">
        <v>149</v>
      </c>
      <c r="CA7" s="68">
        <v>146</v>
      </c>
      <c r="CB7" s="68">
        <v>146</v>
      </c>
      <c r="CC7" s="68">
        <v>146</v>
      </c>
      <c r="CD7" s="68">
        <v>146</v>
      </c>
      <c r="CE7" s="68">
        <v>146</v>
      </c>
      <c r="CF7" s="68">
        <v>154</v>
      </c>
      <c r="CG7" s="68">
        <v>146</v>
      </c>
      <c r="CH7" s="68">
        <v>154</v>
      </c>
      <c r="CI7" s="68">
        <v>154</v>
      </c>
      <c r="CJ7" s="68">
        <v>154</v>
      </c>
      <c r="CK7" s="68">
        <v>166</v>
      </c>
      <c r="CL7" s="68">
        <v>166</v>
      </c>
      <c r="CM7" s="68">
        <v>166</v>
      </c>
      <c r="CN7" s="68">
        <v>166</v>
      </c>
      <c r="CO7" s="68">
        <v>166</v>
      </c>
      <c r="CP7" s="68">
        <v>166</v>
      </c>
      <c r="CQ7" s="68">
        <v>166</v>
      </c>
      <c r="CR7" s="68">
        <v>166</v>
      </c>
      <c r="CS7" s="68">
        <v>166</v>
      </c>
    </row>
    <row r="8" spans="1:97" ht="15" customHeight="1">
      <c r="A8" s="64">
        <v>700</v>
      </c>
      <c r="B8" s="64">
        <v>0.4</v>
      </c>
      <c r="C8" s="64">
        <v>1</v>
      </c>
      <c r="D8" s="64"/>
      <c r="E8" s="68">
        <v>247</v>
      </c>
      <c r="F8" s="68">
        <v>255</v>
      </c>
      <c r="G8" s="68">
        <v>255</v>
      </c>
      <c r="H8" s="68">
        <v>255</v>
      </c>
      <c r="I8" s="68">
        <v>255</v>
      </c>
      <c r="J8" s="68">
        <v>255</v>
      </c>
      <c r="K8" s="68">
        <v>255</v>
      </c>
      <c r="L8" s="68">
        <v>293</v>
      </c>
      <c r="M8" s="68">
        <v>293</v>
      </c>
      <c r="N8" s="68">
        <v>293</v>
      </c>
      <c r="O8" s="68">
        <v>220</v>
      </c>
      <c r="P8" s="68">
        <v>240</v>
      </c>
      <c r="Q8" s="68">
        <v>220</v>
      </c>
      <c r="R8" s="68">
        <v>220</v>
      </c>
      <c r="S8" s="68">
        <v>220</v>
      </c>
      <c r="T8" s="68">
        <v>220</v>
      </c>
      <c r="U8" s="68">
        <v>225</v>
      </c>
      <c r="V8" s="68">
        <v>225</v>
      </c>
      <c r="W8" s="68">
        <v>225</v>
      </c>
      <c r="X8" s="68">
        <v>225</v>
      </c>
      <c r="Y8" s="68">
        <v>176</v>
      </c>
      <c r="Z8" s="68">
        <v>176</v>
      </c>
      <c r="AA8" s="68">
        <v>176</v>
      </c>
      <c r="AB8" s="68">
        <v>202</v>
      </c>
      <c r="AC8" s="68">
        <v>202</v>
      </c>
      <c r="AD8" s="68">
        <v>176</v>
      </c>
      <c r="AE8" s="68">
        <v>190</v>
      </c>
      <c r="AF8" s="68">
        <v>190</v>
      </c>
      <c r="AG8" s="68">
        <v>190</v>
      </c>
      <c r="AH8" s="68">
        <v>213</v>
      </c>
      <c r="AI8" s="68">
        <v>194</v>
      </c>
      <c r="AJ8" s="68">
        <v>178</v>
      </c>
      <c r="AK8" s="68">
        <v>184</v>
      </c>
      <c r="AL8" s="68">
        <v>201</v>
      </c>
      <c r="AM8" s="68">
        <v>196</v>
      </c>
      <c r="AN8" s="68">
        <v>198</v>
      </c>
      <c r="AO8" s="68">
        <v>175</v>
      </c>
      <c r="AP8" s="68">
        <v>177</v>
      </c>
      <c r="AQ8" s="68">
        <v>182</v>
      </c>
      <c r="AR8" s="68">
        <v>193</v>
      </c>
      <c r="AS8" s="68">
        <v>196</v>
      </c>
      <c r="AT8" s="68">
        <v>219</v>
      </c>
      <c r="AU8" s="68">
        <v>219</v>
      </c>
      <c r="AV8" s="68">
        <v>219</v>
      </c>
      <c r="AW8" s="68">
        <v>219</v>
      </c>
      <c r="AX8" s="68">
        <v>221</v>
      </c>
      <c r="AY8" s="68">
        <v>202</v>
      </c>
      <c r="AZ8" s="68">
        <v>229</v>
      </c>
      <c r="BA8" s="68">
        <v>229</v>
      </c>
      <c r="BB8" s="68">
        <v>229</v>
      </c>
      <c r="BC8" s="68">
        <v>245</v>
      </c>
      <c r="BD8" s="68">
        <v>245</v>
      </c>
      <c r="BE8" s="68">
        <v>245</v>
      </c>
      <c r="BF8" s="68">
        <v>245</v>
      </c>
      <c r="BG8" s="68">
        <v>245</v>
      </c>
      <c r="BH8" s="68">
        <v>245</v>
      </c>
      <c r="BI8" s="68">
        <v>245</v>
      </c>
      <c r="BJ8" s="68">
        <v>245</v>
      </c>
      <c r="BK8" s="68">
        <v>245</v>
      </c>
      <c r="BL8" s="68">
        <v>245</v>
      </c>
      <c r="BM8" s="68">
        <v>272</v>
      </c>
      <c r="BN8" s="68">
        <v>272</v>
      </c>
      <c r="BO8" s="68">
        <v>272</v>
      </c>
      <c r="BP8" s="68">
        <v>272</v>
      </c>
      <c r="BQ8" s="68">
        <v>272</v>
      </c>
      <c r="BR8" s="68">
        <v>272</v>
      </c>
      <c r="BS8" s="68">
        <v>272</v>
      </c>
      <c r="BT8" s="68">
        <v>272</v>
      </c>
      <c r="BU8" s="68">
        <v>284</v>
      </c>
      <c r="BV8" s="68">
        <v>284</v>
      </c>
      <c r="BW8" s="68">
        <v>284</v>
      </c>
      <c r="BX8" s="68">
        <v>284</v>
      </c>
      <c r="BY8" s="68">
        <v>284</v>
      </c>
      <c r="BZ8" s="68">
        <v>286</v>
      </c>
      <c r="CA8" s="68">
        <v>275</v>
      </c>
      <c r="CB8" s="68">
        <v>272</v>
      </c>
      <c r="CC8" s="68">
        <v>272</v>
      </c>
      <c r="CD8" s="68">
        <v>272</v>
      </c>
      <c r="CE8" s="68">
        <v>272</v>
      </c>
      <c r="CF8" s="68">
        <v>272</v>
      </c>
      <c r="CG8" s="68">
        <v>275</v>
      </c>
      <c r="CH8" s="68">
        <v>272</v>
      </c>
      <c r="CI8" s="68">
        <v>293</v>
      </c>
      <c r="CJ8" s="68">
        <v>293</v>
      </c>
      <c r="CK8" s="68">
        <v>293</v>
      </c>
      <c r="CL8" s="68">
        <v>322</v>
      </c>
      <c r="CM8" s="68">
        <v>322</v>
      </c>
      <c r="CN8" s="68">
        <v>322</v>
      </c>
      <c r="CO8" s="68">
        <v>322</v>
      </c>
      <c r="CP8" s="68">
        <v>322</v>
      </c>
      <c r="CQ8" s="68">
        <v>322</v>
      </c>
      <c r="CR8" s="68">
        <v>322</v>
      </c>
      <c r="CS8" s="68">
        <v>322</v>
      </c>
    </row>
    <row r="9" spans="1:97" ht="15" customHeight="1">
      <c r="A9" s="64">
        <v>875</v>
      </c>
      <c r="B9" s="64">
        <v>0.5</v>
      </c>
      <c r="C9" s="64"/>
      <c r="D9" s="64">
        <v>1</v>
      </c>
      <c r="E9" s="68">
        <v>293</v>
      </c>
      <c r="F9" s="68">
        <v>309</v>
      </c>
      <c r="G9" s="68">
        <v>309</v>
      </c>
      <c r="H9" s="68">
        <v>309</v>
      </c>
      <c r="I9" s="68">
        <v>309</v>
      </c>
      <c r="J9" s="68">
        <v>309</v>
      </c>
      <c r="K9" s="68">
        <v>309</v>
      </c>
      <c r="L9" s="68">
        <v>361</v>
      </c>
      <c r="M9" s="68">
        <v>361</v>
      </c>
      <c r="N9" s="68">
        <v>361</v>
      </c>
      <c r="O9" s="68">
        <v>258</v>
      </c>
      <c r="P9" s="68">
        <v>283</v>
      </c>
      <c r="Q9" s="68">
        <v>258</v>
      </c>
      <c r="R9" s="68">
        <v>258</v>
      </c>
      <c r="S9" s="68">
        <v>258</v>
      </c>
      <c r="T9" s="68">
        <v>258</v>
      </c>
      <c r="U9" s="68">
        <v>270</v>
      </c>
      <c r="V9" s="68">
        <v>270</v>
      </c>
      <c r="W9" s="68">
        <v>270</v>
      </c>
      <c r="X9" s="68">
        <v>270</v>
      </c>
      <c r="Y9" s="68">
        <v>213</v>
      </c>
      <c r="Z9" s="68">
        <v>213</v>
      </c>
      <c r="AA9" s="68">
        <v>213</v>
      </c>
      <c r="AB9" s="68">
        <v>237</v>
      </c>
      <c r="AC9" s="68">
        <v>237</v>
      </c>
      <c r="AD9" s="68">
        <v>213</v>
      </c>
      <c r="AE9" s="68">
        <v>231</v>
      </c>
      <c r="AF9" s="68">
        <v>231</v>
      </c>
      <c r="AG9" s="68">
        <v>231</v>
      </c>
      <c r="AH9" s="68">
        <v>255</v>
      </c>
      <c r="AI9" s="68">
        <v>236</v>
      </c>
      <c r="AJ9" s="68">
        <v>215</v>
      </c>
      <c r="AK9" s="68">
        <v>223</v>
      </c>
      <c r="AL9" s="68">
        <v>244</v>
      </c>
      <c r="AM9" s="68">
        <v>237</v>
      </c>
      <c r="AN9" s="68">
        <v>241</v>
      </c>
      <c r="AO9" s="68">
        <v>212</v>
      </c>
      <c r="AP9" s="68">
        <v>214</v>
      </c>
      <c r="AQ9" s="68">
        <v>221</v>
      </c>
      <c r="AR9" s="68">
        <v>235</v>
      </c>
      <c r="AS9" s="68">
        <v>237</v>
      </c>
      <c r="AT9" s="68">
        <v>265</v>
      </c>
      <c r="AU9" s="68">
        <v>265</v>
      </c>
      <c r="AV9" s="68">
        <v>265</v>
      </c>
      <c r="AW9" s="68">
        <v>265</v>
      </c>
      <c r="AX9" s="68">
        <v>260</v>
      </c>
      <c r="AY9" s="68">
        <v>237</v>
      </c>
      <c r="AZ9" s="68">
        <v>270</v>
      </c>
      <c r="BA9" s="68">
        <v>270</v>
      </c>
      <c r="BB9" s="68">
        <v>277</v>
      </c>
      <c r="BC9" s="68">
        <v>295</v>
      </c>
      <c r="BD9" s="68">
        <v>295</v>
      </c>
      <c r="BE9" s="68">
        <v>295</v>
      </c>
      <c r="BF9" s="68">
        <v>295</v>
      </c>
      <c r="BG9" s="68">
        <v>295</v>
      </c>
      <c r="BH9" s="68">
        <v>295</v>
      </c>
      <c r="BI9" s="68">
        <v>295</v>
      </c>
      <c r="BJ9" s="68">
        <v>295</v>
      </c>
      <c r="BK9" s="68">
        <v>295</v>
      </c>
      <c r="BL9" s="68">
        <v>299</v>
      </c>
      <c r="BM9" s="68">
        <v>328</v>
      </c>
      <c r="BN9" s="68">
        <v>328</v>
      </c>
      <c r="BO9" s="68">
        <v>328</v>
      </c>
      <c r="BP9" s="68">
        <v>328</v>
      </c>
      <c r="BQ9" s="68">
        <v>328</v>
      </c>
      <c r="BR9" s="68">
        <v>328</v>
      </c>
      <c r="BS9" s="68">
        <v>328</v>
      </c>
      <c r="BT9" s="68">
        <v>334</v>
      </c>
      <c r="BU9" s="68">
        <v>340</v>
      </c>
      <c r="BV9" s="68">
        <v>340</v>
      </c>
      <c r="BW9" s="68">
        <v>340</v>
      </c>
      <c r="BX9" s="68">
        <v>340</v>
      </c>
      <c r="BY9" s="68">
        <v>348</v>
      </c>
      <c r="BZ9" s="68">
        <v>340</v>
      </c>
      <c r="CA9" s="68">
        <v>328</v>
      </c>
      <c r="CB9" s="68">
        <v>328</v>
      </c>
      <c r="CC9" s="68">
        <v>328</v>
      </c>
      <c r="CD9" s="68">
        <v>328</v>
      </c>
      <c r="CE9" s="68">
        <v>328</v>
      </c>
      <c r="CF9" s="68">
        <v>334</v>
      </c>
      <c r="CG9" s="68">
        <v>328</v>
      </c>
      <c r="CH9" s="68">
        <v>334</v>
      </c>
      <c r="CI9" s="68">
        <v>352</v>
      </c>
      <c r="CJ9" s="68">
        <v>352</v>
      </c>
      <c r="CK9" s="68">
        <v>361</v>
      </c>
      <c r="CL9" s="68">
        <v>390</v>
      </c>
      <c r="CM9" s="68">
        <v>390</v>
      </c>
      <c r="CN9" s="68">
        <v>390</v>
      </c>
      <c r="CO9" s="68">
        <v>390</v>
      </c>
      <c r="CP9" s="68">
        <v>390</v>
      </c>
      <c r="CQ9" s="68">
        <v>390</v>
      </c>
      <c r="CR9" s="68">
        <v>390</v>
      </c>
      <c r="CS9" s="68">
        <v>390</v>
      </c>
    </row>
    <row r="10" spans="1:97" ht="15" customHeight="1">
      <c r="A10" s="64">
        <v>1050</v>
      </c>
      <c r="B10" s="64">
        <v>0.6</v>
      </c>
      <c r="C10" s="64"/>
      <c r="D10" s="64"/>
      <c r="E10" s="68">
        <v>358</v>
      </c>
      <c r="F10" s="68">
        <v>358</v>
      </c>
      <c r="G10" s="68">
        <v>358</v>
      </c>
      <c r="H10" s="68">
        <v>358</v>
      </c>
      <c r="I10" s="68">
        <v>358</v>
      </c>
      <c r="J10" s="68">
        <v>358</v>
      </c>
      <c r="K10" s="68">
        <v>358</v>
      </c>
      <c r="L10" s="68">
        <v>412</v>
      </c>
      <c r="M10" s="68">
        <v>412</v>
      </c>
      <c r="N10" s="68">
        <v>412</v>
      </c>
      <c r="O10" s="68">
        <v>298</v>
      </c>
      <c r="P10" s="68">
        <v>371</v>
      </c>
      <c r="Q10" s="68">
        <v>318</v>
      </c>
      <c r="R10" s="68">
        <v>307</v>
      </c>
      <c r="S10" s="68">
        <v>307</v>
      </c>
      <c r="T10" s="68">
        <v>307</v>
      </c>
      <c r="U10" s="68">
        <v>312</v>
      </c>
      <c r="V10" s="68">
        <v>312</v>
      </c>
      <c r="W10" s="68">
        <v>312</v>
      </c>
      <c r="X10" s="68">
        <v>312</v>
      </c>
      <c r="Y10" s="68">
        <v>242</v>
      </c>
      <c r="Z10" s="68">
        <v>242</v>
      </c>
      <c r="AA10" s="68">
        <v>242</v>
      </c>
      <c r="AB10" s="68">
        <v>296</v>
      </c>
      <c r="AC10" s="68">
        <v>296</v>
      </c>
      <c r="AD10" s="68">
        <v>242</v>
      </c>
      <c r="AE10" s="68">
        <v>265</v>
      </c>
      <c r="AF10" s="68">
        <v>265</v>
      </c>
      <c r="AG10" s="68">
        <v>265</v>
      </c>
      <c r="AH10" s="68">
        <v>296</v>
      </c>
      <c r="AI10" s="68">
        <v>274</v>
      </c>
      <c r="AJ10" s="68">
        <v>250</v>
      </c>
      <c r="AK10" s="68">
        <v>255</v>
      </c>
      <c r="AL10" s="68">
        <v>280</v>
      </c>
      <c r="AM10" s="68">
        <v>272</v>
      </c>
      <c r="AN10" s="68">
        <v>276</v>
      </c>
      <c r="AO10" s="68">
        <v>247</v>
      </c>
      <c r="AP10" s="68">
        <v>248</v>
      </c>
      <c r="AQ10" s="68">
        <v>252</v>
      </c>
      <c r="AR10" s="68">
        <v>269</v>
      </c>
      <c r="AS10" s="68">
        <v>272</v>
      </c>
      <c r="AT10" s="68">
        <v>296</v>
      </c>
      <c r="AU10" s="68">
        <v>296</v>
      </c>
      <c r="AV10" s="68">
        <v>296</v>
      </c>
      <c r="AW10" s="68">
        <v>296</v>
      </c>
      <c r="AX10" s="68">
        <v>314</v>
      </c>
      <c r="AY10" s="68">
        <v>314</v>
      </c>
      <c r="AZ10" s="68">
        <v>314</v>
      </c>
      <c r="BA10" s="68">
        <v>314</v>
      </c>
      <c r="BB10" s="68">
        <v>314</v>
      </c>
      <c r="BC10" s="68">
        <v>341</v>
      </c>
      <c r="BD10" s="68">
        <v>341</v>
      </c>
      <c r="BE10" s="68">
        <v>341</v>
      </c>
      <c r="BF10" s="68">
        <v>341</v>
      </c>
      <c r="BG10" s="68">
        <v>341</v>
      </c>
      <c r="BH10" s="68">
        <v>341</v>
      </c>
      <c r="BI10" s="68">
        <v>341</v>
      </c>
      <c r="BJ10" s="68">
        <v>341</v>
      </c>
      <c r="BK10" s="68">
        <v>341</v>
      </c>
      <c r="BL10" s="68">
        <v>341</v>
      </c>
      <c r="BM10" s="68">
        <v>380</v>
      </c>
      <c r="BN10" s="68">
        <v>380</v>
      </c>
      <c r="BO10" s="68">
        <v>380</v>
      </c>
      <c r="BP10" s="68">
        <v>380</v>
      </c>
      <c r="BQ10" s="68">
        <v>380</v>
      </c>
      <c r="BR10" s="68">
        <v>380</v>
      </c>
      <c r="BS10" s="68">
        <v>380</v>
      </c>
      <c r="BT10" s="68">
        <v>380</v>
      </c>
      <c r="BU10" s="68">
        <v>398</v>
      </c>
      <c r="BV10" s="68">
        <v>398</v>
      </c>
      <c r="BW10" s="68">
        <v>398</v>
      </c>
      <c r="BX10" s="68">
        <v>398</v>
      </c>
      <c r="BY10" s="68">
        <v>398</v>
      </c>
      <c r="BZ10" s="68">
        <v>415</v>
      </c>
      <c r="CA10" s="68">
        <v>398</v>
      </c>
      <c r="CB10" s="68">
        <v>380</v>
      </c>
      <c r="CC10" s="68">
        <v>380</v>
      </c>
      <c r="CD10" s="68">
        <v>380</v>
      </c>
      <c r="CE10" s="68">
        <v>380</v>
      </c>
      <c r="CF10" s="68">
        <v>380</v>
      </c>
      <c r="CG10" s="68">
        <v>415</v>
      </c>
      <c r="CH10" s="68">
        <v>380</v>
      </c>
      <c r="CI10" s="68">
        <v>415</v>
      </c>
      <c r="CJ10" s="68">
        <v>415</v>
      </c>
      <c r="CK10" s="68">
        <v>415</v>
      </c>
      <c r="CL10" s="68">
        <v>462</v>
      </c>
      <c r="CM10" s="68">
        <v>462</v>
      </c>
      <c r="CN10" s="68">
        <v>462</v>
      </c>
      <c r="CO10" s="68">
        <v>462</v>
      </c>
      <c r="CP10" s="68">
        <v>462</v>
      </c>
      <c r="CQ10" s="68">
        <v>462</v>
      </c>
      <c r="CR10" s="68">
        <v>462</v>
      </c>
      <c r="CS10" s="68">
        <v>462</v>
      </c>
    </row>
    <row r="11" spans="1:97" ht="15" customHeight="1">
      <c r="A11" s="64">
        <v>1400</v>
      </c>
      <c r="B11" s="64">
        <v>0.8</v>
      </c>
      <c r="C11" s="64">
        <v>2</v>
      </c>
      <c r="D11" s="64"/>
      <c r="E11" s="68">
        <v>445</v>
      </c>
      <c r="F11" s="68">
        <v>445</v>
      </c>
      <c r="G11" s="68">
        <v>445</v>
      </c>
      <c r="H11" s="68">
        <v>445</v>
      </c>
      <c r="I11" s="68">
        <v>445</v>
      </c>
      <c r="J11" s="68">
        <v>445</v>
      </c>
      <c r="K11" s="68">
        <v>445</v>
      </c>
      <c r="L11" s="68">
        <v>515</v>
      </c>
      <c r="M11" s="68">
        <v>515</v>
      </c>
      <c r="N11" s="68">
        <v>515</v>
      </c>
      <c r="O11" s="68">
        <v>357</v>
      </c>
      <c r="P11" s="68">
        <v>469</v>
      </c>
      <c r="Q11" s="68">
        <v>380</v>
      </c>
      <c r="R11" s="68">
        <v>365</v>
      </c>
      <c r="S11" s="68">
        <v>365</v>
      </c>
      <c r="T11" s="68">
        <v>365</v>
      </c>
      <c r="U11" s="68">
        <v>388</v>
      </c>
      <c r="V11" s="68">
        <v>388</v>
      </c>
      <c r="W11" s="68">
        <v>388</v>
      </c>
      <c r="X11" s="68">
        <v>388</v>
      </c>
      <c r="Y11" s="68">
        <v>303</v>
      </c>
      <c r="Z11" s="68">
        <v>303</v>
      </c>
      <c r="AA11" s="68">
        <v>303</v>
      </c>
      <c r="AB11" s="68">
        <v>376</v>
      </c>
      <c r="AC11" s="68">
        <v>376</v>
      </c>
      <c r="AD11" s="68">
        <v>303</v>
      </c>
      <c r="AE11" s="68">
        <v>331</v>
      </c>
      <c r="AF11" s="68">
        <v>331</v>
      </c>
      <c r="AG11" s="68">
        <v>331</v>
      </c>
      <c r="AH11" s="68">
        <v>359</v>
      </c>
      <c r="AI11" s="68">
        <v>324</v>
      </c>
      <c r="AJ11" s="68">
        <v>316</v>
      </c>
      <c r="AK11" s="68">
        <v>319</v>
      </c>
      <c r="AL11" s="68">
        <v>347</v>
      </c>
      <c r="AM11" s="68">
        <v>341</v>
      </c>
      <c r="AN11" s="68">
        <v>324</v>
      </c>
      <c r="AO11" s="68">
        <v>316</v>
      </c>
      <c r="AP11" s="68">
        <v>314</v>
      </c>
      <c r="AQ11" s="68">
        <v>316</v>
      </c>
      <c r="AR11" s="68">
        <v>337</v>
      </c>
      <c r="AS11" s="68">
        <v>341</v>
      </c>
      <c r="AT11" s="68">
        <v>361</v>
      </c>
      <c r="AU11" s="68">
        <v>361</v>
      </c>
      <c r="AV11" s="68">
        <v>361</v>
      </c>
      <c r="AW11" s="68">
        <v>361</v>
      </c>
      <c r="AX11" s="68">
        <v>383</v>
      </c>
      <c r="AY11" s="68">
        <v>383</v>
      </c>
      <c r="AZ11" s="68">
        <v>383</v>
      </c>
      <c r="BA11" s="68">
        <v>383</v>
      </c>
      <c r="BB11" s="68">
        <v>383</v>
      </c>
      <c r="BC11" s="68">
        <v>425</v>
      </c>
      <c r="BD11" s="68">
        <v>425</v>
      </c>
      <c r="BE11" s="68">
        <v>425</v>
      </c>
      <c r="BF11" s="68">
        <v>425</v>
      </c>
      <c r="BG11" s="68">
        <v>425</v>
      </c>
      <c r="BH11" s="68">
        <v>425</v>
      </c>
      <c r="BI11" s="68">
        <v>425</v>
      </c>
      <c r="BJ11" s="68">
        <v>425</v>
      </c>
      <c r="BK11" s="68">
        <v>425</v>
      </c>
      <c r="BL11" s="68">
        <v>425</v>
      </c>
      <c r="BM11" s="68">
        <v>472</v>
      </c>
      <c r="BN11" s="68">
        <v>472</v>
      </c>
      <c r="BO11" s="68">
        <v>472</v>
      </c>
      <c r="BP11" s="68">
        <v>472</v>
      </c>
      <c r="BQ11" s="68">
        <v>472</v>
      </c>
      <c r="BR11" s="68">
        <v>472</v>
      </c>
      <c r="BS11" s="68">
        <v>472</v>
      </c>
      <c r="BT11" s="68">
        <v>472</v>
      </c>
      <c r="BU11" s="68">
        <v>493</v>
      </c>
      <c r="BV11" s="68">
        <v>493</v>
      </c>
      <c r="BW11" s="68">
        <v>493</v>
      </c>
      <c r="BX11" s="68">
        <v>493</v>
      </c>
      <c r="BY11" s="68">
        <v>493</v>
      </c>
      <c r="BZ11" s="68">
        <v>518</v>
      </c>
      <c r="CA11" s="68">
        <v>493</v>
      </c>
      <c r="CB11" s="68">
        <v>472</v>
      </c>
      <c r="CC11" s="68">
        <v>472</v>
      </c>
      <c r="CD11" s="68">
        <v>472</v>
      </c>
      <c r="CE11" s="68">
        <v>472</v>
      </c>
      <c r="CF11" s="68">
        <v>472</v>
      </c>
      <c r="CG11" s="68">
        <v>495</v>
      </c>
      <c r="CH11" s="68">
        <v>472</v>
      </c>
      <c r="CI11" s="68">
        <v>524</v>
      </c>
      <c r="CJ11" s="68">
        <v>524</v>
      </c>
      <c r="CK11" s="68">
        <v>524</v>
      </c>
      <c r="CL11" s="68">
        <v>584</v>
      </c>
      <c r="CM11" s="68">
        <v>584</v>
      </c>
      <c r="CN11" s="68">
        <v>584</v>
      </c>
      <c r="CO11" s="68">
        <v>584</v>
      </c>
      <c r="CP11" s="68">
        <v>584</v>
      </c>
      <c r="CQ11" s="68">
        <v>584</v>
      </c>
      <c r="CR11" s="68">
        <v>584</v>
      </c>
      <c r="CS11" s="68">
        <v>584</v>
      </c>
    </row>
    <row r="12" spans="1:97" ht="15" customHeight="1">
      <c r="A12" s="64">
        <v>1750</v>
      </c>
      <c r="B12" s="64">
        <v>1</v>
      </c>
      <c r="C12" s="64"/>
      <c r="D12" s="64">
        <v>2</v>
      </c>
      <c r="E12" s="68">
        <v>475</v>
      </c>
      <c r="F12" s="68">
        <v>475</v>
      </c>
      <c r="G12" s="68">
        <v>475</v>
      </c>
      <c r="H12" s="68">
        <v>475</v>
      </c>
      <c r="I12" s="68">
        <v>475</v>
      </c>
      <c r="J12" s="68">
        <v>475</v>
      </c>
      <c r="K12" s="68">
        <v>475</v>
      </c>
      <c r="L12" s="68">
        <v>658</v>
      </c>
      <c r="M12" s="68">
        <v>658</v>
      </c>
      <c r="N12" s="68">
        <v>658</v>
      </c>
      <c r="O12" s="68">
        <v>382</v>
      </c>
      <c r="P12" s="68">
        <v>503</v>
      </c>
      <c r="Q12" s="68">
        <v>412</v>
      </c>
      <c r="R12" s="68">
        <v>392</v>
      </c>
      <c r="S12" s="68">
        <v>392</v>
      </c>
      <c r="T12" s="68">
        <v>392</v>
      </c>
      <c r="U12" s="68">
        <v>416</v>
      </c>
      <c r="V12" s="68">
        <v>416</v>
      </c>
      <c r="W12" s="68">
        <v>416</v>
      </c>
      <c r="X12" s="68">
        <v>416</v>
      </c>
      <c r="Y12" s="68">
        <v>322</v>
      </c>
      <c r="Z12" s="68">
        <v>322</v>
      </c>
      <c r="AA12" s="68">
        <v>322</v>
      </c>
      <c r="AB12" s="68">
        <v>404</v>
      </c>
      <c r="AC12" s="68">
        <v>404</v>
      </c>
      <c r="AD12" s="68">
        <v>346</v>
      </c>
      <c r="AE12" s="68">
        <v>353</v>
      </c>
      <c r="AF12" s="68">
        <v>353</v>
      </c>
      <c r="AG12" s="68">
        <v>380</v>
      </c>
      <c r="AH12" s="68">
        <v>370</v>
      </c>
      <c r="AI12" s="68">
        <v>340</v>
      </c>
      <c r="AJ12" s="68">
        <v>343</v>
      </c>
      <c r="AK12" s="68">
        <v>365</v>
      </c>
      <c r="AL12" s="68">
        <v>366</v>
      </c>
      <c r="AM12" s="68">
        <v>366</v>
      </c>
      <c r="AN12" s="68">
        <v>339</v>
      </c>
      <c r="AO12" s="68">
        <v>335</v>
      </c>
      <c r="AP12" s="68">
        <v>340</v>
      </c>
      <c r="AQ12" s="68">
        <v>362</v>
      </c>
      <c r="AR12" s="68">
        <v>378</v>
      </c>
      <c r="AS12" s="68">
        <v>389</v>
      </c>
      <c r="AT12" s="68">
        <v>389</v>
      </c>
      <c r="AU12" s="68">
        <v>389</v>
      </c>
      <c r="AV12" s="68">
        <v>389</v>
      </c>
      <c r="AW12" s="68">
        <v>415</v>
      </c>
      <c r="AX12" s="68">
        <v>415</v>
      </c>
      <c r="AY12" s="68">
        <v>415</v>
      </c>
      <c r="AZ12" s="68">
        <v>415</v>
      </c>
      <c r="BA12" s="68">
        <v>415</v>
      </c>
      <c r="BB12" s="68">
        <v>445</v>
      </c>
      <c r="BC12" s="68">
        <v>458</v>
      </c>
      <c r="BD12" s="68">
        <v>458</v>
      </c>
      <c r="BE12" s="68">
        <v>458</v>
      </c>
      <c r="BF12" s="68">
        <v>458</v>
      </c>
      <c r="BG12" s="68">
        <v>458</v>
      </c>
      <c r="BH12" s="68">
        <v>458</v>
      </c>
      <c r="BI12" s="68">
        <v>458</v>
      </c>
      <c r="BJ12" s="68">
        <v>458</v>
      </c>
      <c r="BK12" s="68">
        <v>458</v>
      </c>
      <c r="BL12" s="68">
        <v>491</v>
      </c>
      <c r="BM12" s="68">
        <v>509</v>
      </c>
      <c r="BN12" s="68">
        <v>509</v>
      </c>
      <c r="BO12" s="68">
        <v>509</v>
      </c>
      <c r="BP12" s="68">
        <v>509</v>
      </c>
      <c r="BQ12" s="68">
        <v>509</v>
      </c>
      <c r="BR12" s="68">
        <v>509</v>
      </c>
      <c r="BS12" s="68">
        <v>509</v>
      </c>
      <c r="BT12" s="68">
        <v>532</v>
      </c>
      <c r="BU12" s="68">
        <v>532</v>
      </c>
      <c r="BV12" s="68">
        <v>532</v>
      </c>
      <c r="BW12" s="68">
        <v>532</v>
      </c>
      <c r="BX12" s="68">
        <v>532</v>
      </c>
      <c r="BY12" s="68">
        <v>568</v>
      </c>
      <c r="BZ12" s="68">
        <v>532</v>
      </c>
      <c r="CA12" s="68">
        <v>509</v>
      </c>
      <c r="CB12" s="68">
        <v>509</v>
      </c>
      <c r="CC12" s="68">
        <v>509</v>
      </c>
      <c r="CD12" s="68">
        <v>509</v>
      </c>
      <c r="CE12" s="68">
        <v>509</v>
      </c>
      <c r="CF12" s="68">
        <v>551</v>
      </c>
      <c r="CG12" s="68">
        <v>509</v>
      </c>
      <c r="CH12" s="68">
        <v>551</v>
      </c>
      <c r="CI12" s="68">
        <v>568</v>
      </c>
      <c r="CJ12" s="68">
        <v>569</v>
      </c>
      <c r="CK12" s="68">
        <v>613</v>
      </c>
      <c r="CL12" s="68">
        <v>631</v>
      </c>
      <c r="CM12" s="68">
        <v>631</v>
      </c>
      <c r="CN12" s="68">
        <v>631</v>
      </c>
      <c r="CO12" s="68">
        <v>631</v>
      </c>
      <c r="CP12" s="68">
        <v>631</v>
      </c>
      <c r="CQ12" s="68">
        <v>631</v>
      </c>
      <c r="CR12" s="68">
        <v>631</v>
      </c>
      <c r="CS12" s="68">
        <v>631</v>
      </c>
    </row>
    <row r="13" spans="1:97" ht="15" customHeight="1">
      <c r="A13" s="64">
        <v>2100</v>
      </c>
      <c r="B13" s="64">
        <v>1.2</v>
      </c>
      <c r="C13" s="64">
        <v>3</v>
      </c>
      <c r="D13" s="64"/>
      <c r="E13" s="68">
        <v>518</v>
      </c>
      <c r="F13" s="68">
        <v>518</v>
      </c>
      <c r="G13" s="68">
        <v>518</v>
      </c>
      <c r="H13" s="68">
        <v>519</v>
      </c>
      <c r="I13" s="68">
        <v>514</v>
      </c>
      <c r="J13" s="68">
        <v>529</v>
      </c>
      <c r="K13" s="68">
        <v>527</v>
      </c>
      <c r="L13" s="68">
        <v>733</v>
      </c>
      <c r="M13" s="68">
        <v>733</v>
      </c>
      <c r="N13" s="68">
        <v>733</v>
      </c>
      <c r="O13" s="68">
        <v>425</v>
      </c>
      <c r="P13" s="68">
        <v>546</v>
      </c>
      <c r="Q13" s="68">
        <v>458</v>
      </c>
      <c r="R13" s="68">
        <v>436</v>
      </c>
      <c r="S13" s="68">
        <v>433</v>
      </c>
      <c r="T13" s="68">
        <v>436</v>
      </c>
      <c r="U13" s="68">
        <v>447</v>
      </c>
      <c r="V13" s="68">
        <v>446</v>
      </c>
      <c r="W13" s="68">
        <v>447</v>
      </c>
      <c r="X13" s="68">
        <v>447</v>
      </c>
      <c r="Y13" s="68">
        <v>352</v>
      </c>
      <c r="Z13" s="68">
        <v>352</v>
      </c>
      <c r="AA13" s="68">
        <v>352</v>
      </c>
      <c r="AB13" s="68">
        <v>425</v>
      </c>
      <c r="AC13" s="68">
        <v>425</v>
      </c>
      <c r="AD13" s="68">
        <v>361</v>
      </c>
      <c r="AE13" s="68">
        <v>383</v>
      </c>
      <c r="AF13" s="68">
        <v>383</v>
      </c>
      <c r="AG13" s="68">
        <v>394</v>
      </c>
      <c r="AH13" s="68">
        <v>398</v>
      </c>
      <c r="AI13" s="68">
        <v>371</v>
      </c>
      <c r="AJ13" s="68">
        <v>378</v>
      </c>
      <c r="AK13" s="68">
        <v>383</v>
      </c>
      <c r="AL13" s="68">
        <v>400</v>
      </c>
      <c r="AM13" s="68">
        <v>400</v>
      </c>
      <c r="AN13" s="68">
        <v>370</v>
      </c>
      <c r="AO13" s="68">
        <v>364</v>
      </c>
      <c r="AP13" s="68">
        <v>368</v>
      </c>
      <c r="AQ13" s="68">
        <v>380</v>
      </c>
      <c r="AR13" s="68">
        <v>407</v>
      </c>
      <c r="AS13" s="68">
        <v>422</v>
      </c>
      <c r="AT13" s="68">
        <v>422</v>
      </c>
      <c r="AU13" s="68">
        <v>422</v>
      </c>
      <c r="AV13" s="68">
        <v>422</v>
      </c>
      <c r="AW13" s="68">
        <v>432</v>
      </c>
      <c r="AX13" s="68">
        <v>444</v>
      </c>
      <c r="AY13" s="68">
        <v>444</v>
      </c>
      <c r="AZ13" s="68">
        <v>447</v>
      </c>
      <c r="BA13" s="68">
        <v>447</v>
      </c>
      <c r="BB13" s="68">
        <v>462</v>
      </c>
      <c r="BC13" s="68">
        <v>487</v>
      </c>
      <c r="BD13" s="68">
        <v>489</v>
      </c>
      <c r="BE13" s="68">
        <v>489</v>
      </c>
      <c r="BF13" s="68">
        <v>487</v>
      </c>
      <c r="BG13" s="68">
        <v>487</v>
      </c>
      <c r="BH13" s="68">
        <v>487</v>
      </c>
      <c r="BI13" s="68">
        <v>490</v>
      </c>
      <c r="BJ13" s="68">
        <v>490</v>
      </c>
      <c r="BK13" s="68">
        <v>490</v>
      </c>
      <c r="BL13" s="68">
        <v>509</v>
      </c>
      <c r="BM13" s="68">
        <v>542</v>
      </c>
      <c r="BN13" s="68">
        <v>542</v>
      </c>
      <c r="BO13" s="68">
        <v>543</v>
      </c>
      <c r="BP13" s="68">
        <v>543</v>
      </c>
      <c r="BQ13" s="68">
        <v>544</v>
      </c>
      <c r="BR13" s="68">
        <v>545</v>
      </c>
      <c r="BS13" s="68">
        <v>545</v>
      </c>
      <c r="BT13" s="68">
        <v>569</v>
      </c>
      <c r="BU13" s="68">
        <v>577</v>
      </c>
      <c r="BV13" s="68">
        <v>583</v>
      </c>
      <c r="BW13" s="68">
        <v>583</v>
      </c>
      <c r="BX13" s="68">
        <v>583</v>
      </c>
      <c r="BY13" s="68">
        <v>593</v>
      </c>
      <c r="BZ13" s="68">
        <v>579</v>
      </c>
      <c r="CA13" s="68">
        <v>553</v>
      </c>
      <c r="CB13" s="68">
        <v>553</v>
      </c>
      <c r="CC13" s="68">
        <v>553</v>
      </c>
      <c r="CD13" s="68">
        <v>569</v>
      </c>
      <c r="CE13" s="68">
        <v>565</v>
      </c>
      <c r="CF13" s="68">
        <v>569</v>
      </c>
      <c r="CG13" s="68">
        <v>592</v>
      </c>
      <c r="CH13" s="68">
        <v>569</v>
      </c>
      <c r="CI13" s="68">
        <v>634</v>
      </c>
      <c r="CJ13" s="68">
        <v>634</v>
      </c>
      <c r="CK13" s="68">
        <v>635</v>
      </c>
      <c r="CL13" s="68">
        <v>703</v>
      </c>
      <c r="CM13" s="68">
        <v>703</v>
      </c>
      <c r="CN13" s="68">
        <v>703</v>
      </c>
      <c r="CO13" s="68">
        <v>703</v>
      </c>
      <c r="CP13" s="68">
        <v>703</v>
      </c>
      <c r="CQ13" s="68">
        <v>703</v>
      </c>
      <c r="CR13" s="68">
        <v>703</v>
      </c>
      <c r="CS13" s="68">
        <v>703</v>
      </c>
    </row>
    <row r="14" spans="1:97" ht="15" customHeight="1">
      <c r="A14" s="64">
        <v>2625</v>
      </c>
      <c r="B14" s="2">
        <v>1.5</v>
      </c>
      <c r="C14" s="82"/>
      <c r="D14" s="64">
        <v>3</v>
      </c>
      <c r="E14" s="68">
        <v>533</v>
      </c>
      <c r="F14" s="68">
        <v>532</v>
      </c>
      <c r="G14" s="68">
        <v>533</v>
      </c>
      <c r="H14" s="68">
        <v>539</v>
      </c>
      <c r="I14" s="68">
        <v>539</v>
      </c>
      <c r="J14" s="68">
        <v>562</v>
      </c>
      <c r="K14" s="68">
        <v>554</v>
      </c>
      <c r="L14" s="68">
        <v>927</v>
      </c>
      <c r="M14" s="68">
        <v>927</v>
      </c>
      <c r="N14" s="68">
        <v>927</v>
      </c>
      <c r="O14" s="68">
        <v>446</v>
      </c>
      <c r="P14" s="68">
        <v>571</v>
      </c>
      <c r="Q14" s="68">
        <v>478</v>
      </c>
      <c r="R14" s="68">
        <v>455</v>
      </c>
      <c r="S14" s="68">
        <v>446</v>
      </c>
      <c r="T14" s="68">
        <v>455</v>
      </c>
      <c r="U14" s="68">
        <v>459</v>
      </c>
      <c r="V14" s="68">
        <v>460</v>
      </c>
      <c r="W14" s="68">
        <v>464</v>
      </c>
      <c r="X14" s="68">
        <v>463</v>
      </c>
      <c r="Y14" s="68">
        <v>364</v>
      </c>
      <c r="Z14" s="68">
        <v>364</v>
      </c>
      <c r="AA14" s="68">
        <v>364</v>
      </c>
      <c r="AB14" s="68">
        <v>446</v>
      </c>
      <c r="AC14" s="68">
        <v>446</v>
      </c>
      <c r="AD14" s="68">
        <v>392</v>
      </c>
      <c r="AE14" s="68">
        <v>396</v>
      </c>
      <c r="AF14" s="68">
        <v>392</v>
      </c>
      <c r="AG14" s="68">
        <v>426</v>
      </c>
      <c r="AH14" s="68">
        <v>412</v>
      </c>
      <c r="AI14" s="68">
        <v>386</v>
      </c>
      <c r="AJ14" s="68">
        <v>389</v>
      </c>
      <c r="AK14" s="68">
        <v>422</v>
      </c>
      <c r="AL14" s="68">
        <v>416</v>
      </c>
      <c r="AM14" s="68">
        <v>416</v>
      </c>
      <c r="AN14" s="68">
        <v>382</v>
      </c>
      <c r="AO14" s="68">
        <v>378</v>
      </c>
      <c r="AP14" s="68">
        <v>381</v>
      </c>
      <c r="AQ14" s="68">
        <v>411</v>
      </c>
      <c r="AR14" s="68">
        <v>420</v>
      </c>
      <c r="AS14" s="68">
        <v>431</v>
      </c>
      <c r="AT14" s="68">
        <v>429</v>
      </c>
      <c r="AU14" s="68">
        <v>429</v>
      </c>
      <c r="AV14" s="68">
        <v>429</v>
      </c>
      <c r="AW14" s="68">
        <v>456</v>
      </c>
      <c r="AX14" s="68">
        <v>455</v>
      </c>
      <c r="AY14" s="68">
        <v>454</v>
      </c>
      <c r="AZ14" s="68">
        <v>461</v>
      </c>
      <c r="BA14" s="68">
        <v>459</v>
      </c>
      <c r="BB14" s="68">
        <v>498</v>
      </c>
      <c r="BC14" s="68">
        <v>502</v>
      </c>
      <c r="BD14" s="68">
        <v>504</v>
      </c>
      <c r="BE14" s="68">
        <v>504</v>
      </c>
      <c r="BF14" s="68">
        <v>502</v>
      </c>
      <c r="BG14" s="68">
        <v>503</v>
      </c>
      <c r="BH14" s="68">
        <v>503</v>
      </c>
      <c r="BI14" s="68">
        <v>507</v>
      </c>
      <c r="BJ14" s="68">
        <v>507</v>
      </c>
      <c r="BK14" s="68">
        <v>501</v>
      </c>
      <c r="BL14" s="68">
        <v>546</v>
      </c>
      <c r="BM14" s="68">
        <v>554</v>
      </c>
      <c r="BN14" s="68">
        <v>564</v>
      </c>
      <c r="BO14" s="68">
        <v>566</v>
      </c>
      <c r="BP14" s="68">
        <v>567</v>
      </c>
      <c r="BQ14" s="68">
        <v>568</v>
      </c>
      <c r="BR14" s="68">
        <v>570</v>
      </c>
      <c r="BS14" s="68">
        <v>570</v>
      </c>
      <c r="BT14" s="68">
        <v>605</v>
      </c>
      <c r="BU14" s="68">
        <v>599</v>
      </c>
      <c r="BV14" s="68">
        <v>610</v>
      </c>
      <c r="BW14" s="68">
        <v>614</v>
      </c>
      <c r="BX14" s="68">
        <v>609</v>
      </c>
      <c r="BY14" s="68">
        <v>642</v>
      </c>
      <c r="BZ14" s="68">
        <v>605</v>
      </c>
      <c r="CA14" s="68">
        <v>577</v>
      </c>
      <c r="CB14" s="68">
        <v>577</v>
      </c>
      <c r="CC14" s="68">
        <v>577</v>
      </c>
      <c r="CD14" s="68">
        <v>588</v>
      </c>
      <c r="CE14" s="68">
        <v>587</v>
      </c>
      <c r="CF14" s="68">
        <v>630</v>
      </c>
      <c r="CG14" s="68">
        <v>592</v>
      </c>
      <c r="CH14" s="68">
        <v>661</v>
      </c>
      <c r="CI14" s="68">
        <v>686</v>
      </c>
      <c r="CJ14" s="68">
        <v>683</v>
      </c>
      <c r="CK14" s="68">
        <v>752</v>
      </c>
      <c r="CL14" s="68">
        <v>764</v>
      </c>
      <c r="CM14" s="68">
        <v>764</v>
      </c>
      <c r="CN14" s="68">
        <v>764</v>
      </c>
      <c r="CO14" s="68">
        <v>846</v>
      </c>
      <c r="CP14" s="68">
        <v>943</v>
      </c>
      <c r="CQ14" s="68">
        <v>943</v>
      </c>
      <c r="CR14" s="68">
        <v>943</v>
      </c>
      <c r="CS14" s="68">
        <v>943</v>
      </c>
    </row>
    <row r="15" spans="1:97" ht="15" customHeight="1">
      <c r="A15" s="64">
        <v>2800</v>
      </c>
      <c r="B15" s="64">
        <v>1.6</v>
      </c>
      <c r="C15" s="64">
        <v>4</v>
      </c>
      <c r="D15" s="64"/>
      <c r="E15" s="68">
        <v>593</v>
      </c>
      <c r="F15" s="68">
        <v>590</v>
      </c>
      <c r="G15" s="68">
        <v>593</v>
      </c>
      <c r="H15" s="68">
        <v>600</v>
      </c>
      <c r="I15" s="68">
        <v>600</v>
      </c>
      <c r="J15" s="68">
        <v>619</v>
      </c>
      <c r="K15" s="68">
        <v>616</v>
      </c>
      <c r="L15" s="68">
        <v>983</v>
      </c>
      <c r="M15" s="68">
        <v>1044</v>
      </c>
      <c r="N15" s="68">
        <v>1043</v>
      </c>
      <c r="O15" s="68">
        <v>492</v>
      </c>
      <c r="P15" s="68">
        <v>614</v>
      </c>
      <c r="Q15" s="68">
        <v>527</v>
      </c>
      <c r="R15" s="68">
        <v>499</v>
      </c>
      <c r="S15" s="68">
        <v>492</v>
      </c>
      <c r="T15" s="68">
        <v>499</v>
      </c>
      <c r="U15" s="68">
        <v>502</v>
      </c>
      <c r="V15" s="68">
        <v>504</v>
      </c>
      <c r="W15" s="68">
        <v>513</v>
      </c>
      <c r="X15" s="68">
        <v>509</v>
      </c>
      <c r="Y15" s="68">
        <v>404</v>
      </c>
      <c r="Z15" s="68">
        <v>404</v>
      </c>
      <c r="AA15" s="68">
        <v>404</v>
      </c>
      <c r="AB15" s="68">
        <v>486</v>
      </c>
      <c r="AC15" s="68">
        <v>486</v>
      </c>
      <c r="AD15" s="68">
        <v>407</v>
      </c>
      <c r="AE15" s="68">
        <v>440</v>
      </c>
      <c r="AF15" s="68">
        <v>436</v>
      </c>
      <c r="AG15" s="68">
        <v>438</v>
      </c>
      <c r="AH15" s="68">
        <v>454</v>
      </c>
      <c r="AI15" s="68">
        <v>433</v>
      </c>
      <c r="AJ15" s="68">
        <v>429</v>
      </c>
      <c r="AK15" s="68">
        <v>433</v>
      </c>
      <c r="AL15" s="68">
        <v>464</v>
      </c>
      <c r="AM15" s="68">
        <v>464</v>
      </c>
      <c r="AN15" s="68">
        <v>425</v>
      </c>
      <c r="AO15" s="68">
        <v>423</v>
      </c>
      <c r="AP15" s="68">
        <v>422</v>
      </c>
      <c r="AQ15" s="68">
        <v>425</v>
      </c>
      <c r="AR15" s="68">
        <v>459</v>
      </c>
      <c r="AS15" s="68">
        <v>468</v>
      </c>
      <c r="AT15" s="68">
        <v>470</v>
      </c>
      <c r="AU15" s="68">
        <v>470</v>
      </c>
      <c r="AV15" s="68">
        <v>470</v>
      </c>
      <c r="AW15" s="68">
        <v>479</v>
      </c>
      <c r="AX15" s="68">
        <v>495</v>
      </c>
      <c r="AY15" s="68">
        <v>493</v>
      </c>
      <c r="AZ15" s="68">
        <v>506</v>
      </c>
      <c r="BA15" s="68">
        <v>504</v>
      </c>
      <c r="BB15" s="68">
        <v>512</v>
      </c>
      <c r="BC15" s="68">
        <v>546</v>
      </c>
      <c r="BD15" s="68">
        <v>551</v>
      </c>
      <c r="BE15" s="68">
        <v>551</v>
      </c>
      <c r="BF15" s="68">
        <v>546</v>
      </c>
      <c r="BG15" s="68">
        <v>549</v>
      </c>
      <c r="BH15" s="68">
        <v>550</v>
      </c>
      <c r="BI15" s="68">
        <v>554</v>
      </c>
      <c r="BJ15" s="68">
        <v>554</v>
      </c>
      <c r="BK15" s="68">
        <v>544</v>
      </c>
      <c r="BL15" s="68">
        <v>560</v>
      </c>
      <c r="BM15" s="68">
        <v>605</v>
      </c>
      <c r="BN15" s="68">
        <v>616</v>
      </c>
      <c r="BO15" s="68">
        <v>620</v>
      </c>
      <c r="BP15" s="68">
        <v>622</v>
      </c>
      <c r="BQ15" s="68">
        <v>625</v>
      </c>
      <c r="BR15" s="68">
        <v>630</v>
      </c>
      <c r="BS15" s="68">
        <v>630</v>
      </c>
      <c r="BT15" s="68">
        <v>636</v>
      </c>
      <c r="BU15" s="68">
        <v>669</v>
      </c>
      <c r="BV15" s="68">
        <v>668</v>
      </c>
      <c r="BW15" s="68">
        <v>679</v>
      </c>
      <c r="BX15" s="68">
        <v>683</v>
      </c>
      <c r="BY15" s="68">
        <v>678</v>
      </c>
      <c r="BZ15" s="68">
        <v>680</v>
      </c>
      <c r="CA15" s="68">
        <v>647</v>
      </c>
      <c r="CB15" s="68">
        <v>643</v>
      </c>
      <c r="CC15" s="68">
        <v>643</v>
      </c>
      <c r="CD15" s="68">
        <v>645</v>
      </c>
      <c r="CE15" s="68">
        <v>656</v>
      </c>
      <c r="CF15" s="68">
        <v>654</v>
      </c>
      <c r="CG15" s="68">
        <v>678</v>
      </c>
      <c r="CH15" s="68">
        <v>661</v>
      </c>
      <c r="CI15" s="68">
        <v>737</v>
      </c>
      <c r="CJ15" s="68">
        <v>765</v>
      </c>
      <c r="CK15" s="68">
        <v>760</v>
      </c>
      <c r="CL15" s="68">
        <v>849</v>
      </c>
      <c r="CM15" s="68">
        <v>851</v>
      </c>
      <c r="CN15" s="68">
        <v>851</v>
      </c>
      <c r="CO15" s="68">
        <v>851</v>
      </c>
      <c r="CP15" s="68">
        <v>1052</v>
      </c>
      <c r="CQ15" s="68">
        <v>1052</v>
      </c>
      <c r="CR15" s="68">
        <v>1052</v>
      </c>
      <c r="CS15" s="68">
        <v>1052</v>
      </c>
    </row>
    <row r="16" spans="1:97" ht="15" customHeight="1">
      <c r="A16" s="64">
        <v>3500</v>
      </c>
      <c r="B16" s="64">
        <v>2</v>
      </c>
      <c r="C16" s="64">
        <v>5</v>
      </c>
      <c r="D16" s="64">
        <v>4</v>
      </c>
      <c r="E16" s="68">
        <v>662</v>
      </c>
      <c r="F16" s="68">
        <v>659</v>
      </c>
      <c r="G16" s="68">
        <v>662</v>
      </c>
      <c r="H16" s="68">
        <v>671</v>
      </c>
      <c r="I16" s="68">
        <v>671</v>
      </c>
      <c r="J16" s="68">
        <v>691</v>
      </c>
      <c r="K16" s="68">
        <v>686</v>
      </c>
      <c r="L16" s="68">
        <v>1098</v>
      </c>
      <c r="M16" s="68">
        <v>1165</v>
      </c>
      <c r="N16" s="68">
        <v>1164</v>
      </c>
      <c r="O16" s="68">
        <v>548</v>
      </c>
      <c r="P16" s="68">
        <v>684</v>
      </c>
      <c r="Q16" s="68">
        <v>588</v>
      </c>
      <c r="R16" s="68">
        <v>556</v>
      </c>
      <c r="S16" s="68">
        <v>548</v>
      </c>
      <c r="T16" s="68">
        <v>556</v>
      </c>
      <c r="U16" s="68">
        <v>561</v>
      </c>
      <c r="V16" s="68">
        <v>563</v>
      </c>
      <c r="W16" s="68">
        <v>572</v>
      </c>
      <c r="X16" s="68">
        <v>569</v>
      </c>
      <c r="Y16" s="68">
        <v>451</v>
      </c>
      <c r="Z16" s="68">
        <v>451</v>
      </c>
      <c r="AA16" s="68">
        <v>451</v>
      </c>
      <c r="AB16" s="68">
        <v>542</v>
      </c>
      <c r="AC16" s="68">
        <v>542</v>
      </c>
      <c r="AD16" s="68">
        <v>455</v>
      </c>
      <c r="AE16" s="68">
        <v>489</v>
      </c>
      <c r="AF16" s="68">
        <v>490</v>
      </c>
      <c r="AG16" s="68">
        <v>485</v>
      </c>
      <c r="AH16" s="68">
        <v>517</v>
      </c>
      <c r="AI16" s="68">
        <v>497</v>
      </c>
      <c r="AJ16" s="68">
        <v>482</v>
      </c>
      <c r="AK16" s="68">
        <v>483</v>
      </c>
      <c r="AL16" s="68">
        <v>523</v>
      </c>
      <c r="AM16" s="68">
        <v>518</v>
      </c>
      <c r="AN16" s="68">
        <v>489</v>
      </c>
      <c r="AO16" s="68">
        <v>475</v>
      </c>
      <c r="AP16" s="68">
        <v>472</v>
      </c>
      <c r="AQ16" s="68">
        <v>470</v>
      </c>
      <c r="AR16" s="68">
        <v>509</v>
      </c>
      <c r="AS16" s="68">
        <v>512</v>
      </c>
      <c r="AT16" s="68">
        <v>528</v>
      </c>
      <c r="AU16" s="68">
        <v>526</v>
      </c>
      <c r="AV16" s="68">
        <v>526</v>
      </c>
      <c r="AW16" s="68">
        <v>526</v>
      </c>
      <c r="AX16" s="68">
        <v>554</v>
      </c>
      <c r="AY16" s="68">
        <v>552</v>
      </c>
      <c r="AZ16" s="68">
        <v>549</v>
      </c>
      <c r="BA16" s="68">
        <v>568</v>
      </c>
      <c r="BB16" s="68">
        <v>563</v>
      </c>
      <c r="BC16" s="68">
        <v>609</v>
      </c>
      <c r="BD16" s="68">
        <v>610</v>
      </c>
      <c r="BE16" s="68">
        <v>616</v>
      </c>
      <c r="BF16" s="68">
        <v>616</v>
      </c>
      <c r="BG16" s="68">
        <v>610</v>
      </c>
      <c r="BH16" s="68">
        <v>613</v>
      </c>
      <c r="BI16" s="68">
        <v>614</v>
      </c>
      <c r="BJ16" s="68">
        <v>619</v>
      </c>
      <c r="BK16" s="68">
        <v>615</v>
      </c>
      <c r="BL16" s="68">
        <v>608</v>
      </c>
      <c r="BM16" s="68">
        <v>679</v>
      </c>
      <c r="BN16" s="68">
        <v>675</v>
      </c>
      <c r="BO16" s="68">
        <v>686</v>
      </c>
      <c r="BP16" s="68">
        <v>692</v>
      </c>
      <c r="BQ16" s="68">
        <v>694</v>
      </c>
      <c r="BR16" s="68">
        <v>698</v>
      </c>
      <c r="BS16" s="68">
        <v>702</v>
      </c>
      <c r="BT16" s="68">
        <v>702</v>
      </c>
      <c r="BU16" s="68">
        <v>758</v>
      </c>
      <c r="BV16" s="68">
        <v>746</v>
      </c>
      <c r="BW16" s="68">
        <v>764</v>
      </c>
      <c r="BX16" s="68">
        <v>774</v>
      </c>
      <c r="BY16" s="68">
        <v>764</v>
      </c>
      <c r="BZ16" s="68">
        <v>799</v>
      </c>
      <c r="CA16" s="68">
        <v>758</v>
      </c>
      <c r="CB16" s="68">
        <v>722</v>
      </c>
      <c r="CC16" s="68">
        <v>718</v>
      </c>
      <c r="CD16" s="68">
        <v>722</v>
      </c>
      <c r="CE16" s="68">
        <v>748</v>
      </c>
      <c r="CF16" s="68">
        <v>740</v>
      </c>
      <c r="CG16" s="68">
        <v>791</v>
      </c>
      <c r="CH16" s="68">
        <v>756</v>
      </c>
      <c r="CI16" s="68">
        <v>848</v>
      </c>
      <c r="CJ16" s="68">
        <v>902</v>
      </c>
      <c r="CK16" s="68">
        <v>892</v>
      </c>
      <c r="CL16" s="68">
        <v>1002</v>
      </c>
      <c r="CM16" s="68">
        <v>1007</v>
      </c>
      <c r="CN16" s="68">
        <v>1007</v>
      </c>
      <c r="CO16" s="68">
        <v>1007</v>
      </c>
      <c r="CP16" s="68">
        <v>1179</v>
      </c>
      <c r="CQ16" s="68">
        <v>1179</v>
      </c>
      <c r="CR16" s="68">
        <v>1179</v>
      </c>
      <c r="CS16" s="68">
        <v>1179</v>
      </c>
    </row>
    <row r="17" spans="1:97" ht="15" customHeight="1">
      <c r="A17" s="2">
        <v>4200</v>
      </c>
      <c r="B17" s="2">
        <v>2.4</v>
      </c>
      <c r="C17" s="2">
        <v>6</v>
      </c>
      <c r="D17" s="2"/>
      <c r="E17" s="68">
        <v>746</v>
      </c>
      <c r="F17" s="68">
        <v>745</v>
      </c>
      <c r="G17" s="68">
        <v>746</v>
      </c>
      <c r="H17" s="68">
        <v>752</v>
      </c>
      <c r="I17" s="68">
        <v>755</v>
      </c>
      <c r="J17" s="68">
        <v>774</v>
      </c>
      <c r="K17" s="68">
        <v>774</v>
      </c>
      <c r="L17" s="68">
        <v>1245</v>
      </c>
      <c r="M17" s="68">
        <v>1331</v>
      </c>
      <c r="N17" s="68">
        <v>1331</v>
      </c>
      <c r="O17" s="68">
        <v>593</v>
      </c>
      <c r="P17" s="68">
        <v>722</v>
      </c>
      <c r="Q17" s="68">
        <v>636</v>
      </c>
      <c r="R17" s="68">
        <v>600</v>
      </c>
      <c r="S17" s="68">
        <v>593</v>
      </c>
      <c r="T17" s="68">
        <v>593</v>
      </c>
      <c r="U17" s="68">
        <v>603</v>
      </c>
      <c r="V17" s="68">
        <v>608</v>
      </c>
      <c r="W17" s="68">
        <v>622</v>
      </c>
      <c r="X17" s="68">
        <v>610</v>
      </c>
      <c r="Y17" s="68">
        <v>490</v>
      </c>
      <c r="Z17" s="68">
        <v>489</v>
      </c>
      <c r="AA17" s="68">
        <v>489</v>
      </c>
      <c r="AB17" s="68">
        <v>585</v>
      </c>
      <c r="AC17" s="68">
        <v>585</v>
      </c>
      <c r="AD17" s="68">
        <v>501</v>
      </c>
      <c r="AE17" s="68">
        <v>536</v>
      </c>
      <c r="AF17" s="68">
        <v>527</v>
      </c>
      <c r="AG17" s="68">
        <v>530</v>
      </c>
      <c r="AH17" s="68">
        <v>549</v>
      </c>
      <c r="AI17" s="68">
        <v>529</v>
      </c>
      <c r="AJ17" s="68">
        <v>526</v>
      </c>
      <c r="AK17" s="68">
        <v>532</v>
      </c>
      <c r="AL17" s="68">
        <v>570</v>
      </c>
      <c r="AM17" s="68">
        <v>574</v>
      </c>
      <c r="AN17" s="68">
        <v>515</v>
      </c>
      <c r="AO17" s="68">
        <v>519</v>
      </c>
      <c r="AP17" s="68">
        <v>512</v>
      </c>
      <c r="AQ17" s="68">
        <v>514</v>
      </c>
      <c r="AR17" s="68">
        <v>552</v>
      </c>
      <c r="AS17" s="68">
        <v>555</v>
      </c>
      <c r="AT17" s="68">
        <v>568</v>
      </c>
      <c r="AU17" s="68">
        <v>568</v>
      </c>
      <c r="AV17" s="68">
        <v>562</v>
      </c>
      <c r="AW17" s="68">
        <v>572</v>
      </c>
      <c r="AX17" s="68">
        <v>591</v>
      </c>
      <c r="AY17" s="68">
        <v>583</v>
      </c>
      <c r="AZ17" s="68">
        <v>591</v>
      </c>
      <c r="BA17" s="68">
        <v>610</v>
      </c>
      <c r="BB17" s="68">
        <v>613</v>
      </c>
      <c r="BC17" s="68">
        <v>653</v>
      </c>
      <c r="BD17" s="68">
        <v>661</v>
      </c>
      <c r="BE17" s="68">
        <v>663</v>
      </c>
      <c r="BF17" s="68">
        <v>653</v>
      </c>
      <c r="BG17" s="68">
        <v>660</v>
      </c>
      <c r="BH17" s="68">
        <v>662</v>
      </c>
      <c r="BI17" s="68">
        <v>666</v>
      </c>
      <c r="BJ17" s="68">
        <v>671</v>
      </c>
      <c r="BK17" s="68">
        <v>650</v>
      </c>
      <c r="BL17" s="68">
        <v>658</v>
      </c>
      <c r="BM17" s="68">
        <v>757</v>
      </c>
      <c r="BN17" s="68">
        <v>749</v>
      </c>
      <c r="BO17" s="68">
        <v>764</v>
      </c>
      <c r="BP17" s="68">
        <v>774</v>
      </c>
      <c r="BQ17" s="68">
        <v>777</v>
      </c>
      <c r="BR17" s="68">
        <v>780</v>
      </c>
      <c r="BS17" s="68">
        <v>787</v>
      </c>
      <c r="BT17" s="68">
        <v>787</v>
      </c>
      <c r="BU17" s="68">
        <v>857</v>
      </c>
      <c r="BV17" s="68">
        <v>838</v>
      </c>
      <c r="BW17" s="68">
        <v>870</v>
      </c>
      <c r="BX17" s="68">
        <v>880</v>
      </c>
      <c r="BY17" s="68">
        <v>869</v>
      </c>
      <c r="BZ17" s="68">
        <v>900</v>
      </c>
      <c r="CA17" s="68">
        <v>857</v>
      </c>
      <c r="CB17" s="68">
        <v>810</v>
      </c>
      <c r="CC17" s="68">
        <v>810</v>
      </c>
      <c r="CD17" s="68">
        <v>817</v>
      </c>
      <c r="CE17" s="68">
        <v>838</v>
      </c>
      <c r="CF17" s="68">
        <v>832</v>
      </c>
      <c r="CG17" s="68">
        <v>897</v>
      </c>
      <c r="CH17" s="68">
        <v>844</v>
      </c>
      <c r="CI17" s="68">
        <v>956</v>
      </c>
      <c r="CJ17" s="68">
        <v>1020</v>
      </c>
      <c r="CK17" s="68">
        <v>1015</v>
      </c>
      <c r="CL17" s="68">
        <v>1141</v>
      </c>
      <c r="CM17" s="68">
        <v>1147</v>
      </c>
      <c r="CN17" s="68">
        <v>1147</v>
      </c>
      <c r="CO17" s="68">
        <v>1147</v>
      </c>
      <c r="CP17" s="68">
        <v>1365</v>
      </c>
      <c r="CQ17" s="68">
        <v>1365</v>
      </c>
      <c r="CR17" s="68">
        <v>1365</v>
      </c>
      <c r="CS17" s="68">
        <v>1365</v>
      </c>
    </row>
    <row r="18" spans="1:97" ht="15" customHeight="1">
      <c r="A18" s="2">
        <v>4375</v>
      </c>
      <c r="B18" s="2">
        <v>2.5</v>
      </c>
      <c r="C18" s="2"/>
      <c r="D18" s="2">
        <v>5</v>
      </c>
      <c r="E18" s="68">
        <v>830</v>
      </c>
      <c r="F18" s="68">
        <v>830</v>
      </c>
      <c r="G18" s="68">
        <v>830</v>
      </c>
      <c r="H18" s="68">
        <v>833</v>
      </c>
      <c r="I18" s="68">
        <v>840</v>
      </c>
      <c r="J18" s="68">
        <v>855</v>
      </c>
      <c r="K18" s="68">
        <v>861</v>
      </c>
      <c r="L18" s="68">
        <v>1392</v>
      </c>
      <c r="M18" s="68">
        <v>1495</v>
      </c>
      <c r="N18" s="68">
        <v>1495</v>
      </c>
      <c r="O18" s="68">
        <v>616</v>
      </c>
      <c r="P18" s="68">
        <v>743</v>
      </c>
      <c r="Q18" s="68">
        <v>661</v>
      </c>
      <c r="R18" s="68">
        <v>622</v>
      </c>
      <c r="S18" s="68">
        <v>616</v>
      </c>
      <c r="T18" s="68">
        <v>616</v>
      </c>
      <c r="U18" s="68">
        <v>627</v>
      </c>
      <c r="V18" s="68">
        <v>632</v>
      </c>
      <c r="W18" s="68">
        <v>646</v>
      </c>
      <c r="X18" s="68">
        <v>634</v>
      </c>
      <c r="Y18" s="68">
        <v>508</v>
      </c>
      <c r="Z18" s="68">
        <v>507</v>
      </c>
      <c r="AA18" s="68">
        <v>507</v>
      </c>
      <c r="AB18" s="68">
        <v>609</v>
      </c>
      <c r="AC18" s="68">
        <v>609</v>
      </c>
      <c r="AD18" s="68">
        <v>513</v>
      </c>
      <c r="AE18" s="68">
        <v>548</v>
      </c>
      <c r="AF18" s="68">
        <v>555</v>
      </c>
      <c r="AG18" s="68">
        <v>548</v>
      </c>
      <c r="AH18" s="68">
        <v>576</v>
      </c>
      <c r="AI18" s="68">
        <v>561</v>
      </c>
      <c r="AJ18" s="68">
        <v>550</v>
      </c>
      <c r="AK18" s="68">
        <v>547</v>
      </c>
      <c r="AL18" s="68">
        <v>594</v>
      </c>
      <c r="AM18" s="68">
        <v>592</v>
      </c>
      <c r="AN18" s="68">
        <v>550</v>
      </c>
      <c r="AO18" s="68">
        <v>536</v>
      </c>
      <c r="AP18" s="68">
        <v>538</v>
      </c>
      <c r="AQ18" s="68">
        <v>531</v>
      </c>
      <c r="AR18" s="68">
        <v>574</v>
      </c>
      <c r="AS18" s="68">
        <v>574</v>
      </c>
      <c r="AT18" s="68">
        <v>588</v>
      </c>
      <c r="AU18" s="68">
        <v>590</v>
      </c>
      <c r="AV18" s="68">
        <v>590</v>
      </c>
      <c r="AW18" s="68">
        <v>584</v>
      </c>
      <c r="AX18" s="68">
        <v>617</v>
      </c>
      <c r="AY18" s="68">
        <v>611</v>
      </c>
      <c r="AZ18" s="68">
        <v>607</v>
      </c>
      <c r="BA18" s="68">
        <v>636</v>
      </c>
      <c r="BB18" s="68">
        <v>634</v>
      </c>
      <c r="BC18" s="68">
        <v>671</v>
      </c>
      <c r="BD18" s="68">
        <v>678</v>
      </c>
      <c r="BE18" s="68">
        <v>689</v>
      </c>
      <c r="BF18" s="68">
        <v>685</v>
      </c>
      <c r="BG18" s="68">
        <v>678</v>
      </c>
      <c r="BH18" s="68">
        <v>685</v>
      </c>
      <c r="BI18" s="68">
        <v>688</v>
      </c>
      <c r="BJ18" s="68">
        <v>700</v>
      </c>
      <c r="BK18" s="68">
        <v>679</v>
      </c>
      <c r="BL18" s="68">
        <v>675</v>
      </c>
      <c r="BM18" s="68">
        <v>827</v>
      </c>
      <c r="BN18" s="68">
        <v>824</v>
      </c>
      <c r="BO18" s="68">
        <v>844</v>
      </c>
      <c r="BP18" s="68">
        <v>854</v>
      </c>
      <c r="BQ18" s="68">
        <v>859</v>
      </c>
      <c r="BR18" s="68">
        <v>865</v>
      </c>
      <c r="BS18" s="68">
        <v>874</v>
      </c>
      <c r="BT18" s="68">
        <v>875</v>
      </c>
      <c r="BU18" s="68">
        <v>948</v>
      </c>
      <c r="BV18" s="68">
        <v>933</v>
      </c>
      <c r="BW18" s="68">
        <v>974</v>
      </c>
      <c r="BX18" s="68">
        <v>988</v>
      </c>
      <c r="BY18" s="68">
        <v>972</v>
      </c>
      <c r="BZ18" s="68">
        <v>975</v>
      </c>
      <c r="CA18" s="68">
        <v>927</v>
      </c>
      <c r="CB18" s="68">
        <v>899</v>
      </c>
      <c r="CC18" s="68">
        <v>904</v>
      </c>
      <c r="CD18" s="68">
        <v>912</v>
      </c>
      <c r="CE18" s="68">
        <v>931</v>
      </c>
      <c r="CF18" s="68">
        <v>928</v>
      </c>
      <c r="CG18" s="68">
        <v>948</v>
      </c>
      <c r="CH18" s="68">
        <v>933</v>
      </c>
      <c r="CI18" s="68">
        <v>1060</v>
      </c>
      <c r="CJ18" s="68">
        <v>1142</v>
      </c>
      <c r="CK18" s="68">
        <v>1136</v>
      </c>
      <c r="CL18" s="68">
        <v>1276</v>
      </c>
      <c r="CM18" s="68">
        <v>1286</v>
      </c>
      <c r="CN18" s="68">
        <v>1286</v>
      </c>
      <c r="CO18" s="68">
        <v>1286</v>
      </c>
      <c r="CP18" s="68">
        <v>1555</v>
      </c>
      <c r="CQ18" s="68">
        <v>1555</v>
      </c>
      <c r="CR18" s="68">
        <v>1555</v>
      </c>
      <c r="CS18" s="68">
        <v>1555</v>
      </c>
    </row>
    <row r="19" spans="1:97" ht="15" customHeight="1">
      <c r="A19" s="2">
        <v>4900</v>
      </c>
      <c r="B19" s="2">
        <v>2.8</v>
      </c>
      <c r="C19" s="2">
        <v>7</v>
      </c>
      <c r="D19" s="2"/>
      <c r="E19" s="68">
        <v>873</v>
      </c>
      <c r="F19" s="68">
        <v>880</v>
      </c>
      <c r="G19" s="68">
        <v>873</v>
      </c>
      <c r="H19" s="68">
        <v>894</v>
      </c>
      <c r="I19" s="68">
        <v>894</v>
      </c>
      <c r="J19" s="68">
        <v>922</v>
      </c>
      <c r="K19" s="68">
        <v>896</v>
      </c>
      <c r="L19" s="68">
        <v>1505</v>
      </c>
      <c r="M19" s="68">
        <v>1540</v>
      </c>
      <c r="N19" s="68">
        <v>1540</v>
      </c>
      <c r="O19" s="68">
        <v>640</v>
      </c>
      <c r="P19" s="68">
        <v>766</v>
      </c>
      <c r="Q19" s="68">
        <v>689</v>
      </c>
      <c r="R19" s="68">
        <v>646</v>
      </c>
      <c r="S19" s="68">
        <v>640</v>
      </c>
      <c r="T19" s="68">
        <v>646</v>
      </c>
      <c r="U19" s="68">
        <v>653</v>
      </c>
      <c r="V19" s="68">
        <v>661</v>
      </c>
      <c r="W19" s="68">
        <v>678</v>
      </c>
      <c r="X19" s="68">
        <v>670</v>
      </c>
      <c r="Y19" s="68">
        <v>542</v>
      </c>
      <c r="Z19" s="68">
        <v>542</v>
      </c>
      <c r="AA19" s="68">
        <v>542</v>
      </c>
      <c r="AB19" s="68">
        <v>631</v>
      </c>
      <c r="AC19" s="68">
        <v>631</v>
      </c>
      <c r="AD19" s="68">
        <v>549</v>
      </c>
      <c r="AE19" s="68">
        <v>585</v>
      </c>
      <c r="AF19" s="68">
        <v>577</v>
      </c>
      <c r="AG19" s="68">
        <v>577</v>
      </c>
      <c r="AH19" s="68">
        <v>598</v>
      </c>
      <c r="AI19" s="68">
        <v>583</v>
      </c>
      <c r="AJ19" s="68">
        <v>583</v>
      </c>
      <c r="AK19" s="68">
        <v>584</v>
      </c>
      <c r="AL19" s="68">
        <v>630</v>
      </c>
      <c r="AM19" s="68">
        <v>629</v>
      </c>
      <c r="AN19" s="68">
        <v>573</v>
      </c>
      <c r="AO19" s="68">
        <v>571</v>
      </c>
      <c r="AP19" s="68">
        <v>562</v>
      </c>
      <c r="AQ19" s="68">
        <v>560</v>
      </c>
      <c r="AR19" s="68">
        <v>600</v>
      </c>
      <c r="AS19" s="68">
        <v>600</v>
      </c>
      <c r="AT19" s="68">
        <v>620</v>
      </c>
      <c r="AU19" s="68">
        <v>618</v>
      </c>
      <c r="AV19" s="68">
        <v>618</v>
      </c>
      <c r="AW19" s="68">
        <v>618</v>
      </c>
      <c r="AX19" s="68">
        <v>641</v>
      </c>
      <c r="AY19" s="68">
        <v>631</v>
      </c>
      <c r="AZ19" s="68">
        <v>635</v>
      </c>
      <c r="BA19" s="68">
        <v>665</v>
      </c>
      <c r="BB19" s="68">
        <v>664</v>
      </c>
      <c r="BC19" s="68">
        <v>708</v>
      </c>
      <c r="BD19" s="68">
        <v>712</v>
      </c>
      <c r="BE19" s="68">
        <v>719</v>
      </c>
      <c r="BF19" s="68">
        <v>708</v>
      </c>
      <c r="BG19" s="68">
        <v>712</v>
      </c>
      <c r="BH19" s="68">
        <v>717</v>
      </c>
      <c r="BI19" s="68">
        <v>721</v>
      </c>
      <c r="BJ19" s="68">
        <v>732</v>
      </c>
      <c r="BK19" s="68">
        <v>704</v>
      </c>
      <c r="BL19" s="68">
        <v>705</v>
      </c>
      <c r="BM19" s="68">
        <v>857</v>
      </c>
      <c r="BN19" s="68">
        <v>859</v>
      </c>
      <c r="BO19" s="68">
        <v>885</v>
      </c>
      <c r="BP19" s="68">
        <v>897</v>
      </c>
      <c r="BQ19" s="68">
        <v>904</v>
      </c>
      <c r="BR19" s="68">
        <v>910</v>
      </c>
      <c r="BS19" s="68">
        <v>919</v>
      </c>
      <c r="BT19" s="68">
        <v>920</v>
      </c>
      <c r="BU19" s="68">
        <v>989</v>
      </c>
      <c r="BV19" s="68">
        <v>985</v>
      </c>
      <c r="BW19" s="68">
        <v>1034</v>
      </c>
      <c r="BX19" s="68">
        <v>1037</v>
      </c>
      <c r="BY19" s="68">
        <v>1031</v>
      </c>
      <c r="BZ19" s="68">
        <v>1019</v>
      </c>
      <c r="CA19" s="68">
        <v>968</v>
      </c>
      <c r="CB19" s="68">
        <v>959</v>
      </c>
      <c r="CC19" s="68">
        <v>956</v>
      </c>
      <c r="CD19" s="68">
        <v>964</v>
      </c>
      <c r="CE19" s="68">
        <v>985</v>
      </c>
      <c r="CF19" s="68">
        <v>1002</v>
      </c>
      <c r="CG19" s="68">
        <v>997</v>
      </c>
      <c r="CH19" s="68">
        <v>985</v>
      </c>
      <c r="CI19" s="68">
        <v>1127</v>
      </c>
      <c r="CJ19" s="68">
        <v>1221</v>
      </c>
      <c r="CK19" s="68">
        <v>1215</v>
      </c>
      <c r="CL19" s="68">
        <v>1364</v>
      </c>
      <c r="CM19" s="68">
        <v>1377</v>
      </c>
      <c r="CN19" s="68">
        <v>1377</v>
      </c>
      <c r="CO19" s="68">
        <v>1377</v>
      </c>
      <c r="CP19" s="68">
        <v>1637</v>
      </c>
      <c r="CQ19" s="68">
        <v>1637</v>
      </c>
      <c r="CR19" s="68">
        <v>1637</v>
      </c>
      <c r="CS19" s="68">
        <v>1637</v>
      </c>
    </row>
    <row r="20" spans="1:97" ht="15" customHeight="1">
      <c r="A20" s="2">
        <v>5250</v>
      </c>
      <c r="B20" s="2">
        <v>3</v>
      </c>
      <c r="C20" s="2"/>
      <c r="D20" s="2">
        <v>6</v>
      </c>
      <c r="E20" s="68">
        <v>910</v>
      </c>
      <c r="F20" s="68">
        <v>915</v>
      </c>
      <c r="G20" s="68">
        <v>912</v>
      </c>
      <c r="H20" s="68">
        <v>934</v>
      </c>
      <c r="I20" s="68">
        <v>933</v>
      </c>
      <c r="J20" s="68">
        <v>960</v>
      </c>
      <c r="K20" s="68">
        <v>932</v>
      </c>
      <c r="L20" s="68">
        <v>1579</v>
      </c>
      <c r="M20" s="68">
        <v>1599</v>
      </c>
      <c r="N20" s="68">
        <v>1599</v>
      </c>
      <c r="O20" s="68">
        <v>665</v>
      </c>
      <c r="P20" s="68">
        <v>789</v>
      </c>
      <c r="Q20" s="68">
        <v>714</v>
      </c>
      <c r="R20" s="68">
        <v>667</v>
      </c>
      <c r="S20" s="68">
        <v>665</v>
      </c>
      <c r="T20" s="68">
        <v>667</v>
      </c>
      <c r="U20" s="68">
        <v>678</v>
      </c>
      <c r="V20" s="68">
        <v>684</v>
      </c>
      <c r="W20" s="68">
        <v>704</v>
      </c>
      <c r="X20" s="68">
        <v>695</v>
      </c>
      <c r="Y20" s="68">
        <v>565</v>
      </c>
      <c r="Z20" s="68">
        <v>565</v>
      </c>
      <c r="AA20" s="68">
        <v>565</v>
      </c>
      <c r="AB20" s="68">
        <v>653</v>
      </c>
      <c r="AC20" s="68">
        <v>653</v>
      </c>
      <c r="AD20" s="68">
        <v>574</v>
      </c>
      <c r="AE20" s="68">
        <v>608</v>
      </c>
      <c r="AF20" s="68">
        <v>598</v>
      </c>
      <c r="AG20" s="68">
        <v>598</v>
      </c>
      <c r="AH20" s="68">
        <v>621</v>
      </c>
      <c r="AI20" s="68">
        <v>610</v>
      </c>
      <c r="AJ20" s="68">
        <v>607</v>
      </c>
      <c r="AK20" s="68">
        <v>608</v>
      </c>
      <c r="AL20" s="68">
        <v>657</v>
      </c>
      <c r="AM20" s="68">
        <v>657</v>
      </c>
      <c r="AN20" s="68">
        <v>595</v>
      </c>
      <c r="AO20" s="68">
        <v>594</v>
      </c>
      <c r="AP20" s="68">
        <v>580</v>
      </c>
      <c r="AQ20" s="68">
        <v>584</v>
      </c>
      <c r="AR20" s="68">
        <v>622</v>
      </c>
      <c r="AS20" s="68">
        <v>624</v>
      </c>
      <c r="AT20" s="68">
        <v>641</v>
      </c>
      <c r="AU20" s="68">
        <v>641</v>
      </c>
      <c r="AV20" s="68">
        <v>640</v>
      </c>
      <c r="AW20" s="68">
        <v>643</v>
      </c>
      <c r="AX20" s="68">
        <v>664</v>
      </c>
      <c r="AY20" s="68">
        <v>652</v>
      </c>
      <c r="AZ20" s="68">
        <v>657</v>
      </c>
      <c r="BA20" s="68">
        <v>690</v>
      </c>
      <c r="BB20" s="68">
        <v>691</v>
      </c>
      <c r="BC20" s="68">
        <v>733</v>
      </c>
      <c r="BD20" s="68">
        <v>737</v>
      </c>
      <c r="BE20" s="68">
        <v>746</v>
      </c>
      <c r="BF20" s="68">
        <v>733</v>
      </c>
      <c r="BG20" s="68">
        <v>737</v>
      </c>
      <c r="BH20" s="68">
        <v>743</v>
      </c>
      <c r="BI20" s="68">
        <v>747</v>
      </c>
      <c r="BJ20" s="68">
        <v>758</v>
      </c>
      <c r="BK20" s="68">
        <v>728</v>
      </c>
      <c r="BL20" s="68">
        <v>731</v>
      </c>
      <c r="BM20" s="68">
        <v>884</v>
      </c>
      <c r="BN20" s="68">
        <v>891</v>
      </c>
      <c r="BO20" s="68">
        <v>921</v>
      </c>
      <c r="BP20" s="68">
        <v>932</v>
      </c>
      <c r="BQ20" s="68">
        <v>936</v>
      </c>
      <c r="BR20" s="68">
        <v>943</v>
      </c>
      <c r="BS20" s="68">
        <v>959</v>
      </c>
      <c r="BT20" s="68">
        <v>960</v>
      </c>
      <c r="BU20" s="68">
        <v>1029</v>
      </c>
      <c r="BV20" s="68">
        <v>1027</v>
      </c>
      <c r="BW20" s="68">
        <v>1083</v>
      </c>
      <c r="BX20" s="68">
        <v>1082</v>
      </c>
      <c r="BY20" s="68">
        <v>1079</v>
      </c>
      <c r="BZ20" s="68">
        <v>1060</v>
      </c>
      <c r="CA20" s="68">
        <v>1009</v>
      </c>
      <c r="CB20" s="68">
        <v>997</v>
      </c>
      <c r="CC20" s="68">
        <v>997</v>
      </c>
      <c r="CD20" s="68">
        <v>1006</v>
      </c>
      <c r="CE20" s="68">
        <v>1039</v>
      </c>
      <c r="CF20" s="68">
        <v>1050</v>
      </c>
      <c r="CG20" s="68">
        <v>1031</v>
      </c>
      <c r="CH20" s="68">
        <v>1037</v>
      </c>
      <c r="CI20" s="68">
        <v>1189</v>
      </c>
      <c r="CJ20" s="68">
        <v>1292</v>
      </c>
      <c r="CK20" s="68">
        <v>1293</v>
      </c>
      <c r="CL20" s="68">
        <v>1452</v>
      </c>
      <c r="CM20" s="68">
        <v>1463</v>
      </c>
      <c r="CN20" s="68">
        <v>1463</v>
      </c>
      <c r="CO20" s="68">
        <v>1463</v>
      </c>
      <c r="CP20" s="68">
        <v>1700</v>
      </c>
      <c r="CQ20" s="68">
        <v>1700</v>
      </c>
      <c r="CR20" s="68">
        <v>1700</v>
      </c>
      <c r="CS20" s="68">
        <v>1700</v>
      </c>
    </row>
    <row r="21" spans="1:97" ht="15" customHeight="1">
      <c r="A21" s="2">
        <v>5600</v>
      </c>
      <c r="B21" s="2">
        <v>3.2</v>
      </c>
      <c r="C21" s="2">
        <v>8</v>
      </c>
      <c r="D21" s="2"/>
      <c r="E21" s="68">
        <v>947</v>
      </c>
      <c r="F21" s="68">
        <v>950</v>
      </c>
      <c r="G21" s="68">
        <v>947</v>
      </c>
      <c r="H21" s="68">
        <v>973</v>
      </c>
      <c r="I21" s="68">
        <v>973</v>
      </c>
      <c r="J21" s="68">
        <v>982</v>
      </c>
      <c r="K21" s="68">
        <v>969</v>
      </c>
      <c r="L21" s="68">
        <v>1653</v>
      </c>
      <c r="M21" s="68">
        <v>1712</v>
      </c>
      <c r="N21" s="68">
        <v>1712</v>
      </c>
      <c r="O21" s="68">
        <v>692</v>
      </c>
      <c r="P21" s="68">
        <v>817</v>
      </c>
      <c r="Q21" s="68">
        <v>743</v>
      </c>
      <c r="R21" s="68">
        <v>694</v>
      </c>
      <c r="S21" s="68">
        <v>692</v>
      </c>
      <c r="T21" s="68">
        <v>694</v>
      </c>
      <c r="U21" s="68">
        <v>703</v>
      </c>
      <c r="V21" s="68">
        <v>711</v>
      </c>
      <c r="W21" s="68">
        <v>732</v>
      </c>
      <c r="X21" s="68">
        <v>722</v>
      </c>
      <c r="Y21" s="68">
        <v>587</v>
      </c>
      <c r="Z21" s="68">
        <v>587</v>
      </c>
      <c r="AA21" s="68">
        <v>587</v>
      </c>
      <c r="AB21" s="68">
        <v>677</v>
      </c>
      <c r="AC21" s="68">
        <v>677</v>
      </c>
      <c r="AD21" s="68">
        <v>595</v>
      </c>
      <c r="AE21" s="68">
        <v>634</v>
      </c>
      <c r="AF21" s="68">
        <v>626</v>
      </c>
      <c r="AG21" s="68">
        <v>620</v>
      </c>
      <c r="AH21" s="68">
        <v>648</v>
      </c>
      <c r="AI21" s="68">
        <v>637</v>
      </c>
      <c r="AJ21" s="68">
        <v>634</v>
      </c>
      <c r="AK21" s="68">
        <v>634</v>
      </c>
      <c r="AL21" s="68">
        <v>679</v>
      </c>
      <c r="AM21" s="68">
        <v>683</v>
      </c>
      <c r="AN21" s="68">
        <v>632</v>
      </c>
      <c r="AO21" s="68">
        <v>618</v>
      </c>
      <c r="AP21" s="68">
        <v>610</v>
      </c>
      <c r="AQ21" s="68">
        <v>605</v>
      </c>
      <c r="AR21" s="68">
        <v>648</v>
      </c>
      <c r="AS21" s="68">
        <v>647</v>
      </c>
      <c r="AT21" s="68">
        <v>670</v>
      </c>
      <c r="AU21" s="68">
        <v>666</v>
      </c>
      <c r="AV21" s="68">
        <v>666</v>
      </c>
      <c r="AW21" s="68">
        <v>665</v>
      </c>
      <c r="AX21" s="68">
        <v>690</v>
      </c>
      <c r="AY21" s="68">
        <v>677</v>
      </c>
      <c r="AZ21" s="68">
        <v>676</v>
      </c>
      <c r="BA21" s="68">
        <v>721</v>
      </c>
      <c r="BB21" s="68">
        <v>717</v>
      </c>
      <c r="BC21" s="68">
        <v>758</v>
      </c>
      <c r="BD21" s="68">
        <v>761</v>
      </c>
      <c r="BE21" s="68">
        <v>775</v>
      </c>
      <c r="BF21" s="68">
        <v>763</v>
      </c>
      <c r="BG21" s="68">
        <v>761</v>
      </c>
      <c r="BH21" s="68">
        <v>769</v>
      </c>
      <c r="BI21" s="68">
        <v>774</v>
      </c>
      <c r="BJ21" s="68">
        <v>789</v>
      </c>
      <c r="BK21" s="68">
        <v>756</v>
      </c>
      <c r="BL21" s="68">
        <v>755</v>
      </c>
      <c r="BM21" s="68">
        <v>922</v>
      </c>
      <c r="BN21" s="68">
        <v>918</v>
      </c>
      <c r="BO21" s="68">
        <v>962</v>
      </c>
      <c r="BP21" s="68">
        <v>966</v>
      </c>
      <c r="BQ21" s="68">
        <v>973</v>
      </c>
      <c r="BR21" s="68">
        <v>980</v>
      </c>
      <c r="BS21" s="68">
        <v>994</v>
      </c>
      <c r="BT21" s="68">
        <v>997</v>
      </c>
      <c r="BU21" s="68">
        <v>1080</v>
      </c>
      <c r="BV21" s="68">
        <v>1070</v>
      </c>
      <c r="BW21" s="68">
        <v>1130</v>
      </c>
      <c r="BX21" s="68">
        <v>1139</v>
      </c>
      <c r="BY21" s="68">
        <v>1125</v>
      </c>
      <c r="BZ21" s="68">
        <v>1117</v>
      </c>
      <c r="CA21" s="68">
        <v>1070</v>
      </c>
      <c r="CB21" s="68">
        <v>1049</v>
      </c>
      <c r="CC21" s="68">
        <v>1037</v>
      </c>
      <c r="CD21" s="68">
        <v>1050</v>
      </c>
      <c r="CE21" s="68">
        <v>1075</v>
      </c>
      <c r="CF21" s="68">
        <v>1098</v>
      </c>
      <c r="CG21" s="68">
        <v>1097</v>
      </c>
      <c r="CH21" s="68">
        <v>1071</v>
      </c>
      <c r="CI21" s="68">
        <v>1235</v>
      </c>
      <c r="CJ21" s="68">
        <v>1345</v>
      </c>
      <c r="CK21" s="68">
        <v>1343</v>
      </c>
      <c r="CL21" s="68">
        <v>1509</v>
      </c>
      <c r="CM21" s="68">
        <v>1521</v>
      </c>
      <c r="CN21" s="68">
        <v>1521</v>
      </c>
      <c r="CO21" s="68">
        <v>1521</v>
      </c>
      <c r="CP21" s="68">
        <v>1813</v>
      </c>
      <c r="CQ21" s="68">
        <v>1813</v>
      </c>
      <c r="CR21" s="68">
        <v>1813</v>
      </c>
      <c r="CS21" s="68">
        <v>1813</v>
      </c>
    </row>
    <row r="22" spans="1:97" ht="15" customHeight="1">
      <c r="A22" s="2">
        <v>6125</v>
      </c>
      <c r="B22" s="2">
        <v>3.5</v>
      </c>
      <c r="C22" s="2"/>
      <c r="D22" s="2">
        <v>7</v>
      </c>
      <c r="E22" s="68">
        <v>982</v>
      </c>
      <c r="F22" s="68">
        <v>983</v>
      </c>
      <c r="G22" s="68">
        <v>982</v>
      </c>
      <c r="H22" s="68">
        <v>1010</v>
      </c>
      <c r="I22" s="68">
        <v>1010</v>
      </c>
      <c r="J22" s="68">
        <v>1019</v>
      </c>
      <c r="K22" s="68">
        <v>1002</v>
      </c>
      <c r="L22" s="68">
        <v>1736</v>
      </c>
      <c r="M22" s="68">
        <v>1780</v>
      </c>
      <c r="N22" s="68">
        <v>1780</v>
      </c>
      <c r="O22" s="68">
        <v>715</v>
      </c>
      <c r="P22" s="68">
        <v>836</v>
      </c>
      <c r="Q22" s="68">
        <v>763</v>
      </c>
      <c r="R22" s="68">
        <v>714</v>
      </c>
      <c r="S22" s="68">
        <v>715</v>
      </c>
      <c r="T22" s="68">
        <v>714</v>
      </c>
      <c r="U22" s="68">
        <v>723</v>
      </c>
      <c r="V22" s="68">
        <v>731</v>
      </c>
      <c r="W22" s="68">
        <v>755</v>
      </c>
      <c r="X22" s="68">
        <v>746</v>
      </c>
      <c r="Y22" s="68">
        <v>609</v>
      </c>
      <c r="Z22" s="68">
        <v>609</v>
      </c>
      <c r="AA22" s="68">
        <v>609</v>
      </c>
      <c r="AB22" s="68">
        <v>695</v>
      </c>
      <c r="AC22" s="68">
        <v>695</v>
      </c>
      <c r="AD22" s="68">
        <v>632</v>
      </c>
      <c r="AE22" s="68">
        <v>658</v>
      </c>
      <c r="AF22" s="68">
        <v>643</v>
      </c>
      <c r="AG22" s="68">
        <v>652</v>
      </c>
      <c r="AH22" s="68">
        <v>665</v>
      </c>
      <c r="AI22" s="68">
        <v>655</v>
      </c>
      <c r="AJ22" s="68">
        <v>655</v>
      </c>
      <c r="AK22" s="68">
        <v>669</v>
      </c>
      <c r="AL22" s="68">
        <v>708</v>
      </c>
      <c r="AM22" s="68">
        <v>714</v>
      </c>
      <c r="AN22" s="68">
        <v>643</v>
      </c>
      <c r="AO22" s="68">
        <v>643</v>
      </c>
      <c r="AP22" s="68">
        <v>625</v>
      </c>
      <c r="AQ22" s="68">
        <v>634</v>
      </c>
      <c r="AR22" s="68">
        <v>665</v>
      </c>
      <c r="AS22" s="68">
        <v>673</v>
      </c>
      <c r="AT22" s="68">
        <v>686</v>
      </c>
      <c r="AU22" s="68">
        <v>686</v>
      </c>
      <c r="AV22" s="68">
        <v>686</v>
      </c>
      <c r="AW22" s="68">
        <v>701</v>
      </c>
      <c r="AX22" s="68">
        <v>707</v>
      </c>
      <c r="AY22" s="68">
        <v>692</v>
      </c>
      <c r="AZ22" s="68">
        <v>702</v>
      </c>
      <c r="BA22" s="68">
        <v>737</v>
      </c>
      <c r="BB22" s="68">
        <v>749</v>
      </c>
      <c r="BC22" s="68">
        <v>782</v>
      </c>
      <c r="BD22" s="68">
        <v>794</v>
      </c>
      <c r="BE22" s="68">
        <v>796</v>
      </c>
      <c r="BF22" s="68">
        <v>782</v>
      </c>
      <c r="BG22" s="68">
        <v>791</v>
      </c>
      <c r="BH22" s="68">
        <v>795</v>
      </c>
      <c r="BI22" s="68">
        <v>806</v>
      </c>
      <c r="BJ22" s="68">
        <v>812</v>
      </c>
      <c r="BK22" s="68">
        <v>775</v>
      </c>
      <c r="BL22" s="68">
        <v>785</v>
      </c>
      <c r="BM22" s="68">
        <v>942</v>
      </c>
      <c r="BN22" s="68">
        <v>958</v>
      </c>
      <c r="BO22" s="68">
        <v>994</v>
      </c>
      <c r="BP22" s="68">
        <v>1005</v>
      </c>
      <c r="BQ22" s="68">
        <v>1011</v>
      </c>
      <c r="BR22" s="68">
        <v>1026</v>
      </c>
      <c r="BS22" s="68">
        <v>1034</v>
      </c>
      <c r="BT22" s="68">
        <v>1045</v>
      </c>
      <c r="BU22" s="68">
        <v>1108</v>
      </c>
      <c r="BV22" s="68">
        <v>1123</v>
      </c>
      <c r="BW22" s="68">
        <v>1188</v>
      </c>
      <c r="BX22" s="68">
        <v>1176</v>
      </c>
      <c r="BY22" s="68">
        <v>1184</v>
      </c>
      <c r="BZ22" s="68">
        <v>1148</v>
      </c>
      <c r="CA22" s="68">
        <v>1091</v>
      </c>
      <c r="CB22" s="68">
        <v>1077</v>
      </c>
      <c r="CC22" s="68">
        <v>1088</v>
      </c>
      <c r="CD22" s="68">
        <v>1103</v>
      </c>
      <c r="CE22" s="68">
        <v>1146</v>
      </c>
      <c r="CF22" s="68">
        <v>1166</v>
      </c>
      <c r="CG22" s="68">
        <v>1111</v>
      </c>
      <c r="CH22" s="68">
        <v>1140</v>
      </c>
      <c r="CI22" s="68">
        <v>1319</v>
      </c>
      <c r="CJ22" s="68">
        <v>1416</v>
      </c>
      <c r="CK22" s="68">
        <v>1445</v>
      </c>
      <c r="CL22" s="68">
        <v>1609</v>
      </c>
      <c r="CM22" s="68">
        <v>1609</v>
      </c>
      <c r="CN22" s="68">
        <v>1609</v>
      </c>
      <c r="CO22" s="68">
        <v>1643</v>
      </c>
      <c r="CP22" s="68">
        <v>2038</v>
      </c>
      <c r="CQ22" s="68">
        <v>2038</v>
      </c>
      <c r="CR22" s="68">
        <v>2038</v>
      </c>
      <c r="CS22" s="68">
        <v>2038</v>
      </c>
    </row>
    <row r="23" spans="1:97" ht="15" customHeight="1">
      <c r="A23" s="2">
        <v>6300</v>
      </c>
      <c r="B23" s="2">
        <v>3.6</v>
      </c>
      <c r="C23" s="2">
        <v>9</v>
      </c>
      <c r="D23" s="2"/>
      <c r="E23" s="68">
        <v>1019</v>
      </c>
      <c r="F23" s="68">
        <v>1021</v>
      </c>
      <c r="G23" s="68">
        <v>1019</v>
      </c>
      <c r="H23" s="68">
        <v>1051</v>
      </c>
      <c r="I23" s="68">
        <v>1051</v>
      </c>
      <c r="J23" s="68">
        <v>1072</v>
      </c>
      <c r="K23" s="68">
        <v>1040</v>
      </c>
      <c r="L23" s="68">
        <v>1804</v>
      </c>
      <c r="M23" s="68">
        <v>1853</v>
      </c>
      <c r="N23" s="68">
        <v>1853</v>
      </c>
      <c r="O23" s="68">
        <v>743</v>
      </c>
      <c r="P23" s="68">
        <v>869</v>
      </c>
      <c r="Q23" s="68">
        <v>794</v>
      </c>
      <c r="R23" s="68">
        <v>743</v>
      </c>
      <c r="S23" s="68">
        <v>743</v>
      </c>
      <c r="T23" s="68">
        <v>743</v>
      </c>
      <c r="U23" s="68">
        <v>751</v>
      </c>
      <c r="V23" s="68">
        <v>759</v>
      </c>
      <c r="W23" s="68">
        <v>785</v>
      </c>
      <c r="X23" s="68">
        <v>775</v>
      </c>
      <c r="Y23" s="68">
        <v>633</v>
      </c>
      <c r="Z23" s="68">
        <v>633</v>
      </c>
      <c r="AA23" s="68">
        <v>633</v>
      </c>
      <c r="AB23" s="68">
        <v>722</v>
      </c>
      <c r="AC23" s="68">
        <v>722</v>
      </c>
      <c r="AD23" s="68">
        <v>643</v>
      </c>
      <c r="AE23" s="68">
        <v>679</v>
      </c>
      <c r="AF23" s="68">
        <v>683</v>
      </c>
      <c r="AG23" s="68">
        <v>668</v>
      </c>
      <c r="AH23" s="68">
        <v>709</v>
      </c>
      <c r="AI23" s="68">
        <v>692</v>
      </c>
      <c r="AJ23" s="68">
        <v>679</v>
      </c>
      <c r="AK23" s="68">
        <v>679</v>
      </c>
      <c r="AL23" s="68">
        <v>734</v>
      </c>
      <c r="AM23" s="68">
        <v>737</v>
      </c>
      <c r="AN23" s="68">
        <v>689</v>
      </c>
      <c r="AO23" s="68">
        <v>668</v>
      </c>
      <c r="AP23" s="68">
        <v>667</v>
      </c>
      <c r="AQ23" s="68">
        <v>649</v>
      </c>
      <c r="AR23" s="68">
        <v>695</v>
      </c>
      <c r="AS23" s="68">
        <v>692</v>
      </c>
      <c r="AT23" s="68">
        <v>722</v>
      </c>
      <c r="AU23" s="68">
        <v>714</v>
      </c>
      <c r="AV23" s="68">
        <v>714</v>
      </c>
      <c r="AW23" s="68">
        <v>713</v>
      </c>
      <c r="AX23" s="68">
        <v>740</v>
      </c>
      <c r="AY23" s="68">
        <v>733</v>
      </c>
      <c r="AZ23" s="68">
        <v>719</v>
      </c>
      <c r="BA23" s="68">
        <v>776</v>
      </c>
      <c r="BB23" s="68">
        <v>765</v>
      </c>
      <c r="BC23" s="68">
        <v>807</v>
      </c>
      <c r="BD23" s="68">
        <v>811</v>
      </c>
      <c r="BE23" s="68">
        <v>828</v>
      </c>
      <c r="BF23" s="68">
        <v>828</v>
      </c>
      <c r="BG23" s="68">
        <v>811</v>
      </c>
      <c r="BH23" s="68">
        <v>822</v>
      </c>
      <c r="BI23" s="68">
        <v>827</v>
      </c>
      <c r="BJ23" s="68">
        <v>846</v>
      </c>
      <c r="BK23" s="68">
        <v>822</v>
      </c>
      <c r="BL23" s="68">
        <v>805</v>
      </c>
      <c r="BM23" s="68">
        <v>997</v>
      </c>
      <c r="BN23" s="68">
        <v>978</v>
      </c>
      <c r="BO23" s="68">
        <v>1012</v>
      </c>
      <c r="BP23" s="68">
        <v>1033</v>
      </c>
      <c r="BQ23" s="68">
        <v>1043</v>
      </c>
      <c r="BR23" s="68">
        <v>1052</v>
      </c>
      <c r="BS23" s="68">
        <v>1068</v>
      </c>
      <c r="BT23" s="68">
        <v>1075</v>
      </c>
      <c r="BU23" s="68">
        <v>1189</v>
      </c>
      <c r="BV23" s="68">
        <v>1151</v>
      </c>
      <c r="BW23" s="68">
        <v>1227</v>
      </c>
      <c r="BX23" s="68">
        <v>1245</v>
      </c>
      <c r="BY23" s="68">
        <v>1221</v>
      </c>
      <c r="BZ23" s="68">
        <v>1237</v>
      </c>
      <c r="CA23" s="68">
        <v>1173</v>
      </c>
      <c r="CB23" s="68">
        <v>1133</v>
      </c>
      <c r="CC23" s="68">
        <v>1120</v>
      </c>
      <c r="CD23" s="68">
        <v>1133</v>
      </c>
      <c r="CE23" s="68">
        <v>1165</v>
      </c>
      <c r="CF23" s="68">
        <v>1190</v>
      </c>
      <c r="CG23" s="68">
        <v>1196</v>
      </c>
      <c r="CH23" s="68">
        <v>1155</v>
      </c>
      <c r="CI23" s="68">
        <v>1343</v>
      </c>
      <c r="CJ23" s="68">
        <v>1484</v>
      </c>
      <c r="CK23" s="68">
        <v>1473</v>
      </c>
      <c r="CL23" s="68">
        <v>1656</v>
      </c>
      <c r="CM23" s="68">
        <v>1671</v>
      </c>
      <c r="CN23" s="68">
        <v>1671</v>
      </c>
      <c r="CO23" s="68">
        <v>1671</v>
      </c>
      <c r="CP23" s="68">
        <v>2119</v>
      </c>
      <c r="CQ23" s="68">
        <v>2119</v>
      </c>
      <c r="CR23" s="68">
        <v>2119</v>
      </c>
      <c r="CS23" s="68">
        <v>2119</v>
      </c>
    </row>
    <row r="24" spans="1:97" ht="15" customHeight="1">
      <c r="A24" s="2">
        <v>7000</v>
      </c>
      <c r="B24" s="2">
        <v>4</v>
      </c>
      <c r="C24" s="2">
        <v>10</v>
      </c>
      <c r="D24" s="2">
        <v>8</v>
      </c>
      <c r="E24" s="68">
        <v>1094</v>
      </c>
      <c r="F24" s="68">
        <v>1094</v>
      </c>
      <c r="G24" s="68">
        <v>1094</v>
      </c>
      <c r="H24" s="68">
        <v>1129</v>
      </c>
      <c r="I24" s="68">
        <v>1129</v>
      </c>
      <c r="J24" s="68">
        <v>1148</v>
      </c>
      <c r="K24" s="68">
        <v>1110</v>
      </c>
      <c r="L24" s="68">
        <v>1952</v>
      </c>
      <c r="M24" s="68">
        <v>2002</v>
      </c>
      <c r="N24" s="68">
        <v>2002</v>
      </c>
      <c r="O24" s="68">
        <v>793</v>
      </c>
      <c r="P24" s="68">
        <v>914</v>
      </c>
      <c r="Q24" s="68">
        <v>847</v>
      </c>
      <c r="R24" s="68">
        <v>789</v>
      </c>
      <c r="S24" s="68">
        <v>793</v>
      </c>
      <c r="T24" s="68">
        <v>789</v>
      </c>
      <c r="U24" s="68">
        <v>799</v>
      </c>
      <c r="V24" s="68">
        <v>807</v>
      </c>
      <c r="W24" s="68">
        <v>838</v>
      </c>
      <c r="X24" s="68">
        <v>827</v>
      </c>
      <c r="Y24" s="68">
        <v>677</v>
      </c>
      <c r="Z24" s="68">
        <v>677</v>
      </c>
      <c r="AA24" s="68">
        <v>677</v>
      </c>
      <c r="AB24" s="68">
        <v>768</v>
      </c>
      <c r="AC24" s="68">
        <v>768</v>
      </c>
      <c r="AD24" s="68">
        <v>692</v>
      </c>
      <c r="AE24" s="68">
        <v>727</v>
      </c>
      <c r="AF24" s="68">
        <v>729</v>
      </c>
      <c r="AG24" s="68">
        <v>714</v>
      </c>
      <c r="AH24" s="68">
        <v>754</v>
      </c>
      <c r="AI24" s="68">
        <v>738</v>
      </c>
      <c r="AJ24" s="68">
        <v>732</v>
      </c>
      <c r="AK24" s="68">
        <v>732</v>
      </c>
      <c r="AL24" s="68">
        <v>785</v>
      </c>
      <c r="AM24" s="68">
        <v>792</v>
      </c>
      <c r="AN24" s="68">
        <v>736</v>
      </c>
      <c r="AO24" s="68">
        <v>716</v>
      </c>
      <c r="AP24" s="68">
        <v>711</v>
      </c>
      <c r="AQ24" s="68">
        <v>694</v>
      </c>
      <c r="AR24" s="68">
        <v>743</v>
      </c>
      <c r="AS24" s="68">
        <v>737</v>
      </c>
      <c r="AT24" s="68">
        <v>769</v>
      </c>
      <c r="AU24" s="68">
        <v>761</v>
      </c>
      <c r="AV24" s="68">
        <v>761</v>
      </c>
      <c r="AW24" s="68">
        <v>758</v>
      </c>
      <c r="AX24" s="68">
        <v>785</v>
      </c>
      <c r="AY24" s="68">
        <v>775</v>
      </c>
      <c r="AZ24" s="68">
        <v>761</v>
      </c>
      <c r="BA24" s="68">
        <v>828</v>
      </c>
      <c r="BB24" s="68">
        <v>819</v>
      </c>
      <c r="BC24" s="68">
        <v>857</v>
      </c>
      <c r="BD24" s="68">
        <v>863</v>
      </c>
      <c r="BE24" s="68">
        <v>880</v>
      </c>
      <c r="BF24" s="68">
        <v>878</v>
      </c>
      <c r="BG24" s="68">
        <v>863</v>
      </c>
      <c r="BH24" s="68">
        <v>874</v>
      </c>
      <c r="BI24" s="68">
        <v>879</v>
      </c>
      <c r="BJ24" s="68">
        <v>903</v>
      </c>
      <c r="BK24" s="68">
        <v>870</v>
      </c>
      <c r="BL24" s="68">
        <v>853</v>
      </c>
      <c r="BM24" s="68">
        <v>1054</v>
      </c>
      <c r="BN24" s="68">
        <v>1037</v>
      </c>
      <c r="BO24" s="68">
        <v>1077</v>
      </c>
      <c r="BP24" s="68">
        <v>1102</v>
      </c>
      <c r="BQ24" s="68">
        <v>1111</v>
      </c>
      <c r="BR24" s="68">
        <v>1124</v>
      </c>
      <c r="BS24" s="68">
        <v>1142</v>
      </c>
      <c r="BT24" s="68">
        <v>1147</v>
      </c>
      <c r="BU24" s="68">
        <v>1267</v>
      </c>
      <c r="BV24" s="68">
        <v>1236</v>
      </c>
      <c r="BW24" s="68">
        <v>1319</v>
      </c>
      <c r="BX24" s="68">
        <v>1345</v>
      </c>
      <c r="BY24" s="68">
        <v>1315</v>
      </c>
      <c r="BZ24" s="68">
        <v>1325</v>
      </c>
      <c r="CA24" s="68">
        <v>1256</v>
      </c>
      <c r="CB24" s="68">
        <v>1218</v>
      </c>
      <c r="CC24" s="68">
        <v>1200</v>
      </c>
      <c r="CD24" s="68">
        <v>1218</v>
      </c>
      <c r="CE24" s="68">
        <v>1256</v>
      </c>
      <c r="CF24" s="68">
        <v>1286</v>
      </c>
      <c r="CG24" s="68">
        <v>1277</v>
      </c>
      <c r="CH24" s="68">
        <v>1242</v>
      </c>
      <c r="CI24" s="68">
        <v>1450</v>
      </c>
      <c r="CJ24" s="68">
        <v>1594</v>
      </c>
      <c r="CK24" s="68">
        <v>1600</v>
      </c>
      <c r="CL24" s="68">
        <v>1803</v>
      </c>
      <c r="CM24" s="68">
        <v>1821</v>
      </c>
      <c r="CN24" s="68">
        <v>1821</v>
      </c>
      <c r="CO24" s="68">
        <v>1821</v>
      </c>
      <c r="CP24" s="68">
        <v>2238</v>
      </c>
      <c r="CQ24" s="68">
        <v>2238</v>
      </c>
      <c r="CR24" s="68">
        <v>2238</v>
      </c>
      <c r="CS24" s="68">
        <v>2238</v>
      </c>
    </row>
    <row r="25" spans="1:97" ht="15" customHeight="1">
      <c r="A25" s="3"/>
      <c r="B25" s="3"/>
      <c r="C25" s="3"/>
      <c r="D25" s="3"/>
    </row>
    <row r="26" spans="1:97" ht="15" customHeight="1">
      <c r="A26" s="4" t="s">
        <v>24</v>
      </c>
      <c r="B26" s="3"/>
      <c r="C26" s="3"/>
      <c r="D26" s="3"/>
    </row>
    <row r="27" spans="1:97" ht="15" customHeight="1">
      <c r="A27" s="3"/>
      <c r="B27" s="3"/>
      <c r="C27" s="3"/>
      <c r="D27" s="3"/>
    </row>
    <row r="28" spans="1:97" ht="15" customHeight="1">
      <c r="A28" s="6" t="s">
        <v>25</v>
      </c>
      <c r="B28" s="40"/>
      <c r="C28" s="6" t="s">
        <v>26</v>
      </c>
      <c r="D28" s="27"/>
      <c r="E28" s="95"/>
      <c r="F28" s="96"/>
      <c r="G28" s="71" t="s">
        <v>27</v>
      </c>
      <c r="H28" s="96"/>
      <c r="I28" s="96"/>
      <c r="J28" s="96"/>
      <c r="K28" s="96"/>
      <c r="L28" s="96"/>
      <c r="M28" s="96"/>
      <c r="N28" s="96"/>
      <c r="O28" s="96"/>
      <c r="P28" s="96"/>
      <c r="Q28" s="96"/>
      <c r="R28" s="96"/>
      <c r="S28" s="96"/>
      <c r="T28" s="71" t="s">
        <v>27</v>
      </c>
      <c r="U28" s="96"/>
      <c r="V28" s="96"/>
      <c r="W28" s="96"/>
      <c r="X28" s="96"/>
      <c r="Y28" s="96"/>
      <c r="Z28" s="96"/>
      <c r="AA28" s="96"/>
      <c r="AB28" s="96"/>
      <c r="AC28" s="96"/>
      <c r="AD28" s="96"/>
      <c r="AE28" s="96"/>
      <c r="AF28" s="71" t="s">
        <v>27</v>
      </c>
      <c r="AG28" s="96"/>
      <c r="AH28" s="96"/>
      <c r="AI28" s="96"/>
      <c r="AJ28" s="96"/>
      <c r="AK28" s="96"/>
      <c r="AL28" s="96"/>
      <c r="AM28" s="96"/>
      <c r="AN28" s="96"/>
      <c r="AO28" s="71"/>
      <c r="AP28" s="96"/>
      <c r="AQ28" s="96"/>
      <c r="AR28" s="96"/>
      <c r="AS28" s="71" t="s">
        <v>27</v>
      </c>
      <c r="AT28" s="96"/>
      <c r="AU28" s="96"/>
      <c r="AV28" s="96"/>
      <c r="AW28" s="96"/>
      <c r="AX28" s="96"/>
      <c r="AY28" s="96"/>
      <c r="AZ28" s="96"/>
      <c r="BA28" s="96"/>
      <c r="BB28" s="96"/>
      <c r="BC28" s="96"/>
      <c r="BD28" s="96"/>
      <c r="BE28" s="71"/>
      <c r="BF28" s="71" t="s">
        <v>27</v>
      </c>
      <c r="BG28" s="96"/>
      <c r="BH28" s="96"/>
      <c r="BI28" s="96"/>
      <c r="BJ28" s="96"/>
      <c r="BK28" s="96"/>
      <c r="BL28" s="96"/>
      <c r="BM28" s="96"/>
      <c r="BN28" s="96"/>
      <c r="BO28" s="96"/>
      <c r="BP28" s="96"/>
      <c r="BQ28" s="96"/>
      <c r="BR28" s="96"/>
      <c r="BS28" s="71" t="s">
        <v>27</v>
      </c>
      <c r="BT28" s="96"/>
      <c r="BU28" s="71"/>
      <c r="BV28" s="96"/>
      <c r="BW28" s="96"/>
      <c r="BX28" s="96"/>
      <c r="BY28" s="96"/>
      <c r="BZ28" s="96"/>
      <c r="CA28" s="96"/>
      <c r="CB28" s="96"/>
      <c r="CC28" s="96"/>
      <c r="CD28" s="96"/>
      <c r="CE28" s="96"/>
      <c r="CF28" s="96"/>
      <c r="CG28" s="71" t="s">
        <v>27</v>
      </c>
      <c r="CH28" s="96"/>
      <c r="CI28" s="71"/>
      <c r="CJ28" s="96"/>
      <c r="CK28" s="96"/>
      <c r="CL28" s="96"/>
      <c r="CM28" s="96"/>
      <c r="CN28" s="96"/>
      <c r="CO28" s="96"/>
      <c r="CP28" s="71"/>
      <c r="CQ28" s="70"/>
      <c r="CR28" s="96"/>
      <c r="CS28" s="76"/>
    </row>
    <row r="29" spans="1:97" ht="15" customHeight="1">
      <c r="A29" s="222" t="s">
        <v>28</v>
      </c>
      <c r="B29" s="223"/>
      <c r="C29" s="104" t="s">
        <v>202</v>
      </c>
      <c r="D29" s="114"/>
      <c r="E29" s="74" t="s">
        <v>41</v>
      </c>
      <c r="F29" s="74" t="s">
        <v>41</v>
      </c>
      <c r="G29" s="74" t="s">
        <v>41</v>
      </c>
      <c r="H29" s="74" t="s">
        <v>41</v>
      </c>
      <c r="I29" s="74" t="s">
        <v>41</v>
      </c>
      <c r="J29" s="74" t="s">
        <v>41</v>
      </c>
      <c r="K29" s="74" t="s">
        <v>41</v>
      </c>
      <c r="L29" s="74" t="s">
        <v>73</v>
      </c>
      <c r="M29" s="74" t="s">
        <v>73</v>
      </c>
      <c r="N29" s="74" t="s">
        <v>73</v>
      </c>
      <c r="O29" s="74" t="s">
        <v>43</v>
      </c>
      <c r="P29" s="74" t="s">
        <v>43</v>
      </c>
      <c r="Q29" s="74" t="s">
        <v>43</v>
      </c>
      <c r="R29" s="74" t="s">
        <v>43</v>
      </c>
      <c r="S29" s="74" t="s">
        <v>43</v>
      </c>
      <c r="T29" s="74" t="s">
        <v>43</v>
      </c>
      <c r="U29" s="74" t="s">
        <v>43</v>
      </c>
      <c r="V29" s="74" t="s">
        <v>43</v>
      </c>
      <c r="W29" s="74" t="s">
        <v>43</v>
      </c>
      <c r="X29" s="74" t="s">
        <v>43</v>
      </c>
      <c r="Y29" s="74" t="s">
        <v>43</v>
      </c>
      <c r="Z29" s="74" t="s">
        <v>43</v>
      </c>
      <c r="AA29" s="74" t="s">
        <v>43</v>
      </c>
      <c r="AB29" s="74" t="s">
        <v>43</v>
      </c>
      <c r="AC29" s="74" t="s">
        <v>43</v>
      </c>
      <c r="AD29" s="74" t="s">
        <v>43</v>
      </c>
      <c r="AE29" s="74" t="s">
        <v>43</v>
      </c>
      <c r="AF29" s="74" t="s">
        <v>43</v>
      </c>
      <c r="AG29" s="74" t="s">
        <v>43</v>
      </c>
      <c r="AH29" s="74" t="s">
        <v>43</v>
      </c>
      <c r="AI29" s="74" t="s">
        <v>43</v>
      </c>
      <c r="AJ29" s="74" t="s">
        <v>43</v>
      </c>
      <c r="AK29" s="74" t="s">
        <v>43</v>
      </c>
      <c r="AL29" s="74" t="s">
        <v>43</v>
      </c>
      <c r="AM29" s="74" t="s">
        <v>43</v>
      </c>
      <c r="AN29" s="74" t="s">
        <v>43</v>
      </c>
      <c r="AO29" s="74" t="s">
        <v>43</v>
      </c>
      <c r="AP29" s="74" t="s">
        <v>43</v>
      </c>
      <c r="AQ29" s="74" t="s">
        <v>43</v>
      </c>
      <c r="AR29" s="74" t="s">
        <v>43</v>
      </c>
      <c r="AS29" s="74" t="s">
        <v>43</v>
      </c>
      <c r="AT29" s="74" t="s">
        <v>43</v>
      </c>
      <c r="AU29" s="74" t="s">
        <v>43</v>
      </c>
      <c r="AV29" s="74" t="s">
        <v>43</v>
      </c>
      <c r="AW29" s="74" t="s">
        <v>43</v>
      </c>
      <c r="AX29" s="74" t="s">
        <v>43</v>
      </c>
      <c r="AY29" s="74" t="s">
        <v>43</v>
      </c>
      <c r="AZ29" s="74" t="s">
        <v>43</v>
      </c>
      <c r="BA29" s="74" t="s">
        <v>43</v>
      </c>
      <c r="BB29" s="74" t="s">
        <v>43</v>
      </c>
      <c r="BC29" s="74" t="s">
        <v>43</v>
      </c>
      <c r="BD29" s="74" t="s">
        <v>43</v>
      </c>
      <c r="BE29" s="74" t="s">
        <v>43</v>
      </c>
      <c r="BF29" s="74" t="s">
        <v>43</v>
      </c>
      <c r="BG29" s="74" t="s">
        <v>43</v>
      </c>
      <c r="BH29" s="74" t="s">
        <v>43</v>
      </c>
      <c r="BI29" s="74" t="s">
        <v>43</v>
      </c>
      <c r="BJ29" s="74" t="s">
        <v>43</v>
      </c>
      <c r="BK29" s="74" t="s">
        <v>43</v>
      </c>
      <c r="BL29" s="74" t="s">
        <v>43</v>
      </c>
      <c r="BM29" s="74" t="s">
        <v>43</v>
      </c>
      <c r="BN29" s="74" t="s">
        <v>41</v>
      </c>
      <c r="BO29" s="74" t="s">
        <v>41</v>
      </c>
      <c r="BP29" s="74" t="s">
        <v>41</v>
      </c>
      <c r="BQ29" s="74" t="s">
        <v>41</v>
      </c>
      <c r="BR29" s="74" t="s">
        <v>41</v>
      </c>
      <c r="BS29" s="74" t="s">
        <v>41</v>
      </c>
      <c r="BT29" s="74" t="s">
        <v>73</v>
      </c>
      <c r="BU29" s="74" t="s">
        <v>73</v>
      </c>
      <c r="BV29" s="74" t="s">
        <v>73</v>
      </c>
      <c r="BW29" s="74" t="s">
        <v>73</v>
      </c>
      <c r="BX29" s="74" t="s">
        <v>73</v>
      </c>
      <c r="BY29" s="74" t="s">
        <v>73</v>
      </c>
      <c r="BZ29" s="74" t="s">
        <v>73</v>
      </c>
      <c r="CA29" s="74" t="s">
        <v>41</v>
      </c>
      <c r="CB29" s="74" t="s">
        <v>41</v>
      </c>
      <c r="CC29" s="74" t="s">
        <v>41</v>
      </c>
      <c r="CD29" s="74" t="s">
        <v>41</v>
      </c>
      <c r="CE29" s="74" t="s">
        <v>41</v>
      </c>
      <c r="CF29" s="74" t="s">
        <v>41</v>
      </c>
      <c r="CG29" s="74" t="s">
        <v>41</v>
      </c>
      <c r="CH29" s="74" t="s">
        <v>73</v>
      </c>
      <c r="CI29" s="74" t="s">
        <v>73</v>
      </c>
      <c r="CJ29" s="74" t="s">
        <v>73</v>
      </c>
      <c r="CK29" s="74" t="s">
        <v>73</v>
      </c>
      <c r="CL29" s="74" t="s">
        <v>73</v>
      </c>
      <c r="CM29" s="74" t="s">
        <v>73</v>
      </c>
      <c r="CN29" s="74" t="s">
        <v>73</v>
      </c>
      <c r="CO29" s="74" t="s">
        <v>73</v>
      </c>
      <c r="CP29" s="74" t="s">
        <v>73</v>
      </c>
      <c r="CQ29" s="74" t="s">
        <v>73</v>
      </c>
      <c r="CR29" s="74" t="s">
        <v>73</v>
      </c>
      <c r="CS29" s="74" t="s">
        <v>73</v>
      </c>
    </row>
    <row r="30" spans="1:97" ht="15" customHeight="1">
      <c r="A30" s="222" t="s">
        <v>32</v>
      </c>
      <c r="B30" s="223"/>
      <c r="C30" s="104" t="s">
        <v>202</v>
      </c>
      <c r="D30" s="73"/>
      <c r="E30" s="74" t="s">
        <v>41</v>
      </c>
      <c r="F30" s="74" t="s">
        <v>41</v>
      </c>
      <c r="G30" s="74" t="s">
        <v>41</v>
      </c>
      <c r="H30" s="74" t="s">
        <v>41</v>
      </c>
      <c r="I30" s="74" t="s">
        <v>41</v>
      </c>
      <c r="J30" s="74" t="s">
        <v>41</v>
      </c>
      <c r="K30" s="74" t="s">
        <v>41</v>
      </c>
      <c r="L30" s="74" t="s">
        <v>73</v>
      </c>
      <c r="M30" s="74" t="s">
        <v>73</v>
      </c>
      <c r="N30" s="74" t="s">
        <v>73</v>
      </c>
      <c r="O30" s="74" t="s">
        <v>30</v>
      </c>
      <c r="P30" s="74" t="s">
        <v>31</v>
      </c>
      <c r="Q30" s="74" t="s">
        <v>31</v>
      </c>
      <c r="R30" s="74" t="s">
        <v>30</v>
      </c>
      <c r="S30" s="74" t="s">
        <v>30</v>
      </c>
      <c r="T30" s="74" t="s">
        <v>30</v>
      </c>
      <c r="U30" s="74" t="s">
        <v>31</v>
      </c>
      <c r="V30" s="74" t="s">
        <v>31</v>
      </c>
      <c r="W30" s="74" t="s">
        <v>31</v>
      </c>
      <c r="X30" s="74" t="s">
        <v>31</v>
      </c>
      <c r="Y30" s="74" t="s">
        <v>30</v>
      </c>
      <c r="Z30" s="74" t="s">
        <v>30</v>
      </c>
      <c r="AA30" s="74" t="s">
        <v>30</v>
      </c>
      <c r="AB30" s="74" t="s">
        <v>30</v>
      </c>
      <c r="AC30" s="74" t="s">
        <v>30</v>
      </c>
      <c r="AD30" s="74" t="s">
        <v>30</v>
      </c>
      <c r="AE30" s="74" t="s">
        <v>30</v>
      </c>
      <c r="AF30" s="74" t="s">
        <v>30</v>
      </c>
      <c r="AG30" s="74" t="s">
        <v>30</v>
      </c>
      <c r="AH30" s="74" t="s">
        <v>30</v>
      </c>
      <c r="AI30" s="74" t="s">
        <v>30</v>
      </c>
      <c r="AJ30" s="74" t="s">
        <v>30</v>
      </c>
      <c r="AK30" s="74" t="s">
        <v>31</v>
      </c>
      <c r="AL30" s="74" t="s">
        <v>30</v>
      </c>
      <c r="AM30" s="74" t="s">
        <v>31</v>
      </c>
      <c r="AN30" s="74" t="s">
        <v>30</v>
      </c>
      <c r="AO30" s="74" t="s">
        <v>30</v>
      </c>
      <c r="AP30" s="74" t="s">
        <v>30</v>
      </c>
      <c r="AQ30" s="74" t="s">
        <v>30</v>
      </c>
      <c r="AR30" s="74" t="s">
        <v>30</v>
      </c>
      <c r="AS30" s="74" t="s">
        <v>30</v>
      </c>
      <c r="AT30" s="74" t="s">
        <v>30</v>
      </c>
      <c r="AU30" s="74" t="s">
        <v>30</v>
      </c>
      <c r="AV30" s="74" t="s">
        <v>30</v>
      </c>
      <c r="AW30" s="74" t="s">
        <v>30</v>
      </c>
      <c r="AX30" s="74" t="s">
        <v>30</v>
      </c>
      <c r="AY30" s="74" t="s">
        <v>30</v>
      </c>
      <c r="AZ30" s="74" t="s">
        <v>31</v>
      </c>
      <c r="BA30" s="74" t="s">
        <v>31</v>
      </c>
      <c r="BB30" s="74" t="s">
        <v>31</v>
      </c>
      <c r="BC30" s="74" t="s">
        <v>31</v>
      </c>
      <c r="BD30" s="74" t="s">
        <v>31</v>
      </c>
      <c r="BE30" s="74" t="s">
        <v>31</v>
      </c>
      <c r="BF30" s="74" t="s">
        <v>31</v>
      </c>
      <c r="BG30" s="74" t="s">
        <v>31</v>
      </c>
      <c r="BH30" s="74" t="s">
        <v>31</v>
      </c>
      <c r="BI30" s="74" t="s">
        <v>31</v>
      </c>
      <c r="BJ30" s="74" t="s">
        <v>31</v>
      </c>
      <c r="BK30" s="74" t="s">
        <v>31</v>
      </c>
      <c r="BL30" s="74" t="s">
        <v>31</v>
      </c>
      <c r="BM30" s="74" t="s">
        <v>31</v>
      </c>
      <c r="BN30" s="74" t="s">
        <v>41</v>
      </c>
      <c r="BO30" s="74" t="s">
        <v>41</v>
      </c>
      <c r="BP30" s="74" t="s">
        <v>41</v>
      </c>
      <c r="BQ30" s="74" t="s">
        <v>41</v>
      </c>
      <c r="BR30" s="74" t="s">
        <v>41</v>
      </c>
      <c r="BS30" s="74" t="s">
        <v>41</v>
      </c>
      <c r="BT30" s="74" t="s">
        <v>73</v>
      </c>
      <c r="BU30" s="74" t="s">
        <v>73</v>
      </c>
      <c r="BV30" s="74" t="s">
        <v>73</v>
      </c>
      <c r="BW30" s="74" t="s">
        <v>73</v>
      </c>
      <c r="BX30" s="74" t="s">
        <v>73</v>
      </c>
      <c r="BY30" s="74" t="s">
        <v>73</v>
      </c>
      <c r="BZ30" s="74" t="s">
        <v>73</v>
      </c>
      <c r="CA30" s="74" t="s">
        <v>41</v>
      </c>
      <c r="CB30" s="74" t="s">
        <v>41</v>
      </c>
      <c r="CC30" s="74" t="s">
        <v>41</v>
      </c>
      <c r="CD30" s="74" t="s">
        <v>41</v>
      </c>
      <c r="CE30" s="74" t="s">
        <v>41</v>
      </c>
      <c r="CF30" s="74" t="s">
        <v>41</v>
      </c>
      <c r="CG30" s="74" t="s">
        <v>41</v>
      </c>
      <c r="CH30" s="74" t="s">
        <v>73</v>
      </c>
      <c r="CI30" s="74" t="s">
        <v>73</v>
      </c>
      <c r="CJ30" s="74" t="s">
        <v>73</v>
      </c>
      <c r="CK30" s="74" t="s">
        <v>73</v>
      </c>
      <c r="CL30" s="74" t="s">
        <v>73</v>
      </c>
      <c r="CM30" s="74" t="s">
        <v>73</v>
      </c>
      <c r="CN30" s="74" t="s">
        <v>73</v>
      </c>
      <c r="CO30" s="74" t="s">
        <v>73</v>
      </c>
      <c r="CP30" s="74" t="s">
        <v>73</v>
      </c>
      <c r="CQ30" s="74" t="s">
        <v>73</v>
      </c>
      <c r="CR30" s="74" t="s">
        <v>73</v>
      </c>
      <c r="CS30" s="74" t="s">
        <v>73</v>
      </c>
    </row>
    <row r="31" spans="1:97" ht="15" customHeight="1">
      <c r="A31" s="227" t="s">
        <v>33</v>
      </c>
      <c r="B31" s="228"/>
      <c r="C31" s="6" t="s">
        <v>29</v>
      </c>
      <c r="D31" s="76"/>
      <c r="E31" s="112">
        <v>3</v>
      </c>
      <c r="F31" s="112">
        <v>3</v>
      </c>
      <c r="G31" s="112">
        <v>3</v>
      </c>
      <c r="H31" s="112">
        <v>3</v>
      </c>
      <c r="I31" s="112">
        <v>3</v>
      </c>
      <c r="J31" s="112">
        <v>3</v>
      </c>
      <c r="K31" s="112">
        <v>3</v>
      </c>
      <c r="L31" s="74" t="s">
        <v>43</v>
      </c>
      <c r="M31" s="74" t="s">
        <v>43</v>
      </c>
      <c r="N31" s="74" t="s">
        <v>43</v>
      </c>
      <c r="O31" s="74" t="s">
        <v>30</v>
      </c>
      <c r="P31" s="74" t="s">
        <v>30</v>
      </c>
      <c r="Q31" s="74" t="s">
        <v>30</v>
      </c>
      <c r="R31" s="74" t="s">
        <v>30</v>
      </c>
      <c r="S31" s="74" t="s">
        <v>30</v>
      </c>
      <c r="T31" s="74" t="s">
        <v>30</v>
      </c>
      <c r="U31" s="74" t="s">
        <v>30</v>
      </c>
      <c r="V31" s="74" t="s">
        <v>30</v>
      </c>
      <c r="W31" s="74" t="s">
        <v>30</v>
      </c>
      <c r="X31" s="74" t="s">
        <v>30</v>
      </c>
      <c r="Y31" s="74" t="s">
        <v>30</v>
      </c>
      <c r="Z31" s="74" t="s">
        <v>30</v>
      </c>
      <c r="AA31" s="74" t="s">
        <v>30</v>
      </c>
      <c r="AB31" s="74" t="s">
        <v>30</v>
      </c>
      <c r="AC31" s="74" t="s">
        <v>30</v>
      </c>
      <c r="AD31" s="74" t="s">
        <v>30</v>
      </c>
      <c r="AE31" s="74" t="s">
        <v>30</v>
      </c>
      <c r="AF31" s="74" t="s">
        <v>30</v>
      </c>
      <c r="AG31" s="74" t="s">
        <v>30</v>
      </c>
      <c r="AH31" s="74" t="s">
        <v>30</v>
      </c>
      <c r="AI31" s="74" t="s">
        <v>30</v>
      </c>
      <c r="AJ31" s="74" t="s">
        <v>30</v>
      </c>
      <c r="AK31" s="74" t="s">
        <v>30</v>
      </c>
      <c r="AL31" s="74" t="s">
        <v>30</v>
      </c>
      <c r="AM31" s="74" t="s">
        <v>30</v>
      </c>
      <c r="AN31" s="74" t="s">
        <v>30</v>
      </c>
      <c r="AO31" s="74" t="s">
        <v>30</v>
      </c>
      <c r="AP31" s="74" t="s">
        <v>30</v>
      </c>
      <c r="AQ31" s="74" t="s">
        <v>30</v>
      </c>
      <c r="AR31" s="74" t="s">
        <v>30</v>
      </c>
      <c r="AS31" s="74" t="s">
        <v>30</v>
      </c>
      <c r="AT31" s="74" t="s">
        <v>30</v>
      </c>
      <c r="AU31" s="74" t="s">
        <v>30</v>
      </c>
      <c r="AV31" s="74" t="s">
        <v>30</v>
      </c>
      <c r="AW31" s="74" t="s">
        <v>30</v>
      </c>
      <c r="AX31" s="74" t="s">
        <v>30</v>
      </c>
      <c r="AY31" s="74" t="s">
        <v>30</v>
      </c>
      <c r="AZ31" s="74" t="s">
        <v>30</v>
      </c>
      <c r="BA31" s="74" t="s">
        <v>30</v>
      </c>
      <c r="BB31" s="74" t="s">
        <v>30</v>
      </c>
      <c r="BC31" s="74" t="s">
        <v>30</v>
      </c>
      <c r="BD31" s="74" t="s">
        <v>30</v>
      </c>
      <c r="BE31" s="74" t="s">
        <v>30</v>
      </c>
      <c r="BF31" s="74" t="s">
        <v>30</v>
      </c>
      <c r="BG31" s="74" t="s">
        <v>30</v>
      </c>
      <c r="BH31" s="74" t="s">
        <v>30</v>
      </c>
      <c r="BI31" s="74" t="s">
        <v>30</v>
      </c>
      <c r="BJ31" s="74" t="s">
        <v>30</v>
      </c>
      <c r="BK31" s="74" t="s">
        <v>30</v>
      </c>
      <c r="BL31" s="74" t="s">
        <v>30</v>
      </c>
      <c r="BM31" s="74" t="s">
        <v>30</v>
      </c>
      <c r="BN31" s="112">
        <v>3</v>
      </c>
      <c r="BO31" s="112">
        <v>3</v>
      </c>
      <c r="BP31" s="112">
        <v>3</v>
      </c>
      <c r="BQ31" s="112">
        <v>3</v>
      </c>
      <c r="BR31" s="112">
        <v>3</v>
      </c>
      <c r="BS31" s="112">
        <v>3</v>
      </c>
      <c r="BT31" s="74" t="s">
        <v>43</v>
      </c>
      <c r="BU31" s="74" t="s">
        <v>43</v>
      </c>
      <c r="BV31" s="74" t="s">
        <v>43</v>
      </c>
      <c r="BW31" s="74" t="s">
        <v>43</v>
      </c>
      <c r="BX31" s="74" t="s">
        <v>43</v>
      </c>
      <c r="BY31" s="74" t="s">
        <v>43</v>
      </c>
      <c r="BZ31" s="74" t="s">
        <v>43</v>
      </c>
      <c r="CA31" s="112">
        <v>3</v>
      </c>
      <c r="CB31" s="112">
        <v>3</v>
      </c>
      <c r="CC31" s="112">
        <v>3</v>
      </c>
      <c r="CD31" s="112">
        <v>3</v>
      </c>
      <c r="CE31" s="112">
        <v>3</v>
      </c>
      <c r="CF31" s="112">
        <v>3</v>
      </c>
      <c r="CG31" s="112">
        <v>3</v>
      </c>
      <c r="CH31" s="74" t="s">
        <v>43</v>
      </c>
      <c r="CI31" s="74" t="s">
        <v>43</v>
      </c>
      <c r="CJ31" s="74" t="s">
        <v>43</v>
      </c>
      <c r="CK31" s="74" t="s">
        <v>43</v>
      </c>
      <c r="CL31" s="74" t="s">
        <v>43</v>
      </c>
      <c r="CM31" s="74" t="s">
        <v>43</v>
      </c>
      <c r="CN31" s="74" t="s">
        <v>43</v>
      </c>
      <c r="CO31" s="74" t="s">
        <v>43</v>
      </c>
      <c r="CP31" s="74" t="s">
        <v>43</v>
      </c>
      <c r="CQ31" s="74" t="s">
        <v>43</v>
      </c>
      <c r="CR31" s="74" t="s">
        <v>43</v>
      </c>
      <c r="CS31" s="74" t="s">
        <v>43</v>
      </c>
    </row>
    <row r="33" spans="1:1">
      <c r="A33" s="89" t="s">
        <v>52</v>
      </c>
    </row>
    <row r="34" spans="1:1">
      <c r="A34" s="26" t="s">
        <v>203</v>
      </c>
    </row>
    <row r="35" spans="1:1">
      <c r="A35" s="26" t="s">
        <v>204</v>
      </c>
    </row>
  </sheetData>
  <mergeCells count="3">
    <mergeCell ref="A29:B29"/>
    <mergeCell ref="A30:B30"/>
    <mergeCell ref="A31:B31"/>
  </mergeCells>
  <conditionalFormatting sqref="E7:CS24">
    <cfRule type="cellIs" dxfId="19" priority="1" stopIfTrue="1" operator="lessThan">
      <formula>#REF!</formula>
    </cfRule>
    <cfRule type="cellIs" dxfId="18" priority="3" operator="lessThan">
      <formula>#REF!</formula>
    </cfRule>
    <cfRule type="cellIs" dxfId="17" priority="5" stopIfTrue="1" operator="lessThan">
      <formula>#REF!</formula>
    </cfRule>
  </conditionalFormatting>
  <pageMargins left="0.7" right="0.7" top="0.75" bottom="0.75" header="0.3" footer="0.3"/>
  <pageSetup paperSize="9" orientation="portrait" r:id="rId1"/>
  <ignoredErrors>
    <ignoredError sqref="E6" numberStoredAsText="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A6D28-877E-4559-80EF-739DD261387A}">
  <dimension ref="A1:CT35"/>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98" ht="15" customHeight="1"/>
    <row r="2" spans="1:98" ht="15" customHeight="1">
      <c r="A2" s="9"/>
      <c r="B2" s="7"/>
      <c r="C2" s="7"/>
      <c r="D2" s="7"/>
      <c r="E2" s="7"/>
    </row>
    <row r="3" spans="1:98" ht="20.45" customHeight="1">
      <c r="A3" s="9" t="str">
        <f>Voorblad!A5</f>
        <v>Team Freight Forwarding Logistics</v>
      </c>
      <c r="B3" s="8"/>
      <c r="C3" s="8"/>
      <c r="D3" s="8"/>
      <c r="E3" s="48"/>
    </row>
    <row r="4" spans="1:98" s="51" customFormat="1" ht="15.75">
      <c r="A4" s="62" t="s">
        <v>205</v>
      </c>
      <c r="B4" s="49"/>
      <c r="C4" s="50"/>
      <c r="D4" s="50"/>
      <c r="E4" s="50"/>
    </row>
    <row r="5" spans="1:98" ht="15" customHeight="1">
      <c r="A5" s="7"/>
      <c r="B5" s="7"/>
      <c r="C5" s="7"/>
      <c r="D5" s="7"/>
      <c r="E5" s="26"/>
    </row>
    <row r="6" spans="1:98" ht="15" customHeight="1">
      <c r="A6" s="63" t="s">
        <v>20</v>
      </c>
      <c r="B6" s="63" t="s">
        <v>21</v>
      </c>
      <c r="C6" s="64" t="s">
        <v>22</v>
      </c>
      <c r="D6" s="64" t="s">
        <v>23</v>
      </c>
      <c r="E6" s="126" t="s">
        <v>62</v>
      </c>
      <c r="F6" s="119">
        <v>1</v>
      </c>
      <c r="G6" s="119">
        <v>2</v>
      </c>
      <c r="H6" s="119">
        <v>3</v>
      </c>
      <c r="I6" s="119">
        <v>4</v>
      </c>
      <c r="J6" s="2">
        <v>5</v>
      </c>
      <c r="K6" s="2">
        <v>6</v>
      </c>
      <c r="L6" s="2">
        <v>7</v>
      </c>
      <c r="M6" s="2">
        <v>8</v>
      </c>
      <c r="N6" s="63">
        <v>9</v>
      </c>
      <c r="O6" s="63">
        <v>10</v>
      </c>
      <c r="P6" s="63">
        <v>11</v>
      </c>
      <c r="Q6" s="63">
        <v>12</v>
      </c>
      <c r="R6" s="63">
        <v>13</v>
      </c>
      <c r="S6" s="63">
        <v>14</v>
      </c>
      <c r="T6" s="63">
        <v>15</v>
      </c>
      <c r="U6" s="63">
        <v>16</v>
      </c>
      <c r="V6" s="63">
        <v>17</v>
      </c>
      <c r="W6" s="63">
        <v>18</v>
      </c>
      <c r="X6" s="63">
        <v>19</v>
      </c>
      <c r="Y6" s="63">
        <v>20</v>
      </c>
      <c r="Z6" s="63">
        <v>21</v>
      </c>
      <c r="AA6" s="63">
        <v>25</v>
      </c>
      <c r="AB6" s="63">
        <v>26</v>
      </c>
      <c r="AC6" s="63">
        <v>27</v>
      </c>
      <c r="AD6" s="63">
        <v>28</v>
      </c>
      <c r="AE6" s="63">
        <v>29</v>
      </c>
      <c r="AF6" s="63">
        <v>30</v>
      </c>
      <c r="AG6" s="63">
        <v>31</v>
      </c>
      <c r="AH6" s="63">
        <v>32</v>
      </c>
      <c r="AI6" s="2">
        <v>33</v>
      </c>
      <c r="AJ6" s="2">
        <v>35</v>
      </c>
      <c r="AK6" s="2">
        <v>36</v>
      </c>
      <c r="AL6" s="2">
        <v>37</v>
      </c>
      <c r="AM6" s="2">
        <v>38</v>
      </c>
      <c r="AN6" s="2">
        <v>39</v>
      </c>
      <c r="AO6" s="2">
        <v>40</v>
      </c>
      <c r="AP6" s="2">
        <v>41</v>
      </c>
      <c r="AQ6" s="2">
        <v>42</v>
      </c>
      <c r="AR6" s="2">
        <v>44</v>
      </c>
      <c r="AS6" s="2">
        <v>45</v>
      </c>
      <c r="AT6" s="2">
        <v>46</v>
      </c>
      <c r="AU6" s="2">
        <v>47</v>
      </c>
      <c r="AV6" s="2">
        <v>48</v>
      </c>
      <c r="AW6" s="2">
        <v>49</v>
      </c>
      <c r="AX6" s="2">
        <v>50</v>
      </c>
      <c r="AY6" s="2">
        <v>51</v>
      </c>
      <c r="AZ6" s="2">
        <v>52</v>
      </c>
      <c r="BA6" s="2">
        <v>53</v>
      </c>
      <c r="BB6" s="2">
        <v>54</v>
      </c>
      <c r="BC6" s="2">
        <v>55</v>
      </c>
      <c r="BD6" s="2">
        <v>56</v>
      </c>
      <c r="BE6" s="2">
        <v>57</v>
      </c>
      <c r="BF6" s="2">
        <v>58</v>
      </c>
      <c r="BG6" s="2">
        <v>59</v>
      </c>
      <c r="BH6" s="2">
        <v>60</v>
      </c>
      <c r="BI6" s="2">
        <v>62</v>
      </c>
      <c r="BJ6" s="2">
        <v>63</v>
      </c>
      <c r="BK6" s="2">
        <v>64</v>
      </c>
      <c r="BL6" s="2">
        <v>65</v>
      </c>
      <c r="BM6" s="2">
        <v>66</v>
      </c>
      <c r="BN6" s="2">
        <v>67</v>
      </c>
      <c r="BO6" s="2">
        <v>68</v>
      </c>
      <c r="BP6" s="2">
        <v>69</v>
      </c>
      <c r="BQ6" s="2">
        <v>70</v>
      </c>
      <c r="BR6" s="2">
        <v>71</v>
      </c>
      <c r="BS6" s="2">
        <v>72</v>
      </c>
      <c r="BT6" s="2">
        <v>73</v>
      </c>
      <c r="BU6" s="2">
        <v>74</v>
      </c>
      <c r="BV6" s="2">
        <v>75</v>
      </c>
      <c r="BW6" s="2">
        <v>76</v>
      </c>
      <c r="BX6" s="2">
        <v>77</v>
      </c>
      <c r="BY6" s="2">
        <v>78</v>
      </c>
      <c r="BZ6" s="2">
        <v>79</v>
      </c>
      <c r="CA6" s="2">
        <v>80</v>
      </c>
      <c r="CB6" s="2">
        <v>81</v>
      </c>
      <c r="CC6" s="2">
        <v>82</v>
      </c>
      <c r="CD6" s="2">
        <v>83</v>
      </c>
      <c r="CE6" s="2">
        <v>84</v>
      </c>
      <c r="CF6" s="2">
        <v>85</v>
      </c>
      <c r="CG6" s="2">
        <v>86</v>
      </c>
      <c r="CH6" s="2">
        <v>87</v>
      </c>
      <c r="CI6" s="2">
        <v>88</v>
      </c>
      <c r="CJ6" s="2">
        <v>89</v>
      </c>
      <c r="CK6" s="2">
        <v>90</v>
      </c>
      <c r="CL6" s="2">
        <v>91</v>
      </c>
      <c r="CM6" s="2">
        <v>92</v>
      </c>
      <c r="CN6" s="2">
        <v>93</v>
      </c>
      <c r="CO6" s="2">
        <v>94</v>
      </c>
      <c r="CP6" s="2">
        <v>95</v>
      </c>
      <c r="CQ6" s="2">
        <v>96</v>
      </c>
      <c r="CR6" s="2">
        <v>97</v>
      </c>
      <c r="CS6" s="2">
        <v>98</v>
      </c>
      <c r="CT6" s="2">
        <v>99</v>
      </c>
    </row>
    <row r="7" spans="1:98" ht="15" customHeight="1">
      <c r="A7" s="64">
        <v>300</v>
      </c>
      <c r="B7" s="64">
        <v>0.2</v>
      </c>
      <c r="C7" s="64">
        <v>0.5</v>
      </c>
      <c r="D7" s="64"/>
      <c r="E7" s="68">
        <v>95</v>
      </c>
      <c r="F7" s="68">
        <v>88</v>
      </c>
      <c r="G7" s="68">
        <v>88</v>
      </c>
      <c r="H7" s="68">
        <v>88</v>
      </c>
      <c r="I7" s="68">
        <v>88</v>
      </c>
      <c r="J7" s="68">
        <v>88</v>
      </c>
      <c r="K7" s="68">
        <v>88</v>
      </c>
      <c r="L7" s="68">
        <v>88</v>
      </c>
      <c r="M7" s="68">
        <v>88</v>
      </c>
      <c r="N7" s="68">
        <v>88</v>
      </c>
      <c r="O7" s="68">
        <v>88</v>
      </c>
      <c r="P7" s="68">
        <v>88</v>
      </c>
      <c r="Q7" s="68">
        <v>88</v>
      </c>
      <c r="R7" s="68">
        <v>88</v>
      </c>
      <c r="S7" s="68">
        <v>88</v>
      </c>
      <c r="T7" s="68">
        <v>88</v>
      </c>
      <c r="U7" s="68">
        <v>88</v>
      </c>
      <c r="V7" s="68">
        <v>88</v>
      </c>
      <c r="W7" s="68">
        <v>95</v>
      </c>
      <c r="X7" s="68">
        <v>88</v>
      </c>
      <c r="Y7" s="68">
        <v>89</v>
      </c>
      <c r="Z7" s="68">
        <v>88</v>
      </c>
      <c r="AA7" s="68">
        <v>89</v>
      </c>
      <c r="AB7" s="68">
        <v>89</v>
      </c>
      <c r="AC7" s="68">
        <v>89</v>
      </c>
      <c r="AD7" s="68">
        <v>88</v>
      </c>
      <c r="AE7" s="68">
        <v>88</v>
      </c>
      <c r="AF7" s="68">
        <v>95</v>
      </c>
      <c r="AG7" s="68">
        <v>95</v>
      </c>
      <c r="AH7" s="68">
        <v>95</v>
      </c>
      <c r="AI7" s="68">
        <v>94</v>
      </c>
      <c r="AJ7" s="68">
        <v>94</v>
      </c>
      <c r="AK7" s="68">
        <v>94</v>
      </c>
      <c r="AL7" s="68">
        <v>94</v>
      </c>
      <c r="AM7" s="68">
        <v>94</v>
      </c>
      <c r="AN7" s="68">
        <v>95</v>
      </c>
      <c r="AO7" s="68">
        <v>95</v>
      </c>
      <c r="AP7" s="68">
        <v>95</v>
      </c>
      <c r="AQ7" s="68">
        <v>95</v>
      </c>
      <c r="AR7" s="68">
        <v>88</v>
      </c>
      <c r="AS7" s="68">
        <v>88</v>
      </c>
      <c r="AT7" s="68">
        <v>88</v>
      </c>
      <c r="AU7" s="68">
        <v>88</v>
      </c>
      <c r="AV7" s="68">
        <v>88</v>
      </c>
      <c r="AW7" s="68">
        <v>88</v>
      </c>
      <c r="AX7" s="68">
        <v>88</v>
      </c>
      <c r="AY7" s="68">
        <v>88</v>
      </c>
      <c r="AZ7" s="68">
        <v>88</v>
      </c>
      <c r="BA7" s="68">
        <v>88</v>
      </c>
      <c r="BB7" s="68">
        <v>88</v>
      </c>
      <c r="BC7" s="68">
        <v>88</v>
      </c>
      <c r="BD7" s="68">
        <v>88</v>
      </c>
      <c r="BE7" s="68">
        <v>89</v>
      </c>
      <c r="BF7" s="68">
        <v>89</v>
      </c>
      <c r="BG7" s="68">
        <v>88</v>
      </c>
      <c r="BH7" s="68">
        <v>89</v>
      </c>
      <c r="BI7" s="68">
        <v>89</v>
      </c>
      <c r="BJ7" s="68">
        <v>89</v>
      </c>
      <c r="BK7" s="68">
        <v>89</v>
      </c>
      <c r="BL7" s="68">
        <v>94</v>
      </c>
      <c r="BM7" s="68">
        <v>94</v>
      </c>
      <c r="BN7" s="68">
        <v>94</v>
      </c>
      <c r="BO7" s="68">
        <v>89</v>
      </c>
      <c r="BP7" s="68">
        <v>89</v>
      </c>
      <c r="BQ7" s="68">
        <v>89</v>
      </c>
      <c r="BR7" s="68">
        <v>89</v>
      </c>
      <c r="BS7" s="68">
        <v>94</v>
      </c>
      <c r="BT7" s="68">
        <v>94</v>
      </c>
      <c r="BU7" s="68">
        <v>89</v>
      </c>
      <c r="BV7" s="68">
        <v>94</v>
      </c>
      <c r="BW7" s="68">
        <v>95</v>
      </c>
      <c r="BX7" s="68">
        <v>95</v>
      </c>
      <c r="BY7" s="68">
        <v>95</v>
      </c>
      <c r="BZ7" s="68">
        <v>95</v>
      </c>
      <c r="CA7" s="68">
        <v>95</v>
      </c>
      <c r="CB7" s="68">
        <v>95</v>
      </c>
      <c r="CC7" s="68">
        <v>94</v>
      </c>
      <c r="CD7" s="68">
        <v>94</v>
      </c>
      <c r="CE7" s="68">
        <v>95</v>
      </c>
      <c r="CF7" s="68">
        <v>97</v>
      </c>
      <c r="CG7" s="68">
        <v>94</v>
      </c>
      <c r="CH7" s="68">
        <v>95</v>
      </c>
      <c r="CI7" s="68">
        <v>95</v>
      </c>
      <c r="CJ7" s="68">
        <v>97</v>
      </c>
      <c r="CK7" s="68">
        <v>95</v>
      </c>
      <c r="CL7" s="68">
        <v>95</v>
      </c>
      <c r="CM7" s="68">
        <v>95</v>
      </c>
      <c r="CN7" s="68">
        <v>95</v>
      </c>
      <c r="CO7" s="68">
        <v>95</v>
      </c>
      <c r="CP7" s="68">
        <v>95</v>
      </c>
      <c r="CQ7" s="68">
        <v>95</v>
      </c>
      <c r="CR7" s="68">
        <v>95</v>
      </c>
      <c r="CS7" s="68">
        <v>97</v>
      </c>
      <c r="CT7" s="68">
        <v>97</v>
      </c>
    </row>
    <row r="8" spans="1:98" ht="15" customHeight="1">
      <c r="A8" s="64">
        <v>700</v>
      </c>
      <c r="B8" s="64">
        <v>0.4</v>
      </c>
      <c r="C8" s="64">
        <v>1</v>
      </c>
      <c r="D8" s="64"/>
      <c r="E8" s="68">
        <v>153</v>
      </c>
      <c r="F8" s="68">
        <v>128</v>
      </c>
      <c r="G8" s="68">
        <v>128</v>
      </c>
      <c r="H8" s="68">
        <v>128</v>
      </c>
      <c r="I8" s="68">
        <v>128</v>
      </c>
      <c r="J8" s="68">
        <v>128</v>
      </c>
      <c r="K8" s="68">
        <v>128</v>
      </c>
      <c r="L8" s="68">
        <v>128</v>
      </c>
      <c r="M8" s="68">
        <v>128</v>
      </c>
      <c r="N8" s="68">
        <v>128</v>
      </c>
      <c r="O8" s="68">
        <v>128</v>
      </c>
      <c r="P8" s="68">
        <v>128</v>
      </c>
      <c r="Q8" s="68">
        <v>128</v>
      </c>
      <c r="R8" s="68">
        <v>128</v>
      </c>
      <c r="S8" s="68">
        <v>128</v>
      </c>
      <c r="T8" s="68">
        <v>128</v>
      </c>
      <c r="U8" s="68">
        <v>128</v>
      </c>
      <c r="V8" s="68">
        <v>128</v>
      </c>
      <c r="W8" s="68">
        <v>153</v>
      </c>
      <c r="X8" s="68">
        <v>128</v>
      </c>
      <c r="Y8" s="68">
        <v>138</v>
      </c>
      <c r="Z8" s="68">
        <v>128</v>
      </c>
      <c r="AA8" s="68">
        <v>138</v>
      </c>
      <c r="AB8" s="68">
        <v>138</v>
      </c>
      <c r="AC8" s="68">
        <v>138</v>
      </c>
      <c r="AD8" s="68">
        <v>128</v>
      </c>
      <c r="AE8" s="68">
        <v>128</v>
      </c>
      <c r="AF8" s="68">
        <v>153</v>
      </c>
      <c r="AG8" s="68">
        <v>153</v>
      </c>
      <c r="AH8" s="68">
        <v>153</v>
      </c>
      <c r="AI8" s="68">
        <v>145</v>
      </c>
      <c r="AJ8" s="68">
        <v>145</v>
      </c>
      <c r="AK8" s="68">
        <v>145</v>
      </c>
      <c r="AL8" s="68">
        <v>145</v>
      </c>
      <c r="AM8" s="68">
        <v>145</v>
      </c>
      <c r="AN8" s="68">
        <v>153</v>
      </c>
      <c r="AO8" s="68">
        <v>153</v>
      </c>
      <c r="AP8" s="68">
        <v>153</v>
      </c>
      <c r="AQ8" s="68">
        <v>153</v>
      </c>
      <c r="AR8" s="68">
        <v>128</v>
      </c>
      <c r="AS8" s="68">
        <v>128</v>
      </c>
      <c r="AT8" s="68">
        <v>128</v>
      </c>
      <c r="AU8" s="68">
        <v>128</v>
      </c>
      <c r="AV8" s="68">
        <v>128</v>
      </c>
      <c r="AW8" s="68">
        <v>128</v>
      </c>
      <c r="AX8" s="68">
        <v>128</v>
      </c>
      <c r="AY8" s="68">
        <v>128</v>
      </c>
      <c r="AZ8" s="68">
        <v>128</v>
      </c>
      <c r="BA8" s="68">
        <v>128</v>
      </c>
      <c r="BB8" s="68">
        <v>128</v>
      </c>
      <c r="BC8" s="68">
        <v>128</v>
      </c>
      <c r="BD8" s="68">
        <v>128</v>
      </c>
      <c r="BE8" s="68">
        <v>138</v>
      </c>
      <c r="BF8" s="68">
        <v>138</v>
      </c>
      <c r="BG8" s="68">
        <v>128</v>
      </c>
      <c r="BH8" s="68">
        <v>138</v>
      </c>
      <c r="BI8" s="68">
        <v>138</v>
      </c>
      <c r="BJ8" s="68">
        <v>138</v>
      </c>
      <c r="BK8" s="68">
        <v>138</v>
      </c>
      <c r="BL8" s="68">
        <v>145</v>
      </c>
      <c r="BM8" s="68">
        <v>145</v>
      </c>
      <c r="BN8" s="68">
        <v>145</v>
      </c>
      <c r="BO8" s="68">
        <v>138</v>
      </c>
      <c r="BP8" s="68">
        <v>138</v>
      </c>
      <c r="BQ8" s="68">
        <v>138</v>
      </c>
      <c r="BR8" s="68">
        <v>138</v>
      </c>
      <c r="BS8" s="68">
        <v>145</v>
      </c>
      <c r="BT8" s="68">
        <v>145</v>
      </c>
      <c r="BU8" s="68">
        <v>138</v>
      </c>
      <c r="BV8" s="68">
        <v>145</v>
      </c>
      <c r="BW8" s="68">
        <v>153</v>
      </c>
      <c r="BX8" s="68">
        <v>153</v>
      </c>
      <c r="BY8" s="68">
        <v>153</v>
      </c>
      <c r="BZ8" s="68">
        <v>153</v>
      </c>
      <c r="CA8" s="68">
        <v>153</v>
      </c>
      <c r="CB8" s="68">
        <v>153</v>
      </c>
      <c r="CC8" s="68">
        <v>145</v>
      </c>
      <c r="CD8" s="68">
        <v>145</v>
      </c>
      <c r="CE8" s="68">
        <v>153</v>
      </c>
      <c r="CF8" s="68">
        <v>155</v>
      </c>
      <c r="CG8" s="68">
        <v>145</v>
      </c>
      <c r="CH8" s="68">
        <v>153</v>
      </c>
      <c r="CI8" s="68">
        <v>153</v>
      </c>
      <c r="CJ8" s="68">
        <v>155</v>
      </c>
      <c r="CK8" s="68">
        <v>153</v>
      </c>
      <c r="CL8" s="68">
        <v>153</v>
      </c>
      <c r="CM8" s="68">
        <v>153</v>
      </c>
      <c r="CN8" s="68">
        <v>153</v>
      </c>
      <c r="CO8" s="68">
        <v>153</v>
      </c>
      <c r="CP8" s="68">
        <v>153</v>
      </c>
      <c r="CQ8" s="68">
        <v>153</v>
      </c>
      <c r="CR8" s="68">
        <v>153</v>
      </c>
      <c r="CS8" s="68">
        <v>155</v>
      </c>
      <c r="CT8" s="68">
        <v>155</v>
      </c>
    </row>
    <row r="9" spans="1:98" ht="15" customHeight="1">
      <c r="A9" s="64">
        <v>875</v>
      </c>
      <c r="B9" s="64">
        <v>0.5</v>
      </c>
      <c r="C9" s="64"/>
      <c r="D9" s="64">
        <v>1</v>
      </c>
      <c r="E9" s="68">
        <v>170</v>
      </c>
      <c r="F9" s="68">
        <v>147</v>
      </c>
      <c r="G9" s="68">
        <v>147</v>
      </c>
      <c r="H9" s="68">
        <v>147</v>
      </c>
      <c r="I9" s="68">
        <v>147</v>
      </c>
      <c r="J9" s="68">
        <v>147</v>
      </c>
      <c r="K9" s="68">
        <v>147</v>
      </c>
      <c r="L9" s="68">
        <v>147</v>
      </c>
      <c r="M9" s="68">
        <v>147</v>
      </c>
      <c r="N9" s="68">
        <v>147</v>
      </c>
      <c r="O9" s="68">
        <v>147</v>
      </c>
      <c r="P9" s="68">
        <v>147</v>
      </c>
      <c r="Q9" s="68">
        <v>147</v>
      </c>
      <c r="R9" s="68">
        <v>147</v>
      </c>
      <c r="S9" s="68">
        <v>147</v>
      </c>
      <c r="T9" s="68">
        <v>147</v>
      </c>
      <c r="U9" s="68">
        <v>147</v>
      </c>
      <c r="V9" s="68">
        <v>147</v>
      </c>
      <c r="W9" s="68">
        <v>170</v>
      </c>
      <c r="X9" s="68">
        <v>147</v>
      </c>
      <c r="Y9" s="68">
        <v>153</v>
      </c>
      <c r="Z9" s="68">
        <v>147</v>
      </c>
      <c r="AA9" s="68">
        <v>153</v>
      </c>
      <c r="AB9" s="68">
        <v>153</v>
      </c>
      <c r="AC9" s="68">
        <v>153</v>
      </c>
      <c r="AD9" s="68">
        <v>147</v>
      </c>
      <c r="AE9" s="68">
        <v>147</v>
      </c>
      <c r="AF9" s="68">
        <v>170</v>
      </c>
      <c r="AG9" s="68">
        <v>170</v>
      </c>
      <c r="AH9" s="68">
        <v>170</v>
      </c>
      <c r="AI9" s="68">
        <v>166</v>
      </c>
      <c r="AJ9" s="68">
        <v>166</v>
      </c>
      <c r="AK9" s="68">
        <v>166</v>
      </c>
      <c r="AL9" s="68">
        <v>166</v>
      </c>
      <c r="AM9" s="68">
        <v>166</v>
      </c>
      <c r="AN9" s="68">
        <v>170</v>
      </c>
      <c r="AO9" s="68">
        <v>170</v>
      </c>
      <c r="AP9" s="68">
        <v>170</v>
      </c>
      <c r="AQ9" s="68">
        <v>170</v>
      </c>
      <c r="AR9" s="68">
        <v>147</v>
      </c>
      <c r="AS9" s="68">
        <v>147</v>
      </c>
      <c r="AT9" s="68">
        <v>147</v>
      </c>
      <c r="AU9" s="68">
        <v>147</v>
      </c>
      <c r="AV9" s="68">
        <v>147</v>
      </c>
      <c r="AW9" s="68">
        <v>147</v>
      </c>
      <c r="AX9" s="68">
        <v>147</v>
      </c>
      <c r="AY9" s="68">
        <v>147</v>
      </c>
      <c r="AZ9" s="68">
        <v>147</v>
      </c>
      <c r="BA9" s="68">
        <v>147</v>
      </c>
      <c r="BB9" s="68">
        <v>147</v>
      </c>
      <c r="BC9" s="68">
        <v>147</v>
      </c>
      <c r="BD9" s="68">
        <v>147</v>
      </c>
      <c r="BE9" s="68">
        <v>153</v>
      </c>
      <c r="BF9" s="68">
        <v>153</v>
      </c>
      <c r="BG9" s="68">
        <v>147</v>
      </c>
      <c r="BH9" s="68">
        <v>153</v>
      </c>
      <c r="BI9" s="68">
        <v>153</v>
      </c>
      <c r="BJ9" s="68">
        <v>153</v>
      </c>
      <c r="BK9" s="68">
        <v>153</v>
      </c>
      <c r="BL9" s="68">
        <v>166</v>
      </c>
      <c r="BM9" s="68">
        <v>166</v>
      </c>
      <c r="BN9" s="68">
        <v>166</v>
      </c>
      <c r="BO9" s="68">
        <v>153</v>
      </c>
      <c r="BP9" s="68">
        <v>153</v>
      </c>
      <c r="BQ9" s="68">
        <v>153</v>
      </c>
      <c r="BR9" s="68">
        <v>153</v>
      </c>
      <c r="BS9" s="68">
        <v>166</v>
      </c>
      <c r="BT9" s="68">
        <v>166</v>
      </c>
      <c r="BU9" s="68">
        <v>153</v>
      </c>
      <c r="BV9" s="68">
        <v>166</v>
      </c>
      <c r="BW9" s="68">
        <v>170</v>
      </c>
      <c r="BX9" s="68">
        <v>170</v>
      </c>
      <c r="BY9" s="68">
        <v>170</v>
      </c>
      <c r="BZ9" s="68">
        <v>170</v>
      </c>
      <c r="CA9" s="68">
        <v>170</v>
      </c>
      <c r="CB9" s="68">
        <v>170</v>
      </c>
      <c r="CC9" s="68">
        <v>166</v>
      </c>
      <c r="CD9" s="68">
        <v>166</v>
      </c>
      <c r="CE9" s="68">
        <v>170</v>
      </c>
      <c r="CF9" s="68">
        <v>174</v>
      </c>
      <c r="CG9" s="68">
        <v>166</v>
      </c>
      <c r="CH9" s="68">
        <v>170</v>
      </c>
      <c r="CI9" s="68">
        <v>170</v>
      </c>
      <c r="CJ9" s="68">
        <v>174</v>
      </c>
      <c r="CK9" s="68">
        <v>170</v>
      </c>
      <c r="CL9" s="68">
        <v>170</v>
      </c>
      <c r="CM9" s="68">
        <v>170</v>
      </c>
      <c r="CN9" s="68">
        <v>170</v>
      </c>
      <c r="CO9" s="68">
        <v>170</v>
      </c>
      <c r="CP9" s="68">
        <v>170</v>
      </c>
      <c r="CQ9" s="68">
        <v>170</v>
      </c>
      <c r="CR9" s="68">
        <v>170</v>
      </c>
      <c r="CS9" s="68">
        <v>174</v>
      </c>
      <c r="CT9" s="68">
        <v>174</v>
      </c>
    </row>
    <row r="10" spans="1:98" ht="15" customHeight="1">
      <c r="A10" s="64">
        <v>1050</v>
      </c>
      <c r="B10" s="64">
        <v>0.6</v>
      </c>
      <c r="C10" s="64"/>
      <c r="D10" s="64"/>
      <c r="E10" s="68">
        <v>192</v>
      </c>
      <c r="F10" s="68">
        <v>161</v>
      </c>
      <c r="G10" s="68">
        <v>161</v>
      </c>
      <c r="H10" s="68">
        <v>161</v>
      </c>
      <c r="I10" s="68">
        <v>161</v>
      </c>
      <c r="J10" s="68">
        <v>161</v>
      </c>
      <c r="K10" s="68">
        <v>161</v>
      </c>
      <c r="L10" s="68">
        <v>161</v>
      </c>
      <c r="M10" s="68">
        <v>161</v>
      </c>
      <c r="N10" s="68">
        <v>161</v>
      </c>
      <c r="O10" s="68">
        <v>161</v>
      </c>
      <c r="P10" s="68">
        <v>161</v>
      </c>
      <c r="Q10" s="68">
        <v>161</v>
      </c>
      <c r="R10" s="68">
        <v>161</v>
      </c>
      <c r="S10" s="68">
        <v>161</v>
      </c>
      <c r="T10" s="68">
        <v>161</v>
      </c>
      <c r="U10" s="68">
        <v>161</v>
      </c>
      <c r="V10" s="68">
        <v>161</v>
      </c>
      <c r="W10" s="68">
        <v>192</v>
      </c>
      <c r="X10" s="68">
        <v>161</v>
      </c>
      <c r="Y10" s="68">
        <v>169</v>
      </c>
      <c r="Z10" s="68">
        <v>161</v>
      </c>
      <c r="AA10" s="68">
        <v>169</v>
      </c>
      <c r="AB10" s="68">
        <v>169</v>
      </c>
      <c r="AC10" s="68">
        <v>169</v>
      </c>
      <c r="AD10" s="68">
        <v>161</v>
      </c>
      <c r="AE10" s="68">
        <v>161</v>
      </c>
      <c r="AF10" s="68">
        <v>192</v>
      </c>
      <c r="AG10" s="68">
        <v>192</v>
      </c>
      <c r="AH10" s="68">
        <v>192</v>
      </c>
      <c r="AI10" s="68">
        <v>183</v>
      </c>
      <c r="AJ10" s="68">
        <v>183</v>
      </c>
      <c r="AK10" s="68">
        <v>183</v>
      </c>
      <c r="AL10" s="68">
        <v>183</v>
      </c>
      <c r="AM10" s="68">
        <v>183</v>
      </c>
      <c r="AN10" s="68">
        <v>192</v>
      </c>
      <c r="AO10" s="68">
        <v>192</v>
      </c>
      <c r="AP10" s="68">
        <v>192</v>
      </c>
      <c r="AQ10" s="68">
        <v>192</v>
      </c>
      <c r="AR10" s="68">
        <v>161</v>
      </c>
      <c r="AS10" s="68">
        <v>161</v>
      </c>
      <c r="AT10" s="68">
        <v>161</v>
      </c>
      <c r="AU10" s="68">
        <v>161</v>
      </c>
      <c r="AV10" s="68">
        <v>161</v>
      </c>
      <c r="AW10" s="68">
        <v>161</v>
      </c>
      <c r="AX10" s="68">
        <v>161</v>
      </c>
      <c r="AY10" s="68">
        <v>161</v>
      </c>
      <c r="AZ10" s="68">
        <v>161</v>
      </c>
      <c r="BA10" s="68">
        <v>161</v>
      </c>
      <c r="BB10" s="68">
        <v>161</v>
      </c>
      <c r="BC10" s="68">
        <v>161</v>
      </c>
      <c r="BD10" s="68">
        <v>161</v>
      </c>
      <c r="BE10" s="68">
        <v>169</v>
      </c>
      <c r="BF10" s="68">
        <v>169</v>
      </c>
      <c r="BG10" s="68">
        <v>161</v>
      </c>
      <c r="BH10" s="68">
        <v>169</v>
      </c>
      <c r="BI10" s="68">
        <v>169</v>
      </c>
      <c r="BJ10" s="68">
        <v>169</v>
      </c>
      <c r="BK10" s="68">
        <v>169</v>
      </c>
      <c r="BL10" s="68">
        <v>183</v>
      </c>
      <c r="BM10" s="68">
        <v>183</v>
      </c>
      <c r="BN10" s="68">
        <v>183</v>
      </c>
      <c r="BO10" s="68">
        <v>169</v>
      </c>
      <c r="BP10" s="68">
        <v>169</v>
      </c>
      <c r="BQ10" s="68">
        <v>169</v>
      </c>
      <c r="BR10" s="68">
        <v>169</v>
      </c>
      <c r="BS10" s="68">
        <v>183</v>
      </c>
      <c r="BT10" s="68">
        <v>183</v>
      </c>
      <c r="BU10" s="68">
        <v>169</v>
      </c>
      <c r="BV10" s="68">
        <v>183</v>
      </c>
      <c r="BW10" s="68">
        <v>192</v>
      </c>
      <c r="BX10" s="68">
        <v>192</v>
      </c>
      <c r="BY10" s="68">
        <v>192</v>
      </c>
      <c r="BZ10" s="68">
        <v>192</v>
      </c>
      <c r="CA10" s="68">
        <v>192</v>
      </c>
      <c r="CB10" s="68">
        <v>192</v>
      </c>
      <c r="CC10" s="68">
        <v>183</v>
      </c>
      <c r="CD10" s="68">
        <v>183</v>
      </c>
      <c r="CE10" s="68">
        <v>192</v>
      </c>
      <c r="CF10" s="68">
        <v>195</v>
      </c>
      <c r="CG10" s="68">
        <v>183</v>
      </c>
      <c r="CH10" s="68">
        <v>192</v>
      </c>
      <c r="CI10" s="68">
        <v>192</v>
      </c>
      <c r="CJ10" s="68">
        <v>195</v>
      </c>
      <c r="CK10" s="68">
        <v>192</v>
      </c>
      <c r="CL10" s="68">
        <v>192</v>
      </c>
      <c r="CM10" s="68">
        <v>192</v>
      </c>
      <c r="CN10" s="68">
        <v>192</v>
      </c>
      <c r="CO10" s="68">
        <v>192</v>
      </c>
      <c r="CP10" s="68">
        <v>192</v>
      </c>
      <c r="CQ10" s="68">
        <v>192</v>
      </c>
      <c r="CR10" s="68">
        <v>192</v>
      </c>
      <c r="CS10" s="68">
        <v>195</v>
      </c>
      <c r="CT10" s="68">
        <v>195</v>
      </c>
    </row>
    <row r="11" spans="1:98" ht="15" customHeight="1">
      <c r="A11" s="64">
        <v>1400</v>
      </c>
      <c r="B11" s="64">
        <v>0.8</v>
      </c>
      <c r="C11" s="64">
        <v>2</v>
      </c>
      <c r="D11" s="64"/>
      <c r="E11" s="68">
        <v>258</v>
      </c>
      <c r="F11" s="68">
        <v>227</v>
      </c>
      <c r="G11" s="68">
        <v>227</v>
      </c>
      <c r="H11" s="68">
        <v>227</v>
      </c>
      <c r="I11" s="68">
        <v>227</v>
      </c>
      <c r="J11" s="68">
        <v>227</v>
      </c>
      <c r="K11" s="68">
        <v>227</v>
      </c>
      <c r="L11" s="68">
        <v>227</v>
      </c>
      <c r="M11" s="68">
        <v>227</v>
      </c>
      <c r="N11" s="68">
        <v>227</v>
      </c>
      <c r="O11" s="68">
        <v>227</v>
      </c>
      <c r="P11" s="68">
        <v>227</v>
      </c>
      <c r="Q11" s="68">
        <v>227</v>
      </c>
      <c r="R11" s="68">
        <v>227</v>
      </c>
      <c r="S11" s="68">
        <v>227</v>
      </c>
      <c r="T11" s="68">
        <v>227</v>
      </c>
      <c r="U11" s="68">
        <v>227</v>
      </c>
      <c r="V11" s="68">
        <v>227</v>
      </c>
      <c r="W11" s="68">
        <v>258</v>
      </c>
      <c r="X11" s="68">
        <v>227</v>
      </c>
      <c r="Y11" s="68">
        <v>236</v>
      </c>
      <c r="Z11" s="68">
        <v>227</v>
      </c>
      <c r="AA11" s="68">
        <v>236</v>
      </c>
      <c r="AB11" s="68">
        <v>236</v>
      </c>
      <c r="AC11" s="68">
        <v>236</v>
      </c>
      <c r="AD11" s="68">
        <v>227</v>
      </c>
      <c r="AE11" s="68">
        <v>227</v>
      </c>
      <c r="AF11" s="68">
        <v>258</v>
      </c>
      <c r="AG11" s="68">
        <v>258</v>
      </c>
      <c r="AH11" s="68">
        <v>258</v>
      </c>
      <c r="AI11" s="68">
        <v>251</v>
      </c>
      <c r="AJ11" s="68">
        <v>251</v>
      </c>
      <c r="AK11" s="68">
        <v>251</v>
      </c>
      <c r="AL11" s="68">
        <v>251</v>
      </c>
      <c r="AM11" s="68">
        <v>251</v>
      </c>
      <c r="AN11" s="68">
        <v>258</v>
      </c>
      <c r="AO11" s="68">
        <v>258</v>
      </c>
      <c r="AP11" s="68">
        <v>258</v>
      </c>
      <c r="AQ11" s="68">
        <v>258</v>
      </c>
      <c r="AR11" s="68">
        <v>227</v>
      </c>
      <c r="AS11" s="68">
        <v>227</v>
      </c>
      <c r="AT11" s="68">
        <v>227</v>
      </c>
      <c r="AU11" s="68">
        <v>227</v>
      </c>
      <c r="AV11" s="68">
        <v>227</v>
      </c>
      <c r="AW11" s="68">
        <v>227</v>
      </c>
      <c r="AX11" s="68">
        <v>227</v>
      </c>
      <c r="AY11" s="68">
        <v>227</v>
      </c>
      <c r="AZ11" s="68">
        <v>227</v>
      </c>
      <c r="BA11" s="68">
        <v>227</v>
      </c>
      <c r="BB11" s="68">
        <v>227</v>
      </c>
      <c r="BC11" s="68">
        <v>227</v>
      </c>
      <c r="BD11" s="68">
        <v>227</v>
      </c>
      <c r="BE11" s="68">
        <v>236</v>
      </c>
      <c r="BF11" s="68">
        <v>236</v>
      </c>
      <c r="BG11" s="68">
        <v>227</v>
      </c>
      <c r="BH11" s="68">
        <v>236</v>
      </c>
      <c r="BI11" s="68">
        <v>236</v>
      </c>
      <c r="BJ11" s="68">
        <v>236</v>
      </c>
      <c r="BK11" s="68">
        <v>236</v>
      </c>
      <c r="BL11" s="68">
        <v>251</v>
      </c>
      <c r="BM11" s="68">
        <v>251</v>
      </c>
      <c r="BN11" s="68">
        <v>251</v>
      </c>
      <c r="BO11" s="68">
        <v>236</v>
      </c>
      <c r="BP11" s="68">
        <v>236</v>
      </c>
      <c r="BQ11" s="68">
        <v>236</v>
      </c>
      <c r="BR11" s="68">
        <v>236</v>
      </c>
      <c r="BS11" s="68">
        <v>251</v>
      </c>
      <c r="BT11" s="68">
        <v>251</v>
      </c>
      <c r="BU11" s="68">
        <v>236</v>
      </c>
      <c r="BV11" s="68">
        <v>251</v>
      </c>
      <c r="BW11" s="68">
        <v>258</v>
      </c>
      <c r="BX11" s="68">
        <v>258</v>
      </c>
      <c r="BY11" s="68">
        <v>258</v>
      </c>
      <c r="BZ11" s="68">
        <v>258</v>
      </c>
      <c r="CA11" s="68">
        <v>258</v>
      </c>
      <c r="CB11" s="68">
        <v>258</v>
      </c>
      <c r="CC11" s="68">
        <v>251</v>
      </c>
      <c r="CD11" s="68">
        <v>251</v>
      </c>
      <c r="CE11" s="68">
        <v>258</v>
      </c>
      <c r="CF11" s="68">
        <v>261</v>
      </c>
      <c r="CG11" s="68">
        <v>251</v>
      </c>
      <c r="CH11" s="68">
        <v>258</v>
      </c>
      <c r="CI11" s="68">
        <v>258</v>
      </c>
      <c r="CJ11" s="68">
        <v>261</v>
      </c>
      <c r="CK11" s="68">
        <v>258</v>
      </c>
      <c r="CL11" s="68">
        <v>258</v>
      </c>
      <c r="CM11" s="68">
        <v>258</v>
      </c>
      <c r="CN11" s="68">
        <v>258</v>
      </c>
      <c r="CO11" s="68">
        <v>258</v>
      </c>
      <c r="CP11" s="68">
        <v>258</v>
      </c>
      <c r="CQ11" s="68">
        <v>258</v>
      </c>
      <c r="CR11" s="68">
        <v>258</v>
      </c>
      <c r="CS11" s="68">
        <v>261</v>
      </c>
      <c r="CT11" s="68">
        <v>261</v>
      </c>
    </row>
    <row r="12" spans="1:98" ht="15" customHeight="1">
      <c r="A12" s="64">
        <v>1750</v>
      </c>
      <c r="B12" s="64">
        <v>1</v>
      </c>
      <c r="C12" s="64"/>
      <c r="D12" s="64">
        <v>2</v>
      </c>
      <c r="E12" s="68">
        <v>299</v>
      </c>
      <c r="F12" s="68">
        <v>258</v>
      </c>
      <c r="G12" s="68">
        <v>258</v>
      </c>
      <c r="H12" s="68">
        <v>258</v>
      </c>
      <c r="I12" s="68">
        <v>258</v>
      </c>
      <c r="J12" s="68">
        <v>258</v>
      </c>
      <c r="K12" s="68">
        <v>258</v>
      </c>
      <c r="L12" s="68">
        <v>258</v>
      </c>
      <c r="M12" s="68">
        <v>258</v>
      </c>
      <c r="N12" s="68">
        <v>258</v>
      </c>
      <c r="O12" s="68">
        <v>258</v>
      </c>
      <c r="P12" s="68">
        <v>258</v>
      </c>
      <c r="Q12" s="68">
        <v>258</v>
      </c>
      <c r="R12" s="68">
        <v>258</v>
      </c>
      <c r="S12" s="68">
        <v>258</v>
      </c>
      <c r="T12" s="68">
        <v>258</v>
      </c>
      <c r="U12" s="68">
        <v>258</v>
      </c>
      <c r="V12" s="68">
        <v>258</v>
      </c>
      <c r="W12" s="68">
        <v>299</v>
      </c>
      <c r="X12" s="68">
        <v>258</v>
      </c>
      <c r="Y12" s="68">
        <v>270</v>
      </c>
      <c r="Z12" s="68">
        <v>258</v>
      </c>
      <c r="AA12" s="68">
        <v>270</v>
      </c>
      <c r="AB12" s="68">
        <v>270</v>
      </c>
      <c r="AC12" s="68">
        <v>270</v>
      </c>
      <c r="AD12" s="68">
        <v>258</v>
      </c>
      <c r="AE12" s="68">
        <v>258</v>
      </c>
      <c r="AF12" s="68">
        <v>299</v>
      </c>
      <c r="AG12" s="68">
        <v>299</v>
      </c>
      <c r="AH12" s="68">
        <v>299</v>
      </c>
      <c r="AI12" s="68">
        <v>289</v>
      </c>
      <c r="AJ12" s="68">
        <v>289</v>
      </c>
      <c r="AK12" s="68">
        <v>289</v>
      </c>
      <c r="AL12" s="68">
        <v>289</v>
      </c>
      <c r="AM12" s="68">
        <v>289</v>
      </c>
      <c r="AN12" s="68">
        <v>299</v>
      </c>
      <c r="AO12" s="68">
        <v>299</v>
      </c>
      <c r="AP12" s="68">
        <v>299</v>
      </c>
      <c r="AQ12" s="68">
        <v>299</v>
      </c>
      <c r="AR12" s="68">
        <v>258</v>
      </c>
      <c r="AS12" s="68">
        <v>258</v>
      </c>
      <c r="AT12" s="68">
        <v>258</v>
      </c>
      <c r="AU12" s="68">
        <v>258</v>
      </c>
      <c r="AV12" s="68">
        <v>258</v>
      </c>
      <c r="AW12" s="68">
        <v>258</v>
      </c>
      <c r="AX12" s="68">
        <v>258</v>
      </c>
      <c r="AY12" s="68">
        <v>258</v>
      </c>
      <c r="AZ12" s="68">
        <v>258</v>
      </c>
      <c r="BA12" s="68">
        <v>258</v>
      </c>
      <c r="BB12" s="68">
        <v>258</v>
      </c>
      <c r="BC12" s="68">
        <v>258</v>
      </c>
      <c r="BD12" s="68">
        <v>258</v>
      </c>
      <c r="BE12" s="68">
        <v>270</v>
      </c>
      <c r="BF12" s="68">
        <v>270</v>
      </c>
      <c r="BG12" s="68">
        <v>258</v>
      </c>
      <c r="BH12" s="68">
        <v>270</v>
      </c>
      <c r="BI12" s="68">
        <v>270</v>
      </c>
      <c r="BJ12" s="68">
        <v>270</v>
      </c>
      <c r="BK12" s="68">
        <v>270</v>
      </c>
      <c r="BL12" s="68">
        <v>289</v>
      </c>
      <c r="BM12" s="68">
        <v>289</v>
      </c>
      <c r="BN12" s="68">
        <v>289</v>
      </c>
      <c r="BO12" s="68">
        <v>270</v>
      </c>
      <c r="BP12" s="68">
        <v>270</v>
      </c>
      <c r="BQ12" s="68">
        <v>270</v>
      </c>
      <c r="BR12" s="68">
        <v>270</v>
      </c>
      <c r="BS12" s="68">
        <v>289</v>
      </c>
      <c r="BT12" s="68">
        <v>289</v>
      </c>
      <c r="BU12" s="68">
        <v>270</v>
      </c>
      <c r="BV12" s="68">
        <v>289</v>
      </c>
      <c r="BW12" s="68">
        <v>299</v>
      </c>
      <c r="BX12" s="68">
        <v>299</v>
      </c>
      <c r="BY12" s="68">
        <v>299</v>
      </c>
      <c r="BZ12" s="68">
        <v>299</v>
      </c>
      <c r="CA12" s="68">
        <v>299</v>
      </c>
      <c r="CB12" s="68">
        <v>299</v>
      </c>
      <c r="CC12" s="68">
        <v>289</v>
      </c>
      <c r="CD12" s="68">
        <v>289</v>
      </c>
      <c r="CE12" s="68">
        <v>299</v>
      </c>
      <c r="CF12" s="68">
        <v>305</v>
      </c>
      <c r="CG12" s="68">
        <v>289</v>
      </c>
      <c r="CH12" s="68">
        <v>299</v>
      </c>
      <c r="CI12" s="68">
        <v>299</v>
      </c>
      <c r="CJ12" s="68">
        <v>305</v>
      </c>
      <c r="CK12" s="68">
        <v>299</v>
      </c>
      <c r="CL12" s="68">
        <v>299</v>
      </c>
      <c r="CM12" s="68">
        <v>299</v>
      </c>
      <c r="CN12" s="68">
        <v>299</v>
      </c>
      <c r="CO12" s="68">
        <v>299</v>
      </c>
      <c r="CP12" s="68">
        <v>299</v>
      </c>
      <c r="CQ12" s="68">
        <v>299</v>
      </c>
      <c r="CR12" s="68">
        <v>299</v>
      </c>
      <c r="CS12" s="68">
        <v>305</v>
      </c>
      <c r="CT12" s="68">
        <v>305</v>
      </c>
    </row>
    <row r="13" spans="1:98" ht="15" customHeight="1">
      <c r="A13" s="64">
        <v>2100</v>
      </c>
      <c r="B13" s="64">
        <v>1.2</v>
      </c>
      <c r="C13" s="64">
        <v>3</v>
      </c>
      <c r="D13" s="64"/>
      <c r="E13" s="68">
        <v>362</v>
      </c>
      <c r="F13" s="68">
        <v>310</v>
      </c>
      <c r="G13" s="68">
        <v>310</v>
      </c>
      <c r="H13" s="68">
        <v>310</v>
      </c>
      <c r="I13" s="68">
        <v>310</v>
      </c>
      <c r="J13" s="68">
        <v>310</v>
      </c>
      <c r="K13" s="68">
        <v>310</v>
      </c>
      <c r="L13" s="68">
        <v>310</v>
      </c>
      <c r="M13" s="68">
        <v>310</v>
      </c>
      <c r="N13" s="68">
        <v>310</v>
      </c>
      <c r="O13" s="68">
        <v>310</v>
      </c>
      <c r="P13" s="68">
        <v>310</v>
      </c>
      <c r="Q13" s="68">
        <v>310</v>
      </c>
      <c r="R13" s="68">
        <v>310</v>
      </c>
      <c r="S13" s="68">
        <v>310</v>
      </c>
      <c r="T13" s="68">
        <v>310</v>
      </c>
      <c r="U13" s="68">
        <v>310</v>
      </c>
      <c r="V13" s="68">
        <v>310</v>
      </c>
      <c r="W13" s="68">
        <v>362</v>
      </c>
      <c r="X13" s="68">
        <v>310</v>
      </c>
      <c r="Y13" s="68">
        <v>324</v>
      </c>
      <c r="Z13" s="68">
        <v>310</v>
      </c>
      <c r="AA13" s="68">
        <v>324</v>
      </c>
      <c r="AB13" s="68">
        <v>324</v>
      </c>
      <c r="AC13" s="68">
        <v>324</v>
      </c>
      <c r="AD13" s="68">
        <v>310</v>
      </c>
      <c r="AE13" s="68">
        <v>310</v>
      </c>
      <c r="AF13" s="68">
        <v>362</v>
      </c>
      <c r="AG13" s="68">
        <v>362</v>
      </c>
      <c r="AH13" s="68">
        <v>362</v>
      </c>
      <c r="AI13" s="68">
        <v>348</v>
      </c>
      <c r="AJ13" s="68">
        <v>348</v>
      </c>
      <c r="AK13" s="68">
        <v>348</v>
      </c>
      <c r="AL13" s="68">
        <v>348</v>
      </c>
      <c r="AM13" s="68">
        <v>348</v>
      </c>
      <c r="AN13" s="68">
        <v>362</v>
      </c>
      <c r="AO13" s="68">
        <v>362</v>
      </c>
      <c r="AP13" s="68">
        <v>362</v>
      </c>
      <c r="AQ13" s="68">
        <v>362</v>
      </c>
      <c r="AR13" s="68">
        <v>310</v>
      </c>
      <c r="AS13" s="68">
        <v>310</v>
      </c>
      <c r="AT13" s="68">
        <v>310</v>
      </c>
      <c r="AU13" s="68">
        <v>310</v>
      </c>
      <c r="AV13" s="68">
        <v>310</v>
      </c>
      <c r="AW13" s="68">
        <v>310</v>
      </c>
      <c r="AX13" s="68">
        <v>310</v>
      </c>
      <c r="AY13" s="68">
        <v>310</v>
      </c>
      <c r="AZ13" s="68">
        <v>310</v>
      </c>
      <c r="BA13" s="68">
        <v>310</v>
      </c>
      <c r="BB13" s="68">
        <v>310</v>
      </c>
      <c r="BC13" s="68">
        <v>310</v>
      </c>
      <c r="BD13" s="68">
        <v>310</v>
      </c>
      <c r="BE13" s="68">
        <v>324</v>
      </c>
      <c r="BF13" s="68">
        <v>324</v>
      </c>
      <c r="BG13" s="68">
        <v>310</v>
      </c>
      <c r="BH13" s="68">
        <v>324</v>
      </c>
      <c r="BI13" s="68">
        <v>324</v>
      </c>
      <c r="BJ13" s="68">
        <v>324</v>
      </c>
      <c r="BK13" s="68">
        <v>324</v>
      </c>
      <c r="BL13" s="68">
        <v>348</v>
      </c>
      <c r="BM13" s="68">
        <v>348</v>
      </c>
      <c r="BN13" s="68">
        <v>348</v>
      </c>
      <c r="BO13" s="68">
        <v>324</v>
      </c>
      <c r="BP13" s="68">
        <v>324</v>
      </c>
      <c r="BQ13" s="68">
        <v>324</v>
      </c>
      <c r="BR13" s="68">
        <v>324</v>
      </c>
      <c r="BS13" s="68">
        <v>348</v>
      </c>
      <c r="BT13" s="68">
        <v>348</v>
      </c>
      <c r="BU13" s="68">
        <v>324</v>
      </c>
      <c r="BV13" s="68">
        <v>348</v>
      </c>
      <c r="BW13" s="68">
        <v>362</v>
      </c>
      <c r="BX13" s="68">
        <v>362</v>
      </c>
      <c r="BY13" s="68">
        <v>362</v>
      </c>
      <c r="BZ13" s="68">
        <v>362</v>
      </c>
      <c r="CA13" s="68">
        <v>362</v>
      </c>
      <c r="CB13" s="68">
        <v>362</v>
      </c>
      <c r="CC13" s="68">
        <v>348</v>
      </c>
      <c r="CD13" s="68">
        <v>348</v>
      </c>
      <c r="CE13" s="68">
        <v>362</v>
      </c>
      <c r="CF13" s="68">
        <v>368</v>
      </c>
      <c r="CG13" s="68">
        <v>348</v>
      </c>
      <c r="CH13" s="68">
        <v>362</v>
      </c>
      <c r="CI13" s="68">
        <v>362</v>
      </c>
      <c r="CJ13" s="68">
        <v>368</v>
      </c>
      <c r="CK13" s="68">
        <v>362</v>
      </c>
      <c r="CL13" s="68">
        <v>362</v>
      </c>
      <c r="CM13" s="68">
        <v>362</v>
      </c>
      <c r="CN13" s="68">
        <v>362</v>
      </c>
      <c r="CO13" s="68">
        <v>362</v>
      </c>
      <c r="CP13" s="68">
        <v>362</v>
      </c>
      <c r="CQ13" s="68">
        <v>362</v>
      </c>
      <c r="CR13" s="68">
        <v>362</v>
      </c>
      <c r="CS13" s="68">
        <v>368</v>
      </c>
      <c r="CT13" s="68">
        <v>368</v>
      </c>
    </row>
    <row r="14" spans="1:98" ht="15" customHeight="1">
      <c r="A14" s="64">
        <v>2625</v>
      </c>
      <c r="B14" s="2">
        <v>1.5</v>
      </c>
      <c r="C14" s="82"/>
      <c r="D14" s="64">
        <v>3</v>
      </c>
      <c r="E14" s="68">
        <v>416</v>
      </c>
      <c r="F14" s="68">
        <v>355</v>
      </c>
      <c r="G14" s="68">
        <v>355</v>
      </c>
      <c r="H14" s="68">
        <v>355</v>
      </c>
      <c r="I14" s="68">
        <v>355</v>
      </c>
      <c r="J14" s="68">
        <v>355</v>
      </c>
      <c r="K14" s="68">
        <v>355</v>
      </c>
      <c r="L14" s="68">
        <v>355</v>
      </c>
      <c r="M14" s="68">
        <v>355</v>
      </c>
      <c r="N14" s="68">
        <v>355</v>
      </c>
      <c r="O14" s="68">
        <v>355</v>
      </c>
      <c r="P14" s="68">
        <v>355</v>
      </c>
      <c r="Q14" s="68">
        <v>355</v>
      </c>
      <c r="R14" s="68">
        <v>355</v>
      </c>
      <c r="S14" s="68">
        <v>355</v>
      </c>
      <c r="T14" s="68">
        <v>355</v>
      </c>
      <c r="U14" s="68">
        <v>355</v>
      </c>
      <c r="V14" s="68">
        <v>355</v>
      </c>
      <c r="W14" s="68">
        <v>424</v>
      </c>
      <c r="X14" s="68">
        <v>355</v>
      </c>
      <c r="Y14" s="68">
        <v>376</v>
      </c>
      <c r="Z14" s="68">
        <v>355</v>
      </c>
      <c r="AA14" s="68">
        <v>376</v>
      </c>
      <c r="AB14" s="68">
        <v>376</v>
      </c>
      <c r="AC14" s="68">
        <v>376</v>
      </c>
      <c r="AD14" s="68">
        <v>355</v>
      </c>
      <c r="AE14" s="68">
        <v>355</v>
      </c>
      <c r="AF14" s="68">
        <v>424</v>
      </c>
      <c r="AG14" s="68">
        <v>424</v>
      </c>
      <c r="AH14" s="68">
        <v>424</v>
      </c>
      <c r="AI14" s="68">
        <v>409</v>
      </c>
      <c r="AJ14" s="68">
        <v>409</v>
      </c>
      <c r="AK14" s="68">
        <v>409</v>
      </c>
      <c r="AL14" s="68">
        <v>409</v>
      </c>
      <c r="AM14" s="68">
        <v>409</v>
      </c>
      <c r="AN14" s="68">
        <v>424</v>
      </c>
      <c r="AO14" s="68">
        <v>424</v>
      </c>
      <c r="AP14" s="68">
        <v>424</v>
      </c>
      <c r="AQ14" s="68">
        <v>424</v>
      </c>
      <c r="AR14" s="68">
        <v>355</v>
      </c>
      <c r="AS14" s="68">
        <v>355</v>
      </c>
      <c r="AT14" s="68">
        <v>355</v>
      </c>
      <c r="AU14" s="68">
        <v>355</v>
      </c>
      <c r="AV14" s="68">
        <v>355</v>
      </c>
      <c r="AW14" s="68">
        <v>355</v>
      </c>
      <c r="AX14" s="68">
        <v>355</v>
      </c>
      <c r="AY14" s="68">
        <v>355</v>
      </c>
      <c r="AZ14" s="68">
        <v>355</v>
      </c>
      <c r="BA14" s="68">
        <v>355</v>
      </c>
      <c r="BB14" s="68">
        <v>355</v>
      </c>
      <c r="BC14" s="68">
        <v>355</v>
      </c>
      <c r="BD14" s="68">
        <v>355</v>
      </c>
      <c r="BE14" s="68">
        <v>376</v>
      </c>
      <c r="BF14" s="68">
        <v>376</v>
      </c>
      <c r="BG14" s="68">
        <v>355</v>
      </c>
      <c r="BH14" s="68">
        <v>376</v>
      </c>
      <c r="BI14" s="68">
        <v>376</v>
      </c>
      <c r="BJ14" s="68">
        <v>376</v>
      </c>
      <c r="BK14" s="68">
        <v>376</v>
      </c>
      <c r="BL14" s="68">
        <v>409</v>
      </c>
      <c r="BM14" s="68">
        <v>409</v>
      </c>
      <c r="BN14" s="68">
        <v>409</v>
      </c>
      <c r="BO14" s="68">
        <v>376</v>
      </c>
      <c r="BP14" s="68">
        <v>376</v>
      </c>
      <c r="BQ14" s="68">
        <v>376</v>
      </c>
      <c r="BR14" s="68">
        <v>376</v>
      </c>
      <c r="BS14" s="68">
        <v>409</v>
      </c>
      <c r="BT14" s="68">
        <v>409</v>
      </c>
      <c r="BU14" s="68">
        <v>376</v>
      </c>
      <c r="BV14" s="68">
        <v>409</v>
      </c>
      <c r="BW14" s="68">
        <v>424</v>
      </c>
      <c r="BX14" s="68">
        <v>424</v>
      </c>
      <c r="BY14" s="68">
        <v>424</v>
      </c>
      <c r="BZ14" s="68">
        <v>424</v>
      </c>
      <c r="CA14" s="68">
        <v>424</v>
      </c>
      <c r="CB14" s="68">
        <v>424</v>
      </c>
      <c r="CC14" s="68">
        <v>409</v>
      </c>
      <c r="CD14" s="68">
        <v>409</v>
      </c>
      <c r="CE14" s="68">
        <v>424</v>
      </c>
      <c r="CF14" s="68">
        <v>437</v>
      </c>
      <c r="CG14" s="68">
        <v>409</v>
      </c>
      <c r="CH14" s="68">
        <v>424</v>
      </c>
      <c r="CI14" s="68">
        <v>424</v>
      </c>
      <c r="CJ14" s="68">
        <v>437</v>
      </c>
      <c r="CK14" s="68">
        <v>424</v>
      </c>
      <c r="CL14" s="68">
        <v>424</v>
      </c>
      <c r="CM14" s="68">
        <v>424</v>
      </c>
      <c r="CN14" s="68">
        <v>424</v>
      </c>
      <c r="CO14" s="68">
        <v>424</v>
      </c>
      <c r="CP14" s="68">
        <v>424</v>
      </c>
      <c r="CQ14" s="68">
        <v>424</v>
      </c>
      <c r="CR14" s="68">
        <v>424</v>
      </c>
      <c r="CS14" s="68">
        <v>437</v>
      </c>
      <c r="CT14" s="68">
        <v>437</v>
      </c>
    </row>
    <row r="15" spans="1:98" ht="15" customHeight="1">
      <c r="A15" s="64">
        <v>2800</v>
      </c>
      <c r="B15" s="64">
        <v>1.6</v>
      </c>
      <c r="C15" s="64">
        <v>4</v>
      </c>
      <c r="D15" s="64"/>
      <c r="E15" s="68">
        <v>455</v>
      </c>
      <c r="F15" s="68">
        <v>388</v>
      </c>
      <c r="G15" s="68">
        <v>388</v>
      </c>
      <c r="H15" s="68">
        <v>388</v>
      </c>
      <c r="I15" s="68">
        <v>388</v>
      </c>
      <c r="J15" s="68">
        <v>388</v>
      </c>
      <c r="K15" s="68">
        <v>388</v>
      </c>
      <c r="L15" s="68">
        <v>388</v>
      </c>
      <c r="M15" s="68">
        <v>388</v>
      </c>
      <c r="N15" s="68">
        <v>388</v>
      </c>
      <c r="O15" s="68">
        <v>388</v>
      </c>
      <c r="P15" s="68">
        <v>388</v>
      </c>
      <c r="Q15" s="68">
        <v>388</v>
      </c>
      <c r="R15" s="68">
        <v>388</v>
      </c>
      <c r="S15" s="68">
        <v>388</v>
      </c>
      <c r="T15" s="68">
        <v>388</v>
      </c>
      <c r="U15" s="68">
        <v>388</v>
      </c>
      <c r="V15" s="68">
        <v>388</v>
      </c>
      <c r="W15" s="68">
        <v>455</v>
      </c>
      <c r="X15" s="68">
        <v>388</v>
      </c>
      <c r="Y15" s="68">
        <v>408</v>
      </c>
      <c r="Z15" s="68">
        <v>388</v>
      </c>
      <c r="AA15" s="68">
        <v>408</v>
      </c>
      <c r="AB15" s="68">
        <v>408</v>
      </c>
      <c r="AC15" s="68">
        <v>408</v>
      </c>
      <c r="AD15" s="68">
        <v>388</v>
      </c>
      <c r="AE15" s="68">
        <v>388</v>
      </c>
      <c r="AF15" s="68">
        <v>455</v>
      </c>
      <c r="AG15" s="68">
        <v>455</v>
      </c>
      <c r="AH15" s="68">
        <v>455</v>
      </c>
      <c r="AI15" s="68">
        <v>440</v>
      </c>
      <c r="AJ15" s="68">
        <v>440</v>
      </c>
      <c r="AK15" s="68">
        <v>440</v>
      </c>
      <c r="AL15" s="68">
        <v>440</v>
      </c>
      <c r="AM15" s="68">
        <v>440</v>
      </c>
      <c r="AN15" s="68">
        <v>455</v>
      </c>
      <c r="AO15" s="68">
        <v>455</v>
      </c>
      <c r="AP15" s="68">
        <v>455</v>
      </c>
      <c r="AQ15" s="68">
        <v>455</v>
      </c>
      <c r="AR15" s="68">
        <v>388</v>
      </c>
      <c r="AS15" s="68">
        <v>388</v>
      </c>
      <c r="AT15" s="68">
        <v>388</v>
      </c>
      <c r="AU15" s="68">
        <v>388</v>
      </c>
      <c r="AV15" s="68">
        <v>388</v>
      </c>
      <c r="AW15" s="68">
        <v>388</v>
      </c>
      <c r="AX15" s="68">
        <v>388</v>
      </c>
      <c r="AY15" s="68">
        <v>388</v>
      </c>
      <c r="AZ15" s="68">
        <v>388</v>
      </c>
      <c r="BA15" s="68">
        <v>388</v>
      </c>
      <c r="BB15" s="68">
        <v>388</v>
      </c>
      <c r="BC15" s="68">
        <v>388</v>
      </c>
      <c r="BD15" s="68">
        <v>388</v>
      </c>
      <c r="BE15" s="68">
        <v>408</v>
      </c>
      <c r="BF15" s="68">
        <v>408</v>
      </c>
      <c r="BG15" s="68">
        <v>388</v>
      </c>
      <c r="BH15" s="68">
        <v>408</v>
      </c>
      <c r="BI15" s="68">
        <v>408</v>
      </c>
      <c r="BJ15" s="68">
        <v>408</v>
      </c>
      <c r="BK15" s="68">
        <v>408</v>
      </c>
      <c r="BL15" s="68">
        <v>440</v>
      </c>
      <c r="BM15" s="68">
        <v>440</v>
      </c>
      <c r="BN15" s="68">
        <v>440</v>
      </c>
      <c r="BO15" s="68">
        <v>408</v>
      </c>
      <c r="BP15" s="68">
        <v>408</v>
      </c>
      <c r="BQ15" s="68">
        <v>408</v>
      </c>
      <c r="BR15" s="68">
        <v>408</v>
      </c>
      <c r="BS15" s="68">
        <v>440</v>
      </c>
      <c r="BT15" s="68">
        <v>440</v>
      </c>
      <c r="BU15" s="68">
        <v>408</v>
      </c>
      <c r="BV15" s="68">
        <v>440</v>
      </c>
      <c r="BW15" s="68">
        <v>455</v>
      </c>
      <c r="BX15" s="68">
        <v>455</v>
      </c>
      <c r="BY15" s="68">
        <v>455</v>
      </c>
      <c r="BZ15" s="68">
        <v>455</v>
      </c>
      <c r="CA15" s="68">
        <v>455</v>
      </c>
      <c r="CB15" s="68">
        <v>455</v>
      </c>
      <c r="CC15" s="68">
        <v>440</v>
      </c>
      <c r="CD15" s="68">
        <v>440</v>
      </c>
      <c r="CE15" s="68">
        <v>455</v>
      </c>
      <c r="CF15" s="68">
        <v>468</v>
      </c>
      <c r="CG15" s="68">
        <v>440</v>
      </c>
      <c r="CH15" s="68">
        <v>455</v>
      </c>
      <c r="CI15" s="68">
        <v>455</v>
      </c>
      <c r="CJ15" s="68">
        <v>468</v>
      </c>
      <c r="CK15" s="68">
        <v>455</v>
      </c>
      <c r="CL15" s="68">
        <v>455</v>
      </c>
      <c r="CM15" s="68">
        <v>455</v>
      </c>
      <c r="CN15" s="68">
        <v>455</v>
      </c>
      <c r="CO15" s="68">
        <v>455</v>
      </c>
      <c r="CP15" s="68">
        <v>455</v>
      </c>
      <c r="CQ15" s="68">
        <v>455</v>
      </c>
      <c r="CR15" s="68">
        <v>455</v>
      </c>
      <c r="CS15" s="68">
        <v>468</v>
      </c>
      <c r="CT15" s="68">
        <v>468</v>
      </c>
    </row>
    <row r="16" spans="1:98" ht="15" customHeight="1">
      <c r="A16" s="64">
        <v>3500</v>
      </c>
      <c r="B16" s="64">
        <v>2</v>
      </c>
      <c r="C16" s="64">
        <v>5</v>
      </c>
      <c r="D16" s="64">
        <v>4</v>
      </c>
      <c r="E16" s="68">
        <v>515</v>
      </c>
      <c r="F16" s="68">
        <v>449</v>
      </c>
      <c r="G16" s="68">
        <v>449</v>
      </c>
      <c r="H16" s="68">
        <v>449</v>
      </c>
      <c r="I16" s="68">
        <v>449</v>
      </c>
      <c r="J16" s="68">
        <v>449</v>
      </c>
      <c r="K16" s="68">
        <v>449</v>
      </c>
      <c r="L16" s="68">
        <v>449</v>
      </c>
      <c r="M16" s="68">
        <v>449</v>
      </c>
      <c r="N16" s="68">
        <v>449</v>
      </c>
      <c r="O16" s="68">
        <v>449</v>
      </c>
      <c r="P16" s="68">
        <v>449</v>
      </c>
      <c r="Q16" s="68">
        <v>449</v>
      </c>
      <c r="R16" s="68">
        <v>449</v>
      </c>
      <c r="S16" s="68">
        <v>449</v>
      </c>
      <c r="T16" s="68">
        <v>449</v>
      </c>
      <c r="U16" s="68">
        <v>449</v>
      </c>
      <c r="V16" s="68">
        <v>449</v>
      </c>
      <c r="W16" s="68">
        <v>515</v>
      </c>
      <c r="X16" s="68">
        <v>449</v>
      </c>
      <c r="Y16" s="68">
        <v>467</v>
      </c>
      <c r="Z16" s="68">
        <v>449</v>
      </c>
      <c r="AA16" s="68">
        <v>467</v>
      </c>
      <c r="AB16" s="68">
        <v>467</v>
      </c>
      <c r="AC16" s="68">
        <v>467</v>
      </c>
      <c r="AD16" s="68">
        <v>449</v>
      </c>
      <c r="AE16" s="68">
        <v>449</v>
      </c>
      <c r="AF16" s="68">
        <v>515</v>
      </c>
      <c r="AG16" s="68">
        <v>515</v>
      </c>
      <c r="AH16" s="68">
        <v>515</v>
      </c>
      <c r="AI16" s="68">
        <v>500</v>
      </c>
      <c r="AJ16" s="68">
        <v>500</v>
      </c>
      <c r="AK16" s="68">
        <v>500</v>
      </c>
      <c r="AL16" s="68">
        <v>500</v>
      </c>
      <c r="AM16" s="68">
        <v>500</v>
      </c>
      <c r="AN16" s="68">
        <v>515</v>
      </c>
      <c r="AO16" s="68">
        <v>515</v>
      </c>
      <c r="AP16" s="68">
        <v>515</v>
      </c>
      <c r="AQ16" s="68">
        <v>515</v>
      </c>
      <c r="AR16" s="68">
        <v>449</v>
      </c>
      <c r="AS16" s="68">
        <v>449</v>
      </c>
      <c r="AT16" s="68">
        <v>449</v>
      </c>
      <c r="AU16" s="68">
        <v>449</v>
      </c>
      <c r="AV16" s="68">
        <v>449</v>
      </c>
      <c r="AW16" s="68">
        <v>449</v>
      </c>
      <c r="AX16" s="68">
        <v>449</v>
      </c>
      <c r="AY16" s="68">
        <v>449</v>
      </c>
      <c r="AZ16" s="68">
        <v>449</v>
      </c>
      <c r="BA16" s="68">
        <v>449</v>
      </c>
      <c r="BB16" s="68">
        <v>449</v>
      </c>
      <c r="BC16" s="68">
        <v>449</v>
      </c>
      <c r="BD16" s="68">
        <v>449</v>
      </c>
      <c r="BE16" s="68">
        <v>467</v>
      </c>
      <c r="BF16" s="68">
        <v>467</v>
      </c>
      <c r="BG16" s="68">
        <v>449</v>
      </c>
      <c r="BH16" s="68">
        <v>467</v>
      </c>
      <c r="BI16" s="68">
        <v>467</v>
      </c>
      <c r="BJ16" s="68">
        <v>467</v>
      </c>
      <c r="BK16" s="68">
        <v>467</v>
      </c>
      <c r="BL16" s="68">
        <v>500</v>
      </c>
      <c r="BM16" s="68">
        <v>500</v>
      </c>
      <c r="BN16" s="68">
        <v>500</v>
      </c>
      <c r="BO16" s="68">
        <v>467</v>
      </c>
      <c r="BP16" s="68">
        <v>467</v>
      </c>
      <c r="BQ16" s="68">
        <v>467</v>
      </c>
      <c r="BR16" s="68">
        <v>467</v>
      </c>
      <c r="BS16" s="68">
        <v>500</v>
      </c>
      <c r="BT16" s="68">
        <v>500</v>
      </c>
      <c r="BU16" s="68">
        <v>467</v>
      </c>
      <c r="BV16" s="68">
        <v>500</v>
      </c>
      <c r="BW16" s="68">
        <v>515</v>
      </c>
      <c r="BX16" s="68">
        <v>515</v>
      </c>
      <c r="BY16" s="68">
        <v>515</v>
      </c>
      <c r="BZ16" s="68">
        <v>515</v>
      </c>
      <c r="CA16" s="68">
        <v>515</v>
      </c>
      <c r="CB16" s="68">
        <v>515</v>
      </c>
      <c r="CC16" s="68">
        <v>500</v>
      </c>
      <c r="CD16" s="68">
        <v>500</v>
      </c>
      <c r="CE16" s="68">
        <v>515</v>
      </c>
      <c r="CF16" s="68">
        <v>529</v>
      </c>
      <c r="CG16" s="68">
        <v>500</v>
      </c>
      <c r="CH16" s="68">
        <v>515</v>
      </c>
      <c r="CI16" s="68">
        <v>515</v>
      </c>
      <c r="CJ16" s="68">
        <v>529</v>
      </c>
      <c r="CK16" s="68">
        <v>515</v>
      </c>
      <c r="CL16" s="68">
        <v>515</v>
      </c>
      <c r="CM16" s="68">
        <v>515</v>
      </c>
      <c r="CN16" s="68">
        <v>515</v>
      </c>
      <c r="CO16" s="68">
        <v>515</v>
      </c>
      <c r="CP16" s="68">
        <v>515</v>
      </c>
      <c r="CQ16" s="68">
        <v>515</v>
      </c>
      <c r="CR16" s="68">
        <v>515</v>
      </c>
      <c r="CS16" s="68">
        <v>529</v>
      </c>
      <c r="CT16" s="68">
        <v>529</v>
      </c>
    </row>
    <row r="17" spans="1:98" ht="15" customHeight="1">
      <c r="A17" s="122">
        <v>4200</v>
      </c>
      <c r="B17" s="122">
        <v>2.4</v>
      </c>
      <c r="C17" s="122">
        <v>6</v>
      </c>
      <c r="D17" s="122"/>
      <c r="E17" s="68">
        <v>545</v>
      </c>
      <c r="F17" s="68">
        <v>477</v>
      </c>
      <c r="G17" s="68">
        <v>477</v>
      </c>
      <c r="H17" s="68">
        <v>477</v>
      </c>
      <c r="I17" s="68">
        <v>477</v>
      </c>
      <c r="J17" s="68">
        <v>477</v>
      </c>
      <c r="K17" s="68">
        <v>477</v>
      </c>
      <c r="L17" s="68">
        <v>477</v>
      </c>
      <c r="M17" s="68">
        <v>477</v>
      </c>
      <c r="N17" s="68">
        <v>477</v>
      </c>
      <c r="O17" s="68">
        <v>477</v>
      </c>
      <c r="P17" s="68">
        <v>477</v>
      </c>
      <c r="Q17" s="68">
        <v>477</v>
      </c>
      <c r="R17" s="68">
        <v>478</v>
      </c>
      <c r="S17" s="68">
        <v>478</v>
      </c>
      <c r="T17" s="68">
        <v>477</v>
      </c>
      <c r="U17" s="68">
        <v>477</v>
      </c>
      <c r="V17" s="68">
        <v>477</v>
      </c>
      <c r="W17" s="68">
        <v>543</v>
      </c>
      <c r="X17" s="68">
        <v>477</v>
      </c>
      <c r="Y17" s="68">
        <v>495</v>
      </c>
      <c r="Z17" s="68">
        <v>476</v>
      </c>
      <c r="AA17" s="68">
        <v>494</v>
      </c>
      <c r="AB17" s="68">
        <v>494</v>
      </c>
      <c r="AC17" s="68">
        <v>495</v>
      </c>
      <c r="AD17" s="68">
        <v>479</v>
      </c>
      <c r="AE17" s="68">
        <v>478</v>
      </c>
      <c r="AF17" s="68">
        <v>544</v>
      </c>
      <c r="AG17" s="68">
        <v>545</v>
      </c>
      <c r="AH17" s="68">
        <v>544</v>
      </c>
      <c r="AI17" s="68">
        <v>528</v>
      </c>
      <c r="AJ17" s="68">
        <v>528</v>
      </c>
      <c r="AK17" s="68">
        <v>528</v>
      </c>
      <c r="AL17" s="68">
        <v>528</v>
      </c>
      <c r="AM17" s="68">
        <v>528</v>
      </c>
      <c r="AN17" s="68">
        <v>543</v>
      </c>
      <c r="AO17" s="68">
        <v>543</v>
      </c>
      <c r="AP17" s="68">
        <v>544</v>
      </c>
      <c r="AQ17" s="68">
        <v>544</v>
      </c>
      <c r="AR17" s="68">
        <v>476</v>
      </c>
      <c r="AS17" s="68">
        <v>476</v>
      </c>
      <c r="AT17" s="68">
        <v>476</v>
      </c>
      <c r="AU17" s="68">
        <v>476</v>
      </c>
      <c r="AV17" s="68">
        <v>476</v>
      </c>
      <c r="AW17" s="68">
        <v>476</v>
      </c>
      <c r="AX17" s="68">
        <v>476</v>
      </c>
      <c r="AY17" s="68">
        <v>476</v>
      </c>
      <c r="AZ17" s="68">
        <v>476</v>
      </c>
      <c r="BA17" s="68">
        <v>475</v>
      </c>
      <c r="BB17" s="68">
        <v>476</v>
      </c>
      <c r="BC17" s="68">
        <v>476</v>
      </c>
      <c r="BD17" s="68">
        <v>476</v>
      </c>
      <c r="BE17" s="68">
        <v>494</v>
      </c>
      <c r="BF17" s="68">
        <v>494</v>
      </c>
      <c r="BG17" s="68">
        <v>475</v>
      </c>
      <c r="BH17" s="68">
        <v>494</v>
      </c>
      <c r="BI17" s="68">
        <v>492</v>
      </c>
      <c r="BJ17" s="68">
        <v>492</v>
      </c>
      <c r="BK17" s="68">
        <v>492</v>
      </c>
      <c r="BL17" s="68">
        <v>525</v>
      </c>
      <c r="BM17" s="68">
        <v>524</v>
      </c>
      <c r="BN17" s="68">
        <v>523</v>
      </c>
      <c r="BO17" s="68">
        <v>492</v>
      </c>
      <c r="BP17" s="68">
        <v>492</v>
      </c>
      <c r="BQ17" s="68">
        <v>492</v>
      </c>
      <c r="BR17" s="68">
        <v>493</v>
      </c>
      <c r="BS17" s="68">
        <v>527</v>
      </c>
      <c r="BT17" s="68">
        <v>527</v>
      </c>
      <c r="BU17" s="68">
        <v>494</v>
      </c>
      <c r="BV17" s="68">
        <v>528</v>
      </c>
      <c r="BW17" s="68">
        <v>544</v>
      </c>
      <c r="BX17" s="68">
        <v>544</v>
      </c>
      <c r="BY17" s="68">
        <v>544</v>
      </c>
      <c r="BZ17" s="68">
        <v>544</v>
      </c>
      <c r="CA17" s="68">
        <v>543</v>
      </c>
      <c r="CB17" s="68">
        <v>543</v>
      </c>
      <c r="CC17" s="68">
        <v>528</v>
      </c>
      <c r="CD17" s="68">
        <v>528</v>
      </c>
      <c r="CE17" s="68">
        <v>545</v>
      </c>
      <c r="CF17" s="68">
        <v>557</v>
      </c>
      <c r="CG17" s="68">
        <v>528</v>
      </c>
      <c r="CH17" s="68">
        <v>544</v>
      </c>
      <c r="CI17" s="68">
        <v>544</v>
      </c>
      <c r="CJ17" s="68">
        <v>557</v>
      </c>
      <c r="CK17" s="68">
        <v>544</v>
      </c>
      <c r="CL17" s="68">
        <v>545</v>
      </c>
      <c r="CM17" s="68">
        <v>545</v>
      </c>
      <c r="CN17" s="68">
        <v>546</v>
      </c>
      <c r="CO17" s="68">
        <v>545</v>
      </c>
      <c r="CP17" s="68">
        <v>545</v>
      </c>
      <c r="CQ17" s="68">
        <v>544</v>
      </c>
      <c r="CR17" s="68">
        <v>545</v>
      </c>
      <c r="CS17" s="68">
        <v>560</v>
      </c>
      <c r="CT17" s="68">
        <v>555</v>
      </c>
    </row>
    <row r="18" spans="1:98" ht="15" customHeight="1">
      <c r="A18" s="122">
        <v>4375</v>
      </c>
      <c r="B18" s="122">
        <v>2.5</v>
      </c>
      <c r="C18" s="122"/>
      <c r="D18" s="122">
        <v>5</v>
      </c>
      <c r="E18" s="68">
        <v>575</v>
      </c>
      <c r="F18" s="68">
        <v>503</v>
      </c>
      <c r="G18" s="68">
        <v>503</v>
      </c>
      <c r="H18" s="68">
        <v>503</v>
      </c>
      <c r="I18" s="68">
        <v>503</v>
      </c>
      <c r="J18" s="68">
        <v>503</v>
      </c>
      <c r="K18" s="68">
        <v>503</v>
      </c>
      <c r="L18" s="68">
        <v>503</v>
      </c>
      <c r="M18" s="68">
        <v>503</v>
      </c>
      <c r="N18" s="68">
        <v>503</v>
      </c>
      <c r="O18" s="68">
        <v>503</v>
      </c>
      <c r="P18" s="68">
        <v>503</v>
      </c>
      <c r="Q18" s="68">
        <v>503</v>
      </c>
      <c r="R18" s="68">
        <v>506</v>
      </c>
      <c r="S18" s="68">
        <v>506</v>
      </c>
      <c r="T18" s="68">
        <v>504</v>
      </c>
      <c r="U18" s="68">
        <v>504</v>
      </c>
      <c r="V18" s="68">
        <v>503</v>
      </c>
      <c r="W18" s="68">
        <v>571</v>
      </c>
      <c r="X18" s="68">
        <v>504</v>
      </c>
      <c r="Y18" s="68">
        <v>522</v>
      </c>
      <c r="Z18" s="68">
        <v>502</v>
      </c>
      <c r="AA18" s="68">
        <v>521</v>
      </c>
      <c r="AB18" s="68">
        <v>521</v>
      </c>
      <c r="AC18" s="68">
        <v>522</v>
      </c>
      <c r="AD18" s="68">
        <v>507</v>
      </c>
      <c r="AE18" s="68">
        <v>506</v>
      </c>
      <c r="AF18" s="68">
        <v>572</v>
      </c>
      <c r="AG18" s="68">
        <v>574</v>
      </c>
      <c r="AH18" s="68">
        <v>573</v>
      </c>
      <c r="AI18" s="68">
        <v>554</v>
      </c>
      <c r="AJ18" s="68">
        <v>554</v>
      </c>
      <c r="AK18" s="68">
        <v>554</v>
      </c>
      <c r="AL18" s="68">
        <v>554</v>
      </c>
      <c r="AM18" s="68">
        <v>554</v>
      </c>
      <c r="AN18" s="68">
        <v>571</v>
      </c>
      <c r="AO18" s="68">
        <v>571</v>
      </c>
      <c r="AP18" s="68">
        <v>572</v>
      </c>
      <c r="AQ18" s="68">
        <v>573</v>
      </c>
      <c r="AR18" s="68">
        <v>501</v>
      </c>
      <c r="AS18" s="68">
        <v>501</v>
      </c>
      <c r="AT18" s="68">
        <v>501</v>
      </c>
      <c r="AU18" s="68">
        <v>501</v>
      </c>
      <c r="AV18" s="68">
        <v>501</v>
      </c>
      <c r="AW18" s="68">
        <v>501</v>
      </c>
      <c r="AX18" s="68">
        <v>501</v>
      </c>
      <c r="AY18" s="68">
        <v>501</v>
      </c>
      <c r="AZ18" s="68">
        <v>501</v>
      </c>
      <c r="BA18" s="68">
        <v>500</v>
      </c>
      <c r="BB18" s="68">
        <v>501</v>
      </c>
      <c r="BC18" s="68">
        <v>502</v>
      </c>
      <c r="BD18" s="68">
        <v>502</v>
      </c>
      <c r="BE18" s="68">
        <v>521</v>
      </c>
      <c r="BF18" s="68">
        <v>521</v>
      </c>
      <c r="BG18" s="68">
        <v>500</v>
      </c>
      <c r="BH18" s="68">
        <v>521</v>
      </c>
      <c r="BI18" s="68">
        <v>517</v>
      </c>
      <c r="BJ18" s="68">
        <v>517</v>
      </c>
      <c r="BK18" s="68">
        <v>517</v>
      </c>
      <c r="BL18" s="68">
        <v>549</v>
      </c>
      <c r="BM18" s="68">
        <v>547</v>
      </c>
      <c r="BN18" s="68">
        <v>545</v>
      </c>
      <c r="BO18" s="68">
        <v>515</v>
      </c>
      <c r="BP18" s="68">
        <v>517</v>
      </c>
      <c r="BQ18" s="68">
        <v>517</v>
      </c>
      <c r="BR18" s="68">
        <v>518</v>
      </c>
      <c r="BS18" s="68">
        <v>552</v>
      </c>
      <c r="BT18" s="68">
        <v>552</v>
      </c>
      <c r="BU18" s="68">
        <v>520</v>
      </c>
      <c r="BV18" s="68">
        <v>555</v>
      </c>
      <c r="BW18" s="68">
        <v>573</v>
      </c>
      <c r="BX18" s="68">
        <v>572</v>
      </c>
      <c r="BY18" s="68">
        <v>572</v>
      </c>
      <c r="BZ18" s="68">
        <v>573</v>
      </c>
      <c r="CA18" s="68">
        <v>571</v>
      </c>
      <c r="CB18" s="68">
        <v>571</v>
      </c>
      <c r="CC18" s="68">
        <v>554</v>
      </c>
      <c r="CD18" s="68">
        <v>555</v>
      </c>
      <c r="CE18" s="68">
        <v>574</v>
      </c>
      <c r="CF18" s="68">
        <v>586</v>
      </c>
      <c r="CG18" s="68">
        <v>554</v>
      </c>
      <c r="CH18" s="68">
        <v>573</v>
      </c>
      <c r="CI18" s="68">
        <v>573</v>
      </c>
      <c r="CJ18" s="68">
        <v>587</v>
      </c>
      <c r="CK18" s="68">
        <v>573</v>
      </c>
      <c r="CL18" s="68">
        <v>574</v>
      </c>
      <c r="CM18" s="68">
        <v>574</v>
      </c>
      <c r="CN18" s="68">
        <v>576</v>
      </c>
      <c r="CO18" s="68">
        <v>574</v>
      </c>
      <c r="CP18" s="68">
        <v>574</v>
      </c>
      <c r="CQ18" s="68">
        <v>573</v>
      </c>
      <c r="CR18" s="68">
        <v>574</v>
      </c>
      <c r="CS18" s="68">
        <v>589</v>
      </c>
      <c r="CT18" s="68">
        <v>583</v>
      </c>
    </row>
    <row r="19" spans="1:98" ht="15" customHeight="1">
      <c r="A19" s="122">
        <v>4900</v>
      </c>
      <c r="B19" s="122">
        <v>2.8</v>
      </c>
      <c r="C19" s="122">
        <v>7</v>
      </c>
      <c r="D19" s="122"/>
      <c r="E19" s="68">
        <v>606</v>
      </c>
      <c r="F19" s="68">
        <v>531</v>
      </c>
      <c r="G19" s="68">
        <v>531</v>
      </c>
      <c r="H19" s="68">
        <v>531</v>
      </c>
      <c r="I19" s="68">
        <v>531</v>
      </c>
      <c r="J19" s="68">
        <v>531</v>
      </c>
      <c r="K19" s="68">
        <v>531</v>
      </c>
      <c r="L19" s="68">
        <v>531</v>
      </c>
      <c r="M19" s="68">
        <v>531</v>
      </c>
      <c r="N19" s="68">
        <v>531</v>
      </c>
      <c r="O19" s="68">
        <v>531</v>
      </c>
      <c r="P19" s="68">
        <v>531</v>
      </c>
      <c r="Q19" s="68">
        <v>531</v>
      </c>
      <c r="R19" s="68">
        <v>536</v>
      </c>
      <c r="S19" s="68">
        <v>534</v>
      </c>
      <c r="T19" s="68">
        <v>532</v>
      </c>
      <c r="U19" s="68">
        <v>532</v>
      </c>
      <c r="V19" s="68">
        <v>530</v>
      </c>
      <c r="W19" s="68">
        <v>598</v>
      </c>
      <c r="X19" s="68">
        <v>532</v>
      </c>
      <c r="Y19" s="68">
        <v>548</v>
      </c>
      <c r="Z19" s="68">
        <v>529</v>
      </c>
      <c r="AA19" s="68">
        <v>547</v>
      </c>
      <c r="AB19" s="68">
        <v>547</v>
      </c>
      <c r="AC19" s="68">
        <v>549</v>
      </c>
      <c r="AD19" s="68">
        <v>537</v>
      </c>
      <c r="AE19" s="68">
        <v>534</v>
      </c>
      <c r="AF19" s="68">
        <v>599</v>
      </c>
      <c r="AG19" s="68">
        <v>603</v>
      </c>
      <c r="AH19" s="68">
        <v>600</v>
      </c>
      <c r="AI19" s="68">
        <v>583</v>
      </c>
      <c r="AJ19" s="68">
        <v>583</v>
      </c>
      <c r="AK19" s="68">
        <v>582</v>
      </c>
      <c r="AL19" s="68">
        <v>582</v>
      </c>
      <c r="AM19" s="68">
        <v>582</v>
      </c>
      <c r="AN19" s="68">
        <v>598</v>
      </c>
      <c r="AO19" s="68">
        <v>598</v>
      </c>
      <c r="AP19" s="68">
        <v>600</v>
      </c>
      <c r="AQ19" s="68">
        <v>602</v>
      </c>
      <c r="AR19" s="68">
        <v>527</v>
      </c>
      <c r="AS19" s="68">
        <v>527</v>
      </c>
      <c r="AT19" s="68">
        <v>527</v>
      </c>
      <c r="AU19" s="68">
        <v>527</v>
      </c>
      <c r="AV19" s="68">
        <v>527</v>
      </c>
      <c r="AW19" s="68">
        <v>527</v>
      </c>
      <c r="AX19" s="68">
        <v>527</v>
      </c>
      <c r="AY19" s="68">
        <v>527</v>
      </c>
      <c r="AZ19" s="68">
        <v>527</v>
      </c>
      <c r="BA19" s="68">
        <v>525</v>
      </c>
      <c r="BB19" s="68">
        <v>528</v>
      </c>
      <c r="BC19" s="68">
        <v>529</v>
      </c>
      <c r="BD19" s="68">
        <v>529</v>
      </c>
      <c r="BE19" s="68">
        <v>547</v>
      </c>
      <c r="BF19" s="68">
        <v>547</v>
      </c>
      <c r="BG19" s="68">
        <v>526</v>
      </c>
      <c r="BH19" s="68">
        <v>547</v>
      </c>
      <c r="BI19" s="68">
        <v>540</v>
      </c>
      <c r="BJ19" s="68">
        <v>541</v>
      </c>
      <c r="BK19" s="68">
        <v>541</v>
      </c>
      <c r="BL19" s="68">
        <v>573</v>
      </c>
      <c r="BM19" s="68">
        <v>571</v>
      </c>
      <c r="BN19" s="68">
        <v>568</v>
      </c>
      <c r="BO19" s="68">
        <v>540</v>
      </c>
      <c r="BP19" s="68">
        <v>541</v>
      </c>
      <c r="BQ19" s="68">
        <v>540</v>
      </c>
      <c r="BR19" s="68">
        <v>543</v>
      </c>
      <c r="BS19" s="68">
        <v>578</v>
      </c>
      <c r="BT19" s="68">
        <v>578</v>
      </c>
      <c r="BU19" s="68">
        <v>546</v>
      </c>
      <c r="BV19" s="68">
        <v>584</v>
      </c>
      <c r="BW19" s="68">
        <v>600</v>
      </c>
      <c r="BX19" s="68">
        <v>599</v>
      </c>
      <c r="BY19" s="68">
        <v>600</v>
      </c>
      <c r="BZ19" s="68">
        <v>600</v>
      </c>
      <c r="CA19" s="68">
        <v>598</v>
      </c>
      <c r="CB19" s="68">
        <v>598</v>
      </c>
      <c r="CC19" s="68">
        <v>582</v>
      </c>
      <c r="CD19" s="68">
        <v>584</v>
      </c>
      <c r="CE19" s="68">
        <v>603</v>
      </c>
      <c r="CF19" s="68">
        <v>615</v>
      </c>
      <c r="CG19" s="68">
        <v>583</v>
      </c>
      <c r="CH19" s="68">
        <v>602</v>
      </c>
      <c r="CI19" s="68">
        <v>600</v>
      </c>
      <c r="CJ19" s="68">
        <v>616</v>
      </c>
      <c r="CK19" s="68">
        <v>602</v>
      </c>
      <c r="CL19" s="68">
        <v>603</v>
      </c>
      <c r="CM19" s="68">
        <v>603</v>
      </c>
      <c r="CN19" s="68">
        <v>607</v>
      </c>
      <c r="CO19" s="68">
        <v>605</v>
      </c>
      <c r="CP19" s="68">
        <v>603</v>
      </c>
      <c r="CQ19" s="68">
        <v>602</v>
      </c>
      <c r="CR19" s="68">
        <v>605</v>
      </c>
      <c r="CS19" s="68">
        <v>618</v>
      </c>
      <c r="CT19" s="68">
        <v>610</v>
      </c>
    </row>
    <row r="20" spans="1:98" ht="15" customHeight="1">
      <c r="A20" s="122">
        <v>5250</v>
      </c>
      <c r="B20" s="122">
        <v>3</v>
      </c>
      <c r="C20" s="122"/>
      <c r="D20" s="122">
        <v>6</v>
      </c>
      <c r="E20" s="68">
        <v>635</v>
      </c>
      <c r="F20" s="68">
        <v>557</v>
      </c>
      <c r="G20" s="68">
        <v>557</v>
      </c>
      <c r="H20" s="68">
        <v>557</v>
      </c>
      <c r="I20" s="68">
        <v>557</v>
      </c>
      <c r="J20" s="68">
        <v>557</v>
      </c>
      <c r="K20" s="68">
        <v>557</v>
      </c>
      <c r="L20" s="68">
        <v>557</v>
      </c>
      <c r="M20" s="68">
        <v>557</v>
      </c>
      <c r="N20" s="68">
        <v>557</v>
      </c>
      <c r="O20" s="68">
        <v>557</v>
      </c>
      <c r="P20" s="68">
        <v>557</v>
      </c>
      <c r="Q20" s="68">
        <v>557</v>
      </c>
      <c r="R20" s="68">
        <v>565</v>
      </c>
      <c r="S20" s="68">
        <v>564</v>
      </c>
      <c r="T20" s="68">
        <v>561</v>
      </c>
      <c r="U20" s="68">
        <v>561</v>
      </c>
      <c r="V20" s="68">
        <v>556</v>
      </c>
      <c r="W20" s="68">
        <v>625</v>
      </c>
      <c r="X20" s="68">
        <v>561</v>
      </c>
      <c r="Y20" s="68">
        <v>576</v>
      </c>
      <c r="Z20" s="68">
        <v>554</v>
      </c>
      <c r="AA20" s="68">
        <v>573</v>
      </c>
      <c r="AB20" s="68">
        <v>573</v>
      </c>
      <c r="AC20" s="68">
        <v>576</v>
      </c>
      <c r="AD20" s="68">
        <v>566</v>
      </c>
      <c r="AE20" s="68">
        <v>564</v>
      </c>
      <c r="AF20" s="68">
        <v>629</v>
      </c>
      <c r="AG20" s="68">
        <v>632</v>
      </c>
      <c r="AH20" s="68">
        <v>630</v>
      </c>
      <c r="AI20" s="68">
        <v>610</v>
      </c>
      <c r="AJ20" s="68">
        <v>610</v>
      </c>
      <c r="AK20" s="68">
        <v>609</v>
      </c>
      <c r="AL20" s="68">
        <v>610</v>
      </c>
      <c r="AM20" s="68">
        <v>609</v>
      </c>
      <c r="AN20" s="68">
        <v>626</v>
      </c>
      <c r="AO20" s="68">
        <v>626</v>
      </c>
      <c r="AP20" s="68">
        <v>629</v>
      </c>
      <c r="AQ20" s="68">
        <v>631</v>
      </c>
      <c r="AR20" s="68">
        <v>552</v>
      </c>
      <c r="AS20" s="68">
        <v>552</v>
      </c>
      <c r="AT20" s="68">
        <v>552</v>
      </c>
      <c r="AU20" s="68">
        <v>552</v>
      </c>
      <c r="AV20" s="68">
        <v>552</v>
      </c>
      <c r="AW20" s="68">
        <v>552</v>
      </c>
      <c r="AX20" s="68">
        <v>552</v>
      </c>
      <c r="AY20" s="68">
        <v>552</v>
      </c>
      <c r="AZ20" s="68">
        <v>552</v>
      </c>
      <c r="BA20" s="68">
        <v>550</v>
      </c>
      <c r="BB20" s="68">
        <v>553</v>
      </c>
      <c r="BC20" s="68">
        <v>555</v>
      </c>
      <c r="BD20" s="68">
        <v>555</v>
      </c>
      <c r="BE20" s="68">
        <v>573</v>
      </c>
      <c r="BF20" s="68">
        <v>574</v>
      </c>
      <c r="BG20" s="68">
        <v>551</v>
      </c>
      <c r="BH20" s="68">
        <v>574</v>
      </c>
      <c r="BI20" s="68">
        <v>565</v>
      </c>
      <c r="BJ20" s="68">
        <v>565</v>
      </c>
      <c r="BK20" s="68">
        <v>566</v>
      </c>
      <c r="BL20" s="68">
        <v>597</v>
      </c>
      <c r="BM20" s="68">
        <v>594</v>
      </c>
      <c r="BN20" s="68">
        <v>590</v>
      </c>
      <c r="BO20" s="68">
        <v>564</v>
      </c>
      <c r="BP20" s="68">
        <v>565</v>
      </c>
      <c r="BQ20" s="68">
        <v>565</v>
      </c>
      <c r="BR20" s="68">
        <v>568</v>
      </c>
      <c r="BS20" s="68">
        <v>605</v>
      </c>
      <c r="BT20" s="68">
        <v>605</v>
      </c>
      <c r="BU20" s="68">
        <v>572</v>
      </c>
      <c r="BV20" s="68">
        <v>612</v>
      </c>
      <c r="BW20" s="68">
        <v>630</v>
      </c>
      <c r="BX20" s="68">
        <v>629</v>
      </c>
      <c r="BY20" s="68">
        <v>629</v>
      </c>
      <c r="BZ20" s="68">
        <v>630</v>
      </c>
      <c r="CA20" s="68">
        <v>626</v>
      </c>
      <c r="CB20" s="68">
        <v>626</v>
      </c>
      <c r="CC20" s="68">
        <v>609</v>
      </c>
      <c r="CD20" s="68">
        <v>612</v>
      </c>
      <c r="CE20" s="68">
        <v>633</v>
      </c>
      <c r="CF20" s="68">
        <v>642</v>
      </c>
      <c r="CG20" s="68">
        <v>610</v>
      </c>
      <c r="CH20" s="68">
        <v>630</v>
      </c>
      <c r="CI20" s="68">
        <v>630</v>
      </c>
      <c r="CJ20" s="68">
        <v>645</v>
      </c>
      <c r="CK20" s="68">
        <v>630</v>
      </c>
      <c r="CL20" s="68">
        <v>632</v>
      </c>
      <c r="CM20" s="68">
        <v>632</v>
      </c>
      <c r="CN20" s="68">
        <v>636</v>
      </c>
      <c r="CO20" s="68">
        <v>633</v>
      </c>
      <c r="CP20" s="68">
        <v>632</v>
      </c>
      <c r="CQ20" s="68">
        <v>631</v>
      </c>
      <c r="CR20" s="68">
        <v>633</v>
      </c>
      <c r="CS20" s="68">
        <v>648</v>
      </c>
      <c r="CT20" s="68">
        <v>636</v>
      </c>
    </row>
    <row r="21" spans="1:98" ht="15" customHeight="1">
      <c r="A21" s="122">
        <v>5600</v>
      </c>
      <c r="B21" s="122">
        <v>3.2</v>
      </c>
      <c r="C21" s="122">
        <v>8</v>
      </c>
      <c r="D21" s="122"/>
      <c r="E21" s="68">
        <v>664</v>
      </c>
      <c r="F21" s="68">
        <v>586</v>
      </c>
      <c r="G21" s="68">
        <v>586</v>
      </c>
      <c r="H21" s="68">
        <v>586</v>
      </c>
      <c r="I21" s="68">
        <v>586</v>
      </c>
      <c r="J21" s="68">
        <v>586</v>
      </c>
      <c r="K21" s="68">
        <v>586</v>
      </c>
      <c r="L21" s="68">
        <v>586</v>
      </c>
      <c r="M21" s="68">
        <v>586</v>
      </c>
      <c r="N21" s="68">
        <v>586</v>
      </c>
      <c r="O21" s="68">
        <v>586</v>
      </c>
      <c r="P21" s="68">
        <v>586</v>
      </c>
      <c r="Q21" s="68">
        <v>586</v>
      </c>
      <c r="R21" s="68">
        <v>593</v>
      </c>
      <c r="S21" s="68">
        <v>592</v>
      </c>
      <c r="T21" s="68">
        <v>588</v>
      </c>
      <c r="U21" s="68">
        <v>588</v>
      </c>
      <c r="V21" s="68">
        <v>585</v>
      </c>
      <c r="W21" s="68">
        <v>654</v>
      </c>
      <c r="X21" s="68">
        <v>588</v>
      </c>
      <c r="Y21" s="68">
        <v>603</v>
      </c>
      <c r="Z21" s="68">
        <v>582</v>
      </c>
      <c r="AA21" s="68">
        <v>599</v>
      </c>
      <c r="AB21" s="68">
        <v>599</v>
      </c>
      <c r="AC21" s="68">
        <v>603</v>
      </c>
      <c r="AD21" s="68">
        <v>594</v>
      </c>
      <c r="AE21" s="68">
        <v>592</v>
      </c>
      <c r="AF21" s="68">
        <v>657</v>
      </c>
      <c r="AG21" s="68">
        <v>661</v>
      </c>
      <c r="AH21" s="68">
        <v>659</v>
      </c>
      <c r="AI21" s="68">
        <v>637</v>
      </c>
      <c r="AJ21" s="68">
        <v>636</v>
      </c>
      <c r="AK21" s="68">
        <v>635</v>
      </c>
      <c r="AL21" s="68">
        <v>636</v>
      </c>
      <c r="AM21" s="68">
        <v>635</v>
      </c>
      <c r="AN21" s="68">
        <v>655</v>
      </c>
      <c r="AO21" s="68">
        <v>654</v>
      </c>
      <c r="AP21" s="68">
        <v>658</v>
      </c>
      <c r="AQ21" s="68">
        <v>659</v>
      </c>
      <c r="AR21" s="68">
        <v>578</v>
      </c>
      <c r="AS21" s="68">
        <v>578</v>
      </c>
      <c r="AT21" s="68">
        <v>578</v>
      </c>
      <c r="AU21" s="68">
        <v>578</v>
      </c>
      <c r="AV21" s="68">
        <v>578</v>
      </c>
      <c r="AW21" s="68">
        <v>578</v>
      </c>
      <c r="AX21" s="68">
        <v>578</v>
      </c>
      <c r="AY21" s="68">
        <v>578</v>
      </c>
      <c r="AZ21" s="68">
        <v>578</v>
      </c>
      <c r="BA21" s="68">
        <v>576</v>
      </c>
      <c r="BB21" s="68">
        <v>580</v>
      </c>
      <c r="BC21" s="68">
        <v>582</v>
      </c>
      <c r="BD21" s="68">
        <v>583</v>
      </c>
      <c r="BE21" s="68">
        <v>599</v>
      </c>
      <c r="BF21" s="68">
        <v>600</v>
      </c>
      <c r="BG21" s="68">
        <v>577</v>
      </c>
      <c r="BH21" s="68">
        <v>600</v>
      </c>
      <c r="BI21" s="68">
        <v>588</v>
      </c>
      <c r="BJ21" s="68">
        <v>589</v>
      </c>
      <c r="BK21" s="68">
        <v>590</v>
      </c>
      <c r="BL21" s="68">
        <v>622</v>
      </c>
      <c r="BM21" s="68">
        <v>618</v>
      </c>
      <c r="BN21" s="68">
        <v>613</v>
      </c>
      <c r="BO21" s="68">
        <v>588</v>
      </c>
      <c r="BP21" s="68">
        <v>589</v>
      </c>
      <c r="BQ21" s="68">
        <v>588</v>
      </c>
      <c r="BR21" s="68">
        <v>593</v>
      </c>
      <c r="BS21" s="68">
        <v>630</v>
      </c>
      <c r="BT21" s="68">
        <v>631</v>
      </c>
      <c r="BU21" s="68">
        <v>598</v>
      </c>
      <c r="BV21" s="68">
        <v>639</v>
      </c>
      <c r="BW21" s="68">
        <v>659</v>
      </c>
      <c r="BX21" s="68">
        <v>657</v>
      </c>
      <c r="BY21" s="68">
        <v>657</v>
      </c>
      <c r="BZ21" s="68">
        <v>658</v>
      </c>
      <c r="CA21" s="68">
        <v>655</v>
      </c>
      <c r="CB21" s="68">
        <v>655</v>
      </c>
      <c r="CC21" s="68">
        <v>635</v>
      </c>
      <c r="CD21" s="68">
        <v>639</v>
      </c>
      <c r="CE21" s="68">
        <v>662</v>
      </c>
      <c r="CF21" s="68">
        <v>671</v>
      </c>
      <c r="CG21" s="68">
        <v>637</v>
      </c>
      <c r="CH21" s="68">
        <v>659</v>
      </c>
      <c r="CI21" s="68">
        <v>659</v>
      </c>
      <c r="CJ21" s="68">
        <v>673</v>
      </c>
      <c r="CK21" s="68">
        <v>659</v>
      </c>
      <c r="CL21" s="68">
        <v>662</v>
      </c>
      <c r="CM21" s="68">
        <v>662</v>
      </c>
      <c r="CN21" s="68">
        <v>666</v>
      </c>
      <c r="CO21" s="68">
        <v>662</v>
      </c>
      <c r="CP21" s="68">
        <v>661</v>
      </c>
      <c r="CQ21" s="68">
        <v>659</v>
      </c>
      <c r="CR21" s="68">
        <v>662</v>
      </c>
      <c r="CS21" s="68">
        <v>677</v>
      </c>
      <c r="CT21" s="68">
        <v>662</v>
      </c>
    </row>
    <row r="22" spans="1:98" ht="15" customHeight="1">
      <c r="A22" s="122">
        <v>6125</v>
      </c>
      <c r="B22" s="122">
        <v>3.5</v>
      </c>
      <c r="C22" s="122"/>
      <c r="D22" s="122">
        <v>7</v>
      </c>
      <c r="E22" s="68">
        <v>694</v>
      </c>
      <c r="F22" s="68">
        <v>613</v>
      </c>
      <c r="G22" s="68">
        <v>613</v>
      </c>
      <c r="H22" s="68">
        <v>613</v>
      </c>
      <c r="I22" s="68">
        <v>613</v>
      </c>
      <c r="J22" s="68">
        <v>613</v>
      </c>
      <c r="K22" s="68">
        <v>613</v>
      </c>
      <c r="L22" s="68">
        <v>613</v>
      </c>
      <c r="M22" s="68">
        <v>613</v>
      </c>
      <c r="N22" s="68">
        <v>613</v>
      </c>
      <c r="O22" s="68">
        <v>613</v>
      </c>
      <c r="P22" s="68">
        <v>613</v>
      </c>
      <c r="Q22" s="68">
        <v>613</v>
      </c>
      <c r="R22" s="68">
        <v>621</v>
      </c>
      <c r="S22" s="68">
        <v>620</v>
      </c>
      <c r="T22" s="68">
        <v>616</v>
      </c>
      <c r="U22" s="68">
        <v>616</v>
      </c>
      <c r="V22" s="68">
        <v>612</v>
      </c>
      <c r="W22" s="68">
        <v>681</v>
      </c>
      <c r="X22" s="68">
        <v>616</v>
      </c>
      <c r="Y22" s="68">
        <v>630</v>
      </c>
      <c r="Z22" s="68">
        <v>609</v>
      </c>
      <c r="AA22" s="68">
        <v>626</v>
      </c>
      <c r="AB22" s="68">
        <v>626</v>
      </c>
      <c r="AC22" s="68">
        <v>631</v>
      </c>
      <c r="AD22" s="68">
        <v>623</v>
      </c>
      <c r="AE22" s="68">
        <v>620</v>
      </c>
      <c r="AF22" s="68">
        <v>684</v>
      </c>
      <c r="AG22" s="68">
        <v>690</v>
      </c>
      <c r="AH22" s="68">
        <v>686</v>
      </c>
      <c r="AI22" s="68">
        <v>664</v>
      </c>
      <c r="AJ22" s="68">
        <v>664</v>
      </c>
      <c r="AK22" s="68">
        <v>663</v>
      </c>
      <c r="AL22" s="68">
        <v>663</v>
      </c>
      <c r="AM22" s="68">
        <v>663</v>
      </c>
      <c r="AN22" s="68">
        <v>682</v>
      </c>
      <c r="AO22" s="68">
        <v>681</v>
      </c>
      <c r="AP22" s="68">
        <v>685</v>
      </c>
      <c r="AQ22" s="68">
        <v>688</v>
      </c>
      <c r="AR22" s="68">
        <v>605</v>
      </c>
      <c r="AS22" s="68">
        <v>605</v>
      </c>
      <c r="AT22" s="68">
        <v>605</v>
      </c>
      <c r="AU22" s="68">
        <v>605</v>
      </c>
      <c r="AV22" s="68">
        <v>605</v>
      </c>
      <c r="AW22" s="68">
        <v>605</v>
      </c>
      <c r="AX22" s="68">
        <v>605</v>
      </c>
      <c r="AY22" s="68">
        <v>605</v>
      </c>
      <c r="AZ22" s="68">
        <v>605</v>
      </c>
      <c r="BA22" s="68">
        <v>600</v>
      </c>
      <c r="BB22" s="68">
        <v>607</v>
      </c>
      <c r="BC22" s="68">
        <v>609</v>
      </c>
      <c r="BD22" s="68">
        <v>610</v>
      </c>
      <c r="BE22" s="68">
        <v>626</v>
      </c>
      <c r="BF22" s="68">
        <v>627</v>
      </c>
      <c r="BG22" s="68">
        <v>603</v>
      </c>
      <c r="BH22" s="68">
        <v>627</v>
      </c>
      <c r="BI22" s="68">
        <v>613</v>
      </c>
      <c r="BJ22" s="68">
        <v>614</v>
      </c>
      <c r="BK22" s="68">
        <v>615</v>
      </c>
      <c r="BL22" s="68">
        <v>646</v>
      </c>
      <c r="BM22" s="68">
        <v>640</v>
      </c>
      <c r="BN22" s="68">
        <v>635</v>
      </c>
      <c r="BO22" s="68">
        <v>612</v>
      </c>
      <c r="BP22" s="68">
        <v>614</v>
      </c>
      <c r="BQ22" s="68">
        <v>613</v>
      </c>
      <c r="BR22" s="68">
        <v>618</v>
      </c>
      <c r="BS22" s="68">
        <v>657</v>
      </c>
      <c r="BT22" s="68">
        <v>657</v>
      </c>
      <c r="BU22" s="68">
        <v>624</v>
      </c>
      <c r="BV22" s="68">
        <v>667</v>
      </c>
      <c r="BW22" s="68">
        <v>686</v>
      </c>
      <c r="BX22" s="68">
        <v>684</v>
      </c>
      <c r="BY22" s="68">
        <v>685</v>
      </c>
      <c r="BZ22" s="68">
        <v>686</v>
      </c>
      <c r="CA22" s="68">
        <v>682</v>
      </c>
      <c r="CB22" s="68">
        <v>681</v>
      </c>
      <c r="CC22" s="68">
        <v>662</v>
      </c>
      <c r="CD22" s="68">
        <v>667</v>
      </c>
      <c r="CE22" s="68">
        <v>691</v>
      </c>
      <c r="CF22" s="68">
        <v>700</v>
      </c>
      <c r="CG22" s="68">
        <v>664</v>
      </c>
      <c r="CH22" s="68">
        <v>688</v>
      </c>
      <c r="CI22" s="68">
        <v>686</v>
      </c>
      <c r="CJ22" s="68">
        <v>703</v>
      </c>
      <c r="CK22" s="68">
        <v>688</v>
      </c>
      <c r="CL22" s="68">
        <v>691</v>
      </c>
      <c r="CM22" s="68">
        <v>691</v>
      </c>
      <c r="CN22" s="68">
        <v>698</v>
      </c>
      <c r="CO22" s="68">
        <v>692</v>
      </c>
      <c r="CP22" s="68">
        <v>691</v>
      </c>
      <c r="CQ22" s="68">
        <v>688</v>
      </c>
      <c r="CR22" s="68">
        <v>692</v>
      </c>
      <c r="CS22" s="68">
        <v>707</v>
      </c>
      <c r="CT22" s="68">
        <v>689</v>
      </c>
    </row>
    <row r="23" spans="1:98" ht="15" customHeight="1">
      <c r="A23" s="122">
        <v>6300</v>
      </c>
      <c r="B23" s="122">
        <v>3.6</v>
      </c>
      <c r="C23" s="122">
        <v>9</v>
      </c>
      <c r="D23" s="122"/>
      <c r="E23" s="68">
        <v>724</v>
      </c>
      <c r="F23" s="68">
        <v>640</v>
      </c>
      <c r="G23" s="68">
        <v>640</v>
      </c>
      <c r="H23" s="68">
        <v>640</v>
      </c>
      <c r="I23" s="68">
        <v>640</v>
      </c>
      <c r="J23" s="68">
        <v>640</v>
      </c>
      <c r="K23" s="68">
        <v>640</v>
      </c>
      <c r="L23" s="68">
        <v>640</v>
      </c>
      <c r="M23" s="68">
        <v>640</v>
      </c>
      <c r="N23" s="68">
        <v>640</v>
      </c>
      <c r="O23" s="68">
        <v>640</v>
      </c>
      <c r="P23" s="68">
        <v>640</v>
      </c>
      <c r="Q23" s="68">
        <v>640</v>
      </c>
      <c r="R23" s="68">
        <v>650</v>
      </c>
      <c r="S23" s="68">
        <v>649</v>
      </c>
      <c r="T23" s="68">
        <v>642</v>
      </c>
      <c r="U23" s="68">
        <v>643</v>
      </c>
      <c r="V23" s="68">
        <v>638</v>
      </c>
      <c r="W23" s="68">
        <v>709</v>
      </c>
      <c r="X23" s="68">
        <v>643</v>
      </c>
      <c r="Y23" s="68">
        <v>657</v>
      </c>
      <c r="Z23" s="68">
        <v>635</v>
      </c>
      <c r="AA23" s="68">
        <v>654</v>
      </c>
      <c r="AB23" s="68">
        <v>654</v>
      </c>
      <c r="AC23" s="68">
        <v>658</v>
      </c>
      <c r="AD23" s="68">
        <v>653</v>
      </c>
      <c r="AE23" s="68">
        <v>649</v>
      </c>
      <c r="AF23" s="68">
        <v>713</v>
      </c>
      <c r="AG23" s="68">
        <v>718</v>
      </c>
      <c r="AH23" s="68">
        <v>715</v>
      </c>
      <c r="AI23" s="68">
        <v>691</v>
      </c>
      <c r="AJ23" s="68">
        <v>691</v>
      </c>
      <c r="AK23" s="68">
        <v>690</v>
      </c>
      <c r="AL23" s="68">
        <v>691</v>
      </c>
      <c r="AM23" s="68">
        <v>690</v>
      </c>
      <c r="AN23" s="68">
        <v>709</v>
      </c>
      <c r="AO23" s="68">
        <v>709</v>
      </c>
      <c r="AP23" s="68">
        <v>713</v>
      </c>
      <c r="AQ23" s="68">
        <v>716</v>
      </c>
      <c r="AR23" s="68">
        <v>631</v>
      </c>
      <c r="AS23" s="68">
        <v>631</v>
      </c>
      <c r="AT23" s="68">
        <v>631</v>
      </c>
      <c r="AU23" s="68">
        <v>631</v>
      </c>
      <c r="AV23" s="68">
        <v>631</v>
      </c>
      <c r="AW23" s="68">
        <v>631</v>
      </c>
      <c r="AX23" s="68">
        <v>631</v>
      </c>
      <c r="AY23" s="68">
        <v>631</v>
      </c>
      <c r="AZ23" s="68">
        <v>631</v>
      </c>
      <c r="BA23" s="68">
        <v>626</v>
      </c>
      <c r="BB23" s="68">
        <v>633</v>
      </c>
      <c r="BC23" s="68">
        <v>635</v>
      </c>
      <c r="BD23" s="68">
        <v>635</v>
      </c>
      <c r="BE23" s="68">
        <v>653</v>
      </c>
      <c r="BF23" s="68">
        <v>655</v>
      </c>
      <c r="BG23" s="68">
        <v>629</v>
      </c>
      <c r="BH23" s="68">
        <v>655</v>
      </c>
      <c r="BI23" s="68">
        <v>637</v>
      </c>
      <c r="BJ23" s="68">
        <v>638</v>
      </c>
      <c r="BK23" s="68">
        <v>639</v>
      </c>
      <c r="BL23" s="68">
        <v>670</v>
      </c>
      <c r="BM23" s="68">
        <v>664</v>
      </c>
      <c r="BN23" s="68">
        <v>657</v>
      </c>
      <c r="BO23" s="68">
        <v>635</v>
      </c>
      <c r="BP23" s="68">
        <v>638</v>
      </c>
      <c r="BQ23" s="68">
        <v>637</v>
      </c>
      <c r="BR23" s="68">
        <v>643</v>
      </c>
      <c r="BS23" s="68">
        <v>682</v>
      </c>
      <c r="BT23" s="68">
        <v>682</v>
      </c>
      <c r="BU23" s="68">
        <v>652</v>
      </c>
      <c r="BV23" s="68">
        <v>695</v>
      </c>
      <c r="BW23" s="68">
        <v>715</v>
      </c>
      <c r="BX23" s="68">
        <v>713</v>
      </c>
      <c r="BY23" s="68">
        <v>713</v>
      </c>
      <c r="BZ23" s="68">
        <v>714</v>
      </c>
      <c r="CA23" s="68">
        <v>710</v>
      </c>
      <c r="CB23" s="68">
        <v>709</v>
      </c>
      <c r="CC23" s="68">
        <v>690</v>
      </c>
      <c r="CD23" s="68">
        <v>695</v>
      </c>
      <c r="CE23" s="68">
        <v>721</v>
      </c>
      <c r="CF23" s="68">
        <v>728</v>
      </c>
      <c r="CG23" s="68">
        <v>692</v>
      </c>
      <c r="CH23" s="68">
        <v>716</v>
      </c>
      <c r="CI23" s="68">
        <v>715</v>
      </c>
      <c r="CJ23" s="68">
        <v>731</v>
      </c>
      <c r="CK23" s="68">
        <v>715</v>
      </c>
      <c r="CL23" s="68">
        <v>719</v>
      </c>
      <c r="CM23" s="68">
        <v>719</v>
      </c>
      <c r="CN23" s="68">
        <v>727</v>
      </c>
      <c r="CO23" s="68">
        <v>721</v>
      </c>
      <c r="CP23" s="68">
        <v>719</v>
      </c>
      <c r="CQ23" s="68">
        <v>716</v>
      </c>
      <c r="CR23" s="68">
        <v>721</v>
      </c>
      <c r="CS23" s="68">
        <v>736</v>
      </c>
      <c r="CT23" s="68">
        <v>715</v>
      </c>
    </row>
    <row r="24" spans="1:98" ht="15" customHeight="1">
      <c r="A24" s="122">
        <v>7000</v>
      </c>
      <c r="B24" s="122">
        <v>4</v>
      </c>
      <c r="C24" s="122">
        <v>10</v>
      </c>
      <c r="D24" s="122">
        <v>8</v>
      </c>
      <c r="E24" s="68">
        <v>753</v>
      </c>
      <c r="F24" s="68">
        <v>667</v>
      </c>
      <c r="G24" s="68">
        <v>667</v>
      </c>
      <c r="H24" s="68">
        <v>667</v>
      </c>
      <c r="I24" s="68">
        <v>667</v>
      </c>
      <c r="J24" s="68">
        <v>667</v>
      </c>
      <c r="K24" s="68">
        <v>667</v>
      </c>
      <c r="L24" s="68">
        <v>667</v>
      </c>
      <c r="M24" s="68">
        <v>667</v>
      </c>
      <c r="N24" s="68">
        <v>667</v>
      </c>
      <c r="O24" s="68">
        <v>667</v>
      </c>
      <c r="P24" s="68">
        <v>667</v>
      </c>
      <c r="Q24" s="68">
        <v>667</v>
      </c>
      <c r="R24" s="68">
        <v>679</v>
      </c>
      <c r="S24" s="68">
        <v>677</v>
      </c>
      <c r="T24" s="68">
        <v>670</v>
      </c>
      <c r="U24" s="68">
        <v>671</v>
      </c>
      <c r="V24" s="68">
        <v>665</v>
      </c>
      <c r="W24" s="68">
        <v>736</v>
      </c>
      <c r="X24" s="68">
        <v>671</v>
      </c>
      <c r="Y24" s="68">
        <v>684</v>
      </c>
      <c r="Z24" s="68">
        <v>661</v>
      </c>
      <c r="AA24" s="68">
        <v>679</v>
      </c>
      <c r="AB24" s="68">
        <v>679</v>
      </c>
      <c r="AC24" s="68">
        <v>685</v>
      </c>
      <c r="AD24" s="68">
        <v>681</v>
      </c>
      <c r="AE24" s="68">
        <v>677</v>
      </c>
      <c r="AF24" s="68">
        <v>741</v>
      </c>
      <c r="AG24" s="68">
        <v>748</v>
      </c>
      <c r="AH24" s="68">
        <v>745</v>
      </c>
      <c r="AI24" s="68">
        <v>718</v>
      </c>
      <c r="AJ24" s="68">
        <v>717</v>
      </c>
      <c r="AK24" s="68">
        <v>716</v>
      </c>
      <c r="AL24" s="68">
        <v>717</v>
      </c>
      <c r="AM24" s="68">
        <v>716</v>
      </c>
      <c r="AN24" s="68">
        <v>737</v>
      </c>
      <c r="AO24" s="68">
        <v>737</v>
      </c>
      <c r="AP24" s="68">
        <v>742</v>
      </c>
      <c r="AQ24" s="68">
        <v>746</v>
      </c>
      <c r="AR24" s="68">
        <v>657</v>
      </c>
      <c r="AS24" s="68">
        <v>657</v>
      </c>
      <c r="AT24" s="68">
        <v>657</v>
      </c>
      <c r="AU24" s="68">
        <v>657</v>
      </c>
      <c r="AV24" s="68">
        <v>657</v>
      </c>
      <c r="AW24" s="68">
        <v>657</v>
      </c>
      <c r="AX24" s="68">
        <v>657</v>
      </c>
      <c r="AY24" s="68">
        <v>657</v>
      </c>
      <c r="AZ24" s="68">
        <v>657</v>
      </c>
      <c r="BA24" s="68">
        <v>653</v>
      </c>
      <c r="BB24" s="68">
        <v>659</v>
      </c>
      <c r="BC24" s="68">
        <v>662</v>
      </c>
      <c r="BD24" s="68">
        <v>662</v>
      </c>
      <c r="BE24" s="68">
        <v>679</v>
      </c>
      <c r="BF24" s="68">
        <v>681</v>
      </c>
      <c r="BG24" s="68">
        <v>655</v>
      </c>
      <c r="BH24" s="68">
        <v>681</v>
      </c>
      <c r="BI24" s="68">
        <v>661</v>
      </c>
      <c r="BJ24" s="68">
        <v>662</v>
      </c>
      <c r="BK24" s="68">
        <v>664</v>
      </c>
      <c r="BL24" s="68">
        <v>695</v>
      </c>
      <c r="BM24" s="68">
        <v>688</v>
      </c>
      <c r="BN24" s="68">
        <v>679</v>
      </c>
      <c r="BO24" s="68">
        <v>660</v>
      </c>
      <c r="BP24" s="68">
        <v>662</v>
      </c>
      <c r="BQ24" s="68">
        <v>661</v>
      </c>
      <c r="BR24" s="68">
        <v>668</v>
      </c>
      <c r="BS24" s="68">
        <v>708</v>
      </c>
      <c r="BT24" s="68">
        <v>708</v>
      </c>
      <c r="BU24" s="68">
        <v>677</v>
      </c>
      <c r="BV24" s="68">
        <v>723</v>
      </c>
      <c r="BW24" s="68">
        <v>743</v>
      </c>
      <c r="BX24" s="68">
        <v>741</v>
      </c>
      <c r="BY24" s="68">
        <v>742</v>
      </c>
      <c r="BZ24" s="68">
        <v>743</v>
      </c>
      <c r="CA24" s="68">
        <v>738</v>
      </c>
      <c r="CB24" s="68">
        <v>737</v>
      </c>
      <c r="CC24" s="68">
        <v>716</v>
      </c>
      <c r="CD24" s="68">
        <v>723</v>
      </c>
      <c r="CE24" s="68">
        <v>750</v>
      </c>
      <c r="CF24" s="68">
        <v>756</v>
      </c>
      <c r="CG24" s="68">
        <v>718</v>
      </c>
      <c r="CH24" s="68">
        <v>745</v>
      </c>
      <c r="CI24" s="68">
        <v>745</v>
      </c>
      <c r="CJ24" s="68">
        <v>759</v>
      </c>
      <c r="CK24" s="68">
        <v>745</v>
      </c>
      <c r="CL24" s="68">
        <v>749</v>
      </c>
      <c r="CM24" s="68">
        <v>749</v>
      </c>
      <c r="CN24" s="68">
        <v>757</v>
      </c>
      <c r="CO24" s="68">
        <v>750</v>
      </c>
      <c r="CP24" s="68">
        <v>749</v>
      </c>
      <c r="CQ24" s="68">
        <v>746</v>
      </c>
      <c r="CR24" s="68">
        <v>750</v>
      </c>
      <c r="CS24" s="68">
        <v>765</v>
      </c>
      <c r="CT24" s="68">
        <v>742</v>
      </c>
    </row>
    <row r="25" spans="1:98" ht="15" customHeight="1">
      <c r="A25" s="3"/>
      <c r="B25" s="3"/>
      <c r="C25" s="3"/>
      <c r="D25" s="3"/>
    </row>
    <row r="26" spans="1:98" ht="15" customHeight="1">
      <c r="A26" s="4" t="s">
        <v>24</v>
      </c>
      <c r="B26" s="3"/>
      <c r="C26" s="3"/>
      <c r="D26" s="3"/>
    </row>
    <row r="27" spans="1:98" ht="15" customHeight="1">
      <c r="A27" s="3"/>
      <c r="B27" s="3"/>
      <c r="C27" s="3"/>
      <c r="D27" s="3"/>
    </row>
    <row r="28" spans="1:98" ht="15" customHeight="1">
      <c r="A28" s="6" t="s">
        <v>25</v>
      </c>
      <c r="B28" s="40"/>
      <c r="C28" s="42" t="s">
        <v>26</v>
      </c>
      <c r="D28" s="43"/>
      <c r="E28" s="6"/>
      <c r="F28" s="40"/>
      <c r="G28" s="40" t="s">
        <v>27</v>
      </c>
      <c r="H28" s="40"/>
      <c r="I28" s="40"/>
      <c r="J28" s="40"/>
      <c r="K28" s="40"/>
      <c r="L28" s="40"/>
      <c r="M28" s="40"/>
      <c r="N28" s="40"/>
      <c r="O28" s="40"/>
      <c r="P28" s="40"/>
      <c r="Q28" s="40"/>
      <c r="R28" s="40"/>
      <c r="S28" s="40"/>
      <c r="T28" s="40" t="s">
        <v>27</v>
      </c>
      <c r="U28" s="40" t="s">
        <v>27</v>
      </c>
      <c r="V28" s="40"/>
      <c r="W28" s="40"/>
      <c r="X28" s="40"/>
      <c r="Y28" s="40"/>
      <c r="Z28" s="40"/>
      <c r="AA28" s="40"/>
      <c r="AB28" s="40"/>
      <c r="AC28" s="40"/>
      <c r="AD28" s="40"/>
      <c r="AE28" s="40"/>
      <c r="AF28" s="40"/>
      <c r="AG28" s="40"/>
      <c r="AH28" s="40" t="s">
        <v>27</v>
      </c>
      <c r="AI28" s="40" t="s">
        <v>27</v>
      </c>
      <c r="AJ28" s="40"/>
      <c r="AK28" s="40"/>
      <c r="AL28" s="40"/>
      <c r="AM28" s="40"/>
      <c r="AN28" s="40"/>
      <c r="AO28" s="40"/>
      <c r="AP28" s="40"/>
      <c r="AQ28" s="40"/>
      <c r="AR28" s="40"/>
      <c r="AS28" s="40"/>
      <c r="AT28" s="40"/>
      <c r="AU28" s="40"/>
      <c r="AV28" s="40"/>
      <c r="AW28" s="40" t="s">
        <v>27</v>
      </c>
      <c r="AX28" s="40"/>
      <c r="AY28" s="40"/>
      <c r="AZ28" s="40"/>
      <c r="BA28" s="40"/>
      <c r="BB28" s="40"/>
      <c r="BC28" s="40"/>
      <c r="BD28" s="40"/>
      <c r="BE28" s="40"/>
      <c r="BF28" s="40"/>
      <c r="BG28" s="40"/>
      <c r="BH28" s="40"/>
      <c r="BI28" s="40"/>
      <c r="BJ28" s="40"/>
      <c r="BK28" s="40" t="s">
        <v>27</v>
      </c>
      <c r="BL28" s="40"/>
      <c r="BM28" s="40"/>
      <c r="BN28" s="40"/>
      <c r="BO28" s="40"/>
      <c r="BP28" s="40"/>
      <c r="BQ28" s="40"/>
      <c r="BR28" s="40"/>
      <c r="BS28" s="40"/>
      <c r="BT28" s="40"/>
      <c r="BU28" s="40"/>
      <c r="BV28" s="40"/>
      <c r="BW28" s="40"/>
      <c r="BX28" s="40" t="s">
        <v>27</v>
      </c>
      <c r="BY28" s="40"/>
      <c r="BZ28" s="40"/>
      <c r="CA28" s="40"/>
      <c r="CB28" s="40"/>
      <c r="CC28" s="40"/>
      <c r="CD28" s="40"/>
      <c r="CE28" s="40"/>
      <c r="CF28" s="40"/>
      <c r="CG28" s="40"/>
      <c r="CH28" s="40"/>
      <c r="CI28" s="40"/>
      <c r="CJ28" s="70"/>
      <c r="CK28" s="40" t="s">
        <v>27</v>
      </c>
      <c r="CL28" s="70"/>
      <c r="CM28" s="70"/>
      <c r="CN28" s="70"/>
      <c r="CO28" s="70"/>
      <c r="CP28" s="70"/>
      <c r="CQ28" s="70"/>
      <c r="CR28" s="70"/>
      <c r="CS28" s="70"/>
      <c r="CT28" s="72"/>
    </row>
    <row r="29" spans="1:98" ht="15" customHeight="1">
      <c r="A29" s="222" t="s">
        <v>28</v>
      </c>
      <c r="B29" s="223"/>
      <c r="C29" s="6" t="s">
        <v>206</v>
      </c>
      <c r="D29" s="27"/>
      <c r="E29" s="88" t="s">
        <v>43</v>
      </c>
      <c r="F29" s="88" t="s">
        <v>43</v>
      </c>
      <c r="G29" s="88" t="s">
        <v>43</v>
      </c>
      <c r="H29" s="88" t="s">
        <v>43</v>
      </c>
      <c r="I29" s="88" t="s">
        <v>43</v>
      </c>
      <c r="J29" s="88" t="s">
        <v>43</v>
      </c>
      <c r="K29" s="88" t="s">
        <v>43</v>
      </c>
      <c r="L29" s="88" t="s">
        <v>43</v>
      </c>
      <c r="M29" s="88" t="s">
        <v>43</v>
      </c>
      <c r="N29" s="88" t="s">
        <v>43</v>
      </c>
      <c r="O29" s="88" t="s">
        <v>43</v>
      </c>
      <c r="P29" s="88" t="s">
        <v>43</v>
      </c>
      <c r="Q29" s="88" t="s">
        <v>43</v>
      </c>
      <c r="R29" s="88" t="s">
        <v>43</v>
      </c>
      <c r="S29" s="88" t="s">
        <v>43</v>
      </c>
      <c r="T29" s="88" t="s">
        <v>43</v>
      </c>
      <c r="U29" s="88" t="s">
        <v>43</v>
      </c>
      <c r="V29" s="88" t="s">
        <v>43</v>
      </c>
      <c r="W29" s="88" t="s">
        <v>43</v>
      </c>
      <c r="X29" s="88" t="s">
        <v>43</v>
      </c>
      <c r="Y29" s="88" t="s">
        <v>43</v>
      </c>
      <c r="Z29" s="88" t="s">
        <v>43</v>
      </c>
      <c r="AA29" s="88" t="s">
        <v>43</v>
      </c>
      <c r="AB29" s="88" t="s">
        <v>43</v>
      </c>
      <c r="AC29" s="88" t="s">
        <v>43</v>
      </c>
      <c r="AD29" s="88" t="s">
        <v>43</v>
      </c>
      <c r="AE29" s="88" t="s">
        <v>43</v>
      </c>
      <c r="AF29" s="88" t="s">
        <v>43</v>
      </c>
      <c r="AG29" s="88" t="s">
        <v>43</v>
      </c>
      <c r="AH29" s="88" t="s">
        <v>43</v>
      </c>
      <c r="AI29" s="88" t="s">
        <v>43</v>
      </c>
      <c r="AJ29" s="88" t="s">
        <v>43</v>
      </c>
      <c r="AK29" s="88" t="s">
        <v>43</v>
      </c>
      <c r="AL29" s="88" t="s">
        <v>43</v>
      </c>
      <c r="AM29" s="88" t="s">
        <v>43</v>
      </c>
      <c r="AN29" s="88" t="s">
        <v>43</v>
      </c>
      <c r="AO29" s="88" t="s">
        <v>43</v>
      </c>
      <c r="AP29" s="88" t="s">
        <v>43</v>
      </c>
      <c r="AQ29" s="88" t="s">
        <v>43</v>
      </c>
      <c r="AR29" s="88" t="s">
        <v>43</v>
      </c>
      <c r="AS29" s="88" t="s">
        <v>43</v>
      </c>
      <c r="AT29" s="88" t="s">
        <v>43</v>
      </c>
      <c r="AU29" s="88" t="s">
        <v>43</v>
      </c>
      <c r="AV29" s="88" t="s">
        <v>43</v>
      </c>
      <c r="AW29" s="88" t="s">
        <v>43</v>
      </c>
      <c r="AX29" s="88" t="s">
        <v>43</v>
      </c>
      <c r="AY29" s="88"/>
      <c r="AZ29" s="88" t="s">
        <v>43</v>
      </c>
      <c r="BA29" s="88" t="s">
        <v>43</v>
      </c>
      <c r="BB29" s="88" t="s">
        <v>43</v>
      </c>
      <c r="BC29" s="88" t="s">
        <v>43</v>
      </c>
      <c r="BD29" s="88" t="s">
        <v>43</v>
      </c>
      <c r="BE29" s="88" t="s">
        <v>43</v>
      </c>
      <c r="BF29" s="88" t="s">
        <v>43</v>
      </c>
      <c r="BG29" s="88" t="s">
        <v>43</v>
      </c>
      <c r="BH29" s="88" t="s">
        <v>43</v>
      </c>
      <c r="BI29" s="88" t="s">
        <v>43</v>
      </c>
      <c r="BJ29" s="88" t="s">
        <v>43</v>
      </c>
      <c r="BK29" s="88" t="s">
        <v>43</v>
      </c>
      <c r="BL29" s="88" t="s">
        <v>43</v>
      </c>
      <c r="BM29" s="88" t="s">
        <v>43</v>
      </c>
      <c r="BN29" s="88" t="s">
        <v>43</v>
      </c>
      <c r="BO29" s="88" t="s">
        <v>43</v>
      </c>
      <c r="BP29" s="88" t="s">
        <v>43</v>
      </c>
      <c r="BQ29" s="88" t="s">
        <v>43</v>
      </c>
      <c r="BR29" s="88" t="s">
        <v>43</v>
      </c>
      <c r="BS29" s="88" t="s">
        <v>43</v>
      </c>
      <c r="BT29" s="88" t="s">
        <v>43</v>
      </c>
      <c r="BU29" s="88" t="s">
        <v>43</v>
      </c>
      <c r="BV29" s="88" t="s">
        <v>43</v>
      </c>
      <c r="BW29" s="88" t="s">
        <v>43</v>
      </c>
      <c r="BX29" s="88" t="s">
        <v>43</v>
      </c>
      <c r="BY29" s="88" t="s">
        <v>43</v>
      </c>
      <c r="BZ29" s="88" t="s">
        <v>43</v>
      </c>
      <c r="CA29" s="88" t="s">
        <v>43</v>
      </c>
      <c r="CB29" s="88" t="s">
        <v>43</v>
      </c>
      <c r="CC29" s="88" t="s">
        <v>43</v>
      </c>
      <c r="CD29" s="88" t="s">
        <v>43</v>
      </c>
      <c r="CE29" s="88" t="s">
        <v>43</v>
      </c>
      <c r="CF29" s="88" t="s">
        <v>43</v>
      </c>
      <c r="CG29" s="88" t="s">
        <v>43</v>
      </c>
      <c r="CH29" s="88" t="s">
        <v>43</v>
      </c>
      <c r="CI29" s="88" t="s">
        <v>43</v>
      </c>
      <c r="CJ29" s="88" t="s">
        <v>43</v>
      </c>
      <c r="CK29" s="88" t="s">
        <v>43</v>
      </c>
      <c r="CL29" s="88" t="s">
        <v>43</v>
      </c>
      <c r="CM29" s="88" t="s">
        <v>43</v>
      </c>
      <c r="CN29" s="88" t="s">
        <v>43</v>
      </c>
      <c r="CO29" s="88" t="s">
        <v>43</v>
      </c>
      <c r="CP29" s="88" t="s">
        <v>43</v>
      </c>
      <c r="CQ29" s="88" t="s">
        <v>43</v>
      </c>
      <c r="CR29" s="88" t="s">
        <v>43</v>
      </c>
      <c r="CS29" s="88" t="s">
        <v>43</v>
      </c>
      <c r="CT29" s="88" t="s">
        <v>43</v>
      </c>
    </row>
    <row r="30" spans="1:98" ht="15" customHeight="1">
      <c r="A30" s="222" t="s">
        <v>32</v>
      </c>
      <c r="B30" s="223"/>
      <c r="C30" s="44" t="s">
        <v>39</v>
      </c>
      <c r="D30" s="45"/>
      <c r="E30" s="39" t="s">
        <v>43</v>
      </c>
      <c r="F30" s="39" t="s">
        <v>43</v>
      </c>
      <c r="G30" s="39" t="s">
        <v>43</v>
      </c>
      <c r="H30" s="39" t="s">
        <v>43</v>
      </c>
      <c r="I30" s="39" t="s">
        <v>43</v>
      </c>
      <c r="J30" s="39" t="s">
        <v>43</v>
      </c>
      <c r="K30" s="39" t="s">
        <v>43</v>
      </c>
      <c r="L30" s="39" t="s">
        <v>43</v>
      </c>
      <c r="M30" s="39" t="s">
        <v>43</v>
      </c>
      <c r="N30" s="39" t="s">
        <v>43</v>
      </c>
      <c r="O30" s="39" t="s">
        <v>43</v>
      </c>
      <c r="P30" s="39" t="s">
        <v>43</v>
      </c>
      <c r="Q30" s="39" t="s">
        <v>43</v>
      </c>
      <c r="R30" s="39" t="s">
        <v>43</v>
      </c>
      <c r="S30" s="39" t="s">
        <v>43</v>
      </c>
      <c r="T30" s="39" t="s">
        <v>43</v>
      </c>
      <c r="U30" s="39" t="s">
        <v>43</v>
      </c>
      <c r="V30" s="39" t="s">
        <v>43</v>
      </c>
      <c r="W30" s="39" t="s">
        <v>43</v>
      </c>
      <c r="X30" s="39" t="s">
        <v>43</v>
      </c>
      <c r="Y30" s="39" t="s">
        <v>43</v>
      </c>
      <c r="Z30" s="39" t="s">
        <v>43</v>
      </c>
      <c r="AA30" s="39" t="s">
        <v>43</v>
      </c>
      <c r="AB30" s="39" t="s">
        <v>43</v>
      </c>
      <c r="AC30" s="39" t="s">
        <v>43</v>
      </c>
      <c r="AD30" s="39" t="s">
        <v>43</v>
      </c>
      <c r="AE30" s="39" t="s">
        <v>43</v>
      </c>
      <c r="AF30" s="39" t="s">
        <v>43</v>
      </c>
      <c r="AG30" s="39" t="s">
        <v>43</v>
      </c>
      <c r="AH30" s="39" t="s">
        <v>43</v>
      </c>
      <c r="AI30" s="39" t="s">
        <v>43</v>
      </c>
      <c r="AJ30" s="39" t="s">
        <v>43</v>
      </c>
      <c r="AK30" s="39" t="s">
        <v>43</v>
      </c>
      <c r="AL30" s="39" t="s">
        <v>43</v>
      </c>
      <c r="AM30" s="39" t="s">
        <v>43</v>
      </c>
      <c r="AN30" s="39" t="s">
        <v>43</v>
      </c>
      <c r="AO30" s="39" t="s">
        <v>43</v>
      </c>
      <c r="AP30" s="39" t="s">
        <v>43</v>
      </c>
      <c r="AQ30" s="39" t="s">
        <v>43</v>
      </c>
      <c r="AR30" s="39" t="s">
        <v>43</v>
      </c>
      <c r="AS30" s="39" t="s">
        <v>43</v>
      </c>
      <c r="AT30" s="39" t="s">
        <v>43</v>
      </c>
      <c r="AU30" s="39" t="s">
        <v>43</v>
      </c>
      <c r="AV30" s="39" t="s">
        <v>43</v>
      </c>
      <c r="AW30" s="39" t="s">
        <v>43</v>
      </c>
      <c r="AX30" s="39" t="s">
        <v>43</v>
      </c>
      <c r="AY30" s="39"/>
      <c r="AZ30" s="39" t="s">
        <v>43</v>
      </c>
      <c r="BA30" s="39" t="s">
        <v>43</v>
      </c>
      <c r="BB30" s="39" t="s">
        <v>43</v>
      </c>
      <c r="BC30" s="39" t="s">
        <v>43</v>
      </c>
      <c r="BD30" s="39" t="s">
        <v>43</v>
      </c>
      <c r="BE30" s="39" t="s">
        <v>43</v>
      </c>
      <c r="BF30" s="39" t="s">
        <v>43</v>
      </c>
      <c r="BG30" s="39" t="s">
        <v>43</v>
      </c>
      <c r="BH30" s="39" t="s">
        <v>43</v>
      </c>
      <c r="BI30" s="39" t="s">
        <v>43</v>
      </c>
      <c r="BJ30" s="39" t="s">
        <v>43</v>
      </c>
      <c r="BK30" s="39" t="s">
        <v>43</v>
      </c>
      <c r="BL30" s="39" t="s">
        <v>43</v>
      </c>
      <c r="BM30" s="39" t="s">
        <v>43</v>
      </c>
      <c r="BN30" s="39" t="s">
        <v>43</v>
      </c>
      <c r="BO30" s="39" t="s">
        <v>43</v>
      </c>
      <c r="BP30" s="39" t="s">
        <v>43</v>
      </c>
      <c r="BQ30" s="39" t="s">
        <v>43</v>
      </c>
      <c r="BR30" s="39" t="s">
        <v>43</v>
      </c>
      <c r="BS30" s="39" t="s">
        <v>43</v>
      </c>
      <c r="BT30" s="39" t="s">
        <v>43</v>
      </c>
      <c r="BU30" s="39" t="s">
        <v>43</v>
      </c>
      <c r="BV30" s="39" t="s">
        <v>43</v>
      </c>
      <c r="BW30" s="39" t="s">
        <v>43</v>
      </c>
      <c r="BX30" s="39" t="s">
        <v>43</v>
      </c>
      <c r="BY30" s="39" t="s">
        <v>43</v>
      </c>
      <c r="BZ30" s="39" t="s">
        <v>43</v>
      </c>
      <c r="CA30" s="39" t="s">
        <v>43</v>
      </c>
      <c r="CB30" s="39" t="s">
        <v>43</v>
      </c>
      <c r="CC30" s="39" t="s">
        <v>43</v>
      </c>
      <c r="CD30" s="39" t="s">
        <v>43</v>
      </c>
      <c r="CE30" s="39" t="s">
        <v>43</v>
      </c>
      <c r="CF30" s="39" t="s">
        <v>43</v>
      </c>
      <c r="CG30" s="39" t="s">
        <v>43</v>
      </c>
      <c r="CH30" s="39" t="s">
        <v>43</v>
      </c>
      <c r="CI30" s="39" t="s">
        <v>43</v>
      </c>
      <c r="CJ30" s="39" t="s">
        <v>43</v>
      </c>
      <c r="CK30" s="39" t="s">
        <v>43</v>
      </c>
      <c r="CL30" s="39" t="s">
        <v>43</v>
      </c>
      <c r="CM30" s="39" t="s">
        <v>43</v>
      </c>
      <c r="CN30" s="39" t="s">
        <v>43</v>
      </c>
      <c r="CO30" s="39" t="s">
        <v>43</v>
      </c>
      <c r="CP30" s="39" t="s">
        <v>43</v>
      </c>
      <c r="CQ30" s="39" t="s">
        <v>43</v>
      </c>
      <c r="CR30" s="39" t="s">
        <v>43</v>
      </c>
      <c r="CS30" s="39" t="s">
        <v>43</v>
      </c>
      <c r="CT30" s="39" t="s">
        <v>43</v>
      </c>
    </row>
    <row r="31" spans="1:98" ht="15" customHeight="1">
      <c r="A31" s="227" t="s">
        <v>33</v>
      </c>
      <c r="B31" s="228"/>
      <c r="C31" s="6" t="s">
        <v>42</v>
      </c>
      <c r="D31" s="27"/>
      <c r="E31" s="39" t="s">
        <v>30</v>
      </c>
      <c r="F31" s="39" t="s">
        <v>30</v>
      </c>
      <c r="G31" s="39" t="s">
        <v>30</v>
      </c>
      <c r="H31" s="39" t="s">
        <v>30</v>
      </c>
      <c r="I31" s="39" t="s">
        <v>30</v>
      </c>
      <c r="J31" s="39" t="s">
        <v>30</v>
      </c>
      <c r="K31" s="39" t="s">
        <v>30</v>
      </c>
      <c r="L31" s="39" t="s">
        <v>30</v>
      </c>
      <c r="M31" s="39" t="s">
        <v>30</v>
      </c>
      <c r="N31" s="39" t="s">
        <v>30</v>
      </c>
      <c r="O31" s="39" t="s">
        <v>30</v>
      </c>
      <c r="P31" s="39" t="s">
        <v>30</v>
      </c>
      <c r="Q31" s="39" t="s">
        <v>30</v>
      </c>
      <c r="R31" s="39" t="s">
        <v>30</v>
      </c>
      <c r="S31" s="39" t="s">
        <v>30</v>
      </c>
      <c r="T31" s="39" t="s">
        <v>30</v>
      </c>
      <c r="U31" s="39" t="s">
        <v>30</v>
      </c>
      <c r="V31" s="39" t="s">
        <v>30</v>
      </c>
      <c r="W31" s="39" t="s">
        <v>30</v>
      </c>
      <c r="X31" s="39" t="s">
        <v>30</v>
      </c>
      <c r="Y31" s="39" t="s">
        <v>30</v>
      </c>
      <c r="Z31" s="39" t="s">
        <v>30</v>
      </c>
      <c r="AA31" s="39" t="s">
        <v>30</v>
      </c>
      <c r="AB31" s="39" t="s">
        <v>30</v>
      </c>
      <c r="AC31" s="39" t="s">
        <v>30</v>
      </c>
      <c r="AD31" s="39" t="s">
        <v>30</v>
      </c>
      <c r="AE31" s="39" t="s">
        <v>30</v>
      </c>
      <c r="AF31" s="39" t="s">
        <v>30</v>
      </c>
      <c r="AG31" s="39" t="s">
        <v>30</v>
      </c>
      <c r="AH31" s="39" t="s">
        <v>30</v>
      </c>
      <c r="AI31" s="39" t="s">
        <v>30</v>
      </c>
      <c r="AJ31" s="39" t="s">
        <v>30</v>
      </c>
      <c r="AK31" s="39" t="s">
        <v>30</v>
      </c>
      <c r="AL31" s="39" t="s">
        <v>30</v>
      </c>
      <c r="AM31" s="39" t="s">
        <v>30</v>
      </c>
      <c r="AN31" s="39" t="s">
        <v>30</v>
      </c>
      <c r="AO31" s="39" t="s">
        <v>30</v>
      </c>
      <c r="AP31" s="39" t="s">
        <v>30</v>
      </c>
      <c r="AQ31" s="39" t="s">
        <v>30</v>
      </c>
      <c r="AR31" s="39" t="s">
        <v>30</v>
      </c>
      <c r="AS31" s="39" t="s">
        <v>30</v>
      </c>
      <c r="AT31" s="39" t="s">
        <v>30</v>
      </c>
      <c r="AU31" s="39" t="s">
        <v>30</v>
      </c>
      <c r="AV31" s="39" t="s">
        <v>30</v>
      </c>
      <c r="AW31" s="39" t="s">
        <v>30</v>
      </c>
      <c r="AX31" s="39" t="s">
        <v>30</v>
      </c>
      <c r="AY31" s="39"/>
      <c r="AZ31" s="39" t="s">
        <v>30</v>
      </c>
      <c r="BA31" s="39" t="s">
        <v>30</v>
      </c>
      <c r="BB31" s="39" t="s">
        <v>30</v>
      </c>
      <c r="BC31" s="39" t="s">
        <v>30</v>
      </c>
      <c r="BD31" s="39" t="s">
        <v>30</v>
      </c>
      <c r="BE31" s="39" t="s">
        <v>30</v>
      </c>
      <c r="BF31" s="39" t="s">
        <v>30</v>
      </c>
      <c r="BG31" s="39" t="s">
        <v>30</v>
      </c>
      <c r="BH31" s="39" t="s">
        <v>30</v>
      </c>
      <c r="BI31" s="39" t="s">
        <v>30</v>
      </c>
      <c r="BJ31" s="39" t="s">
        <v>30</v>
      </c>
      <c r="BK31" s="39" t="s">
        <v>30</v>
      </c>
      <c r="BL31" s="39" t="s">
        <v>30</v>
      </c>
      <c r="BM31" s="39" t="s">
        <v>30</v>
      </c>
      <c r="BN31" s="39" t="s">
        <v>30</v>
      </c>
      <c r="BO31" s="39" t="s">
        <v>30</v>
      </c>
      <c r="BP31" s="39" t="s">
        <v>30</v>
      </c>
      <c r="BQ31" s="39" t="s">
        <v>30</v>
      </c>
      <c r="BR31" s="39" t="s">
        <v>30</v>
      </c>
      <c r="BS31" s="39" t="s">
        <v>30</v>
      </c>
      <c r="BT31" s="39" t="s">
        <v>30</v>
      </c>
      <c r="BU31" s="39" t="s">
        <v>30</v>
      </c>
      <c r="BV31" s="39" t="s">
        <v>30</v>
      </c>
      <c r="BW31" s="39" t="s">
        <v>30</v>
      </c>
      <c r="BX31" s="39" t="s">
        <v>30</v>
      </c>
      <c r="BY31" s="39" t="s">
        <v>30</v>
      </c>
      <c r="BZ31" s="39" t="s">
        <v>30</v>
      </c>
      <c r="CA31" s="39" t="s">
        <v>30</v>
      </c>
      <c r="CB31" s="39" t="s">
        <v>30</v>
      </c>
      <c r="CC31" s="39" t="s">
        <v>30</v>
      </c>
      <c r="CD31" s="39" t="s">
        <v>30</v>
      </c>
      <c r="CE31" s="39" t="s">
        <v>30</v>
      </c>
      <c r="CF31" s="39" t="s">
        <v>30</v>
      </c>
      <c r="CG31" s="39" t="s">
        <v>30</v>
      </c>
      <c r="CH31" s="39" t="s">
        <v>30</v>
      </c>
      <c r="CI31" s="39" t="s">
        <v>30</v>
      </c>
      <c r="CJ31" s="39" t="s">
        <v>30</v>
      </c>
      <c r="CK31" s="39" t="s">
        <v>30</v>
      </c>
      <c r="CL31" s="39" t="s">
        <v>30</v>
      </c>
      <c r="CM31" s="39" t="s">
        <v>30</v>
      </c>
      <c r="CN31" s="39" t="s">
        <v>30</v>
      </c>
      <c r="CO31" s="39" t="s">
        <v>30</v>
      </c>
      <c r="CP31" s="39" t="s">
        <v>30</v>
      </c>
      <c r="CQ31" s="39" t="s">
        <v>30</v>
      </c>
      <c r="CR31" s="39" t="s">
        <v>30</v>
      </c>
      <c r="CS31" s="39" t="s">
        <v>30</v>
      </c>
      <c r="CT31" s="39" t="s">
        <v>30</v>
      </c>
    </row>
    <row r="33" spans="1:1">
      <c r="A33" s="89"/>
    </row>
    <row r="34" spans="1:1">
      <c r="A34" s="26"/>
    </row>
    <row r="35" spans="1:1">
      <c r="A35" s="26"/>
    </row>
  </sheetData>
  <mergeCells count="3">
    <mergeCell ref="A29:B29"/>
    <mergeCell ref="A30:B30"/>
    <mergeCell ref="A31:B31"/>
  </mergeCells>
  <conditionalFormatting sqref="E7:CT24">
    <cfRule type="cellIs" dxfId="16" priority="1" stopIfTrue="1" operator="lessThan">
      <formula>#REF!</formula>
    </cfRule>
    <cfRule type="cellIs" dxfId="15" priority="3" operator="lessThan">
      <formula>#REF!</formula>
    </cfRule>
    <cfRule type="cellIs" dxfId="14" priority="5" stopIfTrue="1" operator="lessThan">
      <formula>#REF!</formula>
    </cfRule>
  </conditionalFormatting>
  <pageMargins left="0.7" right="0.7" top="0.75" bottom="0.75" header="0.3" footer="0.3"/>
  <pageSetup paperSize="9" orientation="portrait" r:id="rId1"/>
  <ignoredErrors>
    <ignoredError sqref="E6"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D9209-B4CA-4921-ABF3-BE2E6CC184ED}">
  <dimension ref="A1:AF35"/>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32" ht="15" customHeight="1"/>
    <row r="2" spans="1:32" ht="15" customHeight="1">
      <c r="A2" s="9"/>
      <c r="B2" s="7"/>
      <c r="C2" s="7"/>
      <c r="D2" s="7"/>
      <c r="E2" s="7"/>
    </row>
    <row r="3" spans="1:32" ht="20.45" customHeight="1">
      <c r="A3" s="9" t="str">
        <f>Voorblad!A5</f>
        <v>Team Freight Forwarding Logistics</v>
      </c>
      <c r="B3" s="8"/>
      <c r="C3" s="8"/>
      <c r="D3" s="8"/>
      <c r="E3" s="48"/>
    </row>
    <row r="4" spans="1:32" s="51" customFormat="1" ht="15.75">
      <c r="A4" s="62" t="s">
        <v>207</v>
      </c>
      <c r="B4" s="49"/>
      <c r="C4" s="50"/>
      <c r="D4" s="50"/>
      <c r="E4" s="50"/>
    </row>
    <row r="5" spans="1:32" ht="15" customHeight="1">
      <c r="A5" s="7"/>
      <c r="B5" s="7"/>
      <c r="C5" s="7"/>
      <c r="D5" s="7"/>
      <c r="E5" s="26"/>
    </row>
    <row r="6" spans="1:32" ht="15" customHeight="1">
      <c r="A6" s="63" t="s">
        <v>20</v>
      </c>
      <c r="B6" s="63" t="s">
        <v>21</v>
      </c>
      <c r="C6" s="64" t="s">
        <v>22</v>
      </c>
      <c r="D6" s="64" t="s">
        <v>23</v>
      </c>
      <c r="E6" s="2">
        <v>10</v>
      </c>
      <c r="F6" s="127">
        <v>20</v>
      </c>
      <c r="G6" s="127">
        <v>21</v>
      </c>
      <c r="H6" s="127">
        <v>30</v>
      </c>
      <c r="I6" s="127">
        <v>31</v>
      </c>
      <c r="J6" s="127">
        <v>32</v>
      </c>
      <c r="K6" s="127">
        <v>33</v>
      </c>
      <c r="L6" s="127">
        <v>34</v>
      </c>
      <c r="M6" s="127">
        <v>36</v>
      </c>
      <c r="N6" s="127">
        <v>37</v>
      </c>
      <c r="O6" s="127">
        <v>38</v>
      </c>
      <c r="P6" s="128">
        <v>39</v>
      </c>
      <c r="Q6" s="127">
        <v>40</v>
      </c>
      <c r="R6" s="127">
        <v>41</v>
      </c>
      <c r="S6" s="128">
        <v>42</v>
      </c>
      <c r="T6" s="128">
        <v>43</v>
      </c>
      <c r="U6" s="127">
        <v>44</v>
      </c>
      <c r="V6" s="127">
        <v>45</v>
      </c>
      <c r="W6" s="127">
        <v>46</v>
      </c>
      <c r="X6" s="127">
        <v>47</v>
      </c>
      <c r="Y6" s="127">
        <v>48</v>
      </c>
      <c r="Z6" s="127">
        <v>50</v>
      </c>
      <c r="AA6" s="129">
        <v>51</v>
      </c>
      <c r="AB6" s="127">
        <v>52</v>
      </c>
      <c r="AC6" s="127">
        <v>53</v>
      </c>
      <c r="AD6" s="127">
        <v>54</v>
      </c>
      <c r="AE6" s="127">
        <v>56</v>
      </c>
      <c r="AF6" s="129">
        <v>57</v>
      </c>
    </row>
    <row r="7" spans="1:32" ht="15" customHeight="1">
      <c r="A7" s="64">
        <v>300</v>
      </c>
      <c r="B7" s="64">
        <v>0.2</v>
      </c>
      <c r="C7" s="64">
        <v>0.5</v>
      </c>
      <c r="D7" s="64"/>
      <c r="E7" s="90">
        <v>119</v>
      </c>
      <c r="F7" s="90">
        <v>131</v>
      </c>
      <c r="G7" s="90">
        <v>131</v>
      </c>
      <c r="H7" s="90">
        <v>136</v>
      </c>
      <c r="I7" s="90">
        <v>136</v>
      </c>
      <c r="J7" s="90">
        <v>136</v>
      </c>
      <c r="K7" s="90">
        <v>136</v>
      </c>
      <c r="L7" s="90">
        <v>136</v>
      </c>
      <c r="M7" s="90">
        <v>136</v>
      </c>
      <c r="N7" s="90">
        <v>136</v>
      </c>
      <c r="O7" s="90">
        <v>136</v>
      </c>
      <c r="P7" s="90">
        <v>142</v>
      </c>
      <c r="Q7" s="90">
        <v>142</v>
      </c>
      <c r="R7" s="90">
        <v>142</v>
      </c>
      <c r="S7" s="90">
        <v>142</v>
      </c>
      <c r="T7" s="90">
        <v>142</v>
      </c>
      <c r="U7" s="90">
        <v>142</v>
      </c>
      <c r="V7" s="90">
        <v>142</v>
      </c>
      <c r="W7" s="90">
        <v>142</v>
      </c>
      <c r="X7" s="90">
        <v>142</v>
      </c>
      <c r="Y7" s="90">
        <v>142</v>
      </c>
      <c r="Z7" s="90">
        <v>142</v>
      </c>
      <c r="AA7" s="90">
        <v>142</v>
      </c>
      <c r="AB7" s="90">
        <v>142</v>
      </c>
      <c r="AC7" s="90">
        <v>142</v>
      </c>
      <c r="AD7" s="90">
        <v>142</v>
      </c>
      <c r="AE7" s="90">
        <v>142</v>
      </c>
      <c r="AF7" s="90">
        <v>142</v>
      </c>
    </row>
    <row r="8" spans="1:32" ht="15" customHeight="1">
      <c r="A8" s="64">
        <v>700</v>
      </c>
      <c r="B8" s="64">
        <v>0.4</v>
      </c>
      <c r="C8" s="64">
        <v>1</v>
      </c>
      <c r="D8" s="64"/>
      <c r="E8" s="90">
        <v>158</v>
      </c>
      <c r="F8" s="90">
        <v>175</v>
      </c>
      <c r="G8" s="90">
        <v>175</v>
      </c>
      <c r="H8" s="90">
        <v>182</v>
      </c>
      <c r="I8" s="90">
        <v>182</v>
      </c>
      <c r="J8" s="90">
        <v>182</v>
      </c>
      <c r="K8" s="90">
        <v>182</v>
      </c>
      <c r="L8" s="90">
        <v>182</v>
      </c>
      <c r="M8" s="90">
        <v>182</v>
      </c>
      <c r="N8" s="90">
        <v>182</v>
      </c>
      <c r="O8" s="90">
        <v>182</v>
      </c>
      <c r="P8" s="90">
        <v>182</v>
      </c>
      <c r="Q8" s="90">
        <v>190</v>
      </c>
      <c r="R8" s="90">
        <v>190</v>
      </c>
      <c r="S8" s="90">
        <v>190</v>
      </c>
      <c r="T8" s="90">
        <v>190</v>
      </c>
      <c r="U8" s="90">
        <v>190</v>
      </c>
      <c r="V8" s="90">
        <v>190</v>
      </c>
      <c r="W8" s="90">
        <v>190</v>
      </c>
      <c r="X8" s="90">
        <v>190</v>
      </c>
      <c r="Y8" s="90">
        <v>190</v>
      </c>
      <c r="Z8" s="90">
        <v>190</v>
      </c>
      <c r="AA8" s="90">
        <v>190</v>
      </c>
      <c r="AB8" s="90">
        <v>190</v>
      </c>
      <c r="AC8" s="90">
        <v>190</v>
      </c>
      <c r="AD8" s="90">
        <v>190</v>
      </c>
      <c r="AE8" s="90">
        <v>190</v>
      </c>
      <c r="AF8" s="90">
        <v>190</v>
      </c>
    </row>
    <row r="9" spans="1:32" ht="15" customHeight="1">
      <c r="A9" s="64">
        <v>875</v>
      </c>
      <c r="B9" s="64">
        <v>0.5</v>
      </c>
      <c r="C9" s="64"/>
      <c r="D9" s="64">
        <v>1</v>
      </c>
      <c r="E9" s="90">
        <v>183</v>
      </c>
      <c r="F9" s="90">
        <v>201</v>
      </c>
      <c r="G9" s="90">
        <v>201</v>
      </c>
      <c r="H9" s="90">
        <v>209</v>
      </c>
      <c r="I9" s="90">
        <v>209</v>
      </c>
      <c r="J9" s="90">
        <v>209</v>
      </c>
      <c r="K9" s="90">
        <v>209</v>
      </c>
      <c r="L9" s="90">
        <v>209</v>
      </c>
      <c r="M9" s="90">
        <v>209</v>
      </c>
      <c r="N9" s="90">
        <v>209</v>
      </c>
      <c r="O9" s="90">
        <v>209</v>
      </c>
      <c r="P9" s="90">
        <v>209</v>
      </c>
      <c r="Q9" s="90">
        <v>219</v>
      </c>
      <c r="R9" s="90">
        <v>219</v>
      </c>
      <c r="S9" s="90">
        <v>219</v>
      </c>
      <c r="T9" s="90">
        <v>219</v>
      </c>
      <c r="U9" s="90">
        <v>219</v>
      </c>
      <c r="V9" s="90">
        <v>219</v>
      </c>
      <c r="W9" s="90">
        <v>219</v>
      </c>
      <c r="X9" s="90">
        <v>219</v>
      </c>
      <c r="Y9" s="90">
        <v>219</v>
      </c>
      <c r="Z9" s="90">
        <v>219</v>
      </c>
      <c r="AA9" s="90">
        <v>219</v>
      </c>
      <c r="AB9" s="90">
        <v>219</v>
      </c>
      <c r="AC9" s="90">
        <v>219</v>
      </c>
      <c r="AD9" s="90">
        <v>219</v>
      </c>
      <c r="AE9" s="90">
        <v>219</v>
      </c>
      <c r="AF9" s="90">
        <v>219</v>
      </c>
    </row>
    <row r="10" spans="1:32" ht="15" customHeight="1">
      <c r="A10" s="64">
        <v>1050</v>
      </c>
      <c r="B10" s="64">
        <v>0.6</v>
      </c>
      <c r="C10" s="64"/>
      <c r="D10" s="64"/>
      <c r="E10" s="90">
        <v>197</v>
      </c>
      <c r="F10" s="90">
        <v>215</v>
      </c>
      <c r="G10" s="90">
        <v>215</v>
      </c>
      <c r="H10" s="90">
        <v>225</v>
      </c>
      <c r="I10" s="90">
        <v>225</v>
      </c>
      <c r="J10" s="90">
        <v>225</v>
      </c>
      <c r="K10" s="90">
        <v>225</v>
      </c>
      <c r="L10" s="90">
        <v>225</v>
      </c>
      <c r="M10" s="90">
        <v>225</v>
      </c>
      <c r="N10" s="90">
        <v>225</v>
      </c>
      <c r="O10" s="90">
        <v>225</v>
      </c>
      <c r="P10" s="90">
        <v>225</v>
      </c>
      <c r="Q10" s="90">
        <v>235</v>
      </c>
      <c r="R10" s="90">
        <v>235</v>
      </c>
      <c r="S10" s="90">
        <v>235</v>
      </c>
      <c r="T10" s="90">
        <v>235</v>
      </c>
      <c r="U10" s="90">
        <v>235</v>
      </c>
      <c r="V10" s="90">
        <v>235</v>
      </c>
      <c r="W10" s="90">
        <v>235</v>
      </c>
      <c r="X10" s="90">
        <v>235</v>
      </c>
      <c r="Y10" s="90">
        <v>235</v>
      </c>
      <c r="Z10" s="90">
        <v>235</v>
      </c>
      <c r="AA10" s="90">
        <v>235</v>
      </c>
      <c r="AB10" s="90">
        <v>235</v>
      </c>
      <c r="AC10" s="90">
        <v>235</v>
      </c>
      <c r="AD10" s="90">
        <v>235</v>
      </c>
      <c r="AE10" s="90">
        <v>235</v>
      </c>
      <c r="AF10" s="90">
        <v>235</v>
      </c>
    </row>
    <row r="11" spans="1:32" ht="15" customHeight="1">
      <c r="A11" s="64">
        <v>1400</v>
      </c>
      <c r="B11" s="64">
        <v>0.8</v>
      </c>
      <c r="C11" s="64">
        <v>2</v>
      </c>
      <c r="D11" s="64"/>
      <c r="E11" s="90">
        <v>259</v>
      </c>
      <c r="F11" s="90">
        <v>284</v>
      </c>
      <c r="G11" s="90">
        <v>284</v>
      </c>
      <c r="H11" s="90">
        <v>297</v>
      </c>
      <c r="I11" s="90">
        <v>297</v>
      </c>
      <c r="J11" s="90">
        <v>297</v>
      </c>
      <c r="K11" s="90">
        <v>297</v>
      </c>
      <c r="L11" s="90">
        <v>297</v>
      </c>
      <c r="M11" s="90">
        <v>297</v>
      </c>
      <c r="N11" s="90">
        <v>297</v>
      </c>
      <c r="O11" s="90">
        <v>297</v>
      </c>
      <c r="P11" s="90">
        <v>297</v>
      </c>
      <c r="Q11" s="90">
        <v>310</v>
      </c>
      <c r="R11" s="90">
        <v>310</v>
      </c>
      <c r="S11" s="90">
        <v>310</v>
      </c>
      <c r="T11" s="90">
        <v>310</v>
      </c>
      <c r="U11" s="90">
        <v>310</v>
      </c>
      <c r="V11" s="90">
        <v>310</v>
      </c>
      <c r="W11" s="90">
        <v>310</v>
      </c>
      <c r="X11" s="90">
        <v>310</v>
      </c>
      <c r="Y11" s="90">
        <v>310</v>
      </c>
      <c r="Z11" s="90">
        <v>310</v>
      </c>
      <c r="AA11" s="90">
        <v>310</v>
      </c>
      <c r="AB11" s="90">
        <v>310</v>
      </c>
      <c r="AC11" s="90">
        <v>310</v>
      </c>
      <c r="AD11" s="90">
        <v>310</v>
      </c>
      <c r="AE11" s="90">
        <v>310</v>
      </c>
      <c r="AF11" s="90">
        <v>310</v>
      </c>
    </row>
    <row r="12" spans="1:32" ht="15" customHeight="1">
      <c r="A12" s="64">
        <v>1750</v>
      </c>
      <c r="B12" s="64">
        <v>1</v>
      </c>
      <c r="C12" s="64"/>
      <c r="D12" s="64">
        <v>2</v>
      </c>
      <c r="E12" s="90">
        <v>307</v>
      </c>
      <c r="F12" s="90">
        <v>337</v>
      </c>
      <c r="G12" s="90">
        <v>337</v>
      </c>
      <c r="H12" s="90">
        <v>353</v>
      </c>
      <c r="I12" s="90">
        <v>353</v>
      </c>
      <c r="J12" s="90">
        <v>353</v>
      </c>
      <c r="K12" s="90">
        <v>353</v>
      </c>
      <c r="L12" s="90">
        <v>353</v>
      </c>
      <c r="M12" s="90">
        <v>353</v>
      </c>
      <c r="N12" s="90">
        <v>353</v>
      </c>
      <c r="O12" s="90">
        <v>353</v>
      </c>
      <c r="P12" s="90">
        <v>353</v>
      </c>
      <c r="Q12" s="90">
        <v>368</v>
      </c>
      <c r="R12" s="90">
        <v>368</v>
      </c>
      <c r="S12" s="90">
        <v>368</v>
      </c>
      <c r="T12" s="90">
        <v>368</v>
      </c>
      <c r="U12" s="90">
        <v>368</v>
      </c>
      <c r="V12" s="90">
        <v>368</v>
      </c>
      <c r="W12" s="90">
        <v>368</v>
      </c>
      <c r="X12" s="90">
        <v>368</v>
      </c>
      <c r="Y12" s="90">
        <v>368</v>
      </c>
      <c r="Z12" s="90">
        <v>368</v>
      </c>
      <c r="AA12" s="90">
        <v>368</v>
      </c>
      <c r="AB12" s="90">
        <v>368</v>
      </c>
      <c r="AC12" s="90">
        <v>368</v>
      </c>
      <c r="AD12" s="90">
        <v>368</v>
      </c>
      <c r="AE12" s="90">
        <v>368</v>
      </c>
      <c r="AF12" s="90">
        <v>368</v>
      </c>
    </row>
    <row r="13" spans="1:32" ht="15" customHeight="1">
      <c r="A13" s="64">
        <v>2100</v>
      </c>
      <c r="B13" s="64">
        <v>1.2</v>
      </c>
      <c r="C13" s="64">
        <v>3</v>
      </c>
      <c r="D13" s="64"/>
      <c r="E13" s="90">
        <v>360</v>
      </c>
      <c r="F13" s="90">
        <v>397</v>
      </c>
      <c r="G13" s="90">
        <v>397</v>
      </c>
      <c r="H13" s="90">
        <v>414</v>
      </c>
      <c r="I13" s="90">
        <v>414</v>
      </c>
      <c r="J13" s="90">
        <v>414</v>
      </c>
      <c r="K13" s="90">
        <v>414</v>
      </c>
      <c r="L13" s="90">
        <v>414</v>
      </c>
      <c r="M13" s="90">
        <v>414</v>
      </c>
      <c r="N13" s="90">
        <v>414</v>
      </c>
      <c r="O13" s="90">
        <v>414</v>
      </c>
      <c r="P13" s="90">
        <v>414</v>
      </c>
      <c r="Q13" s="90">
        <v>432</v>
      </c>
      <c r="R13" s="90">
        <v>432</v>
      </c>
      <c r="S13" s="90">
        <v>432</v>
      </c>
      <c r="T13" s="90">
        <v>432</v>
      </c>
      <c r="U13" s="90">
        <v>432</v>
      </c>
      <c r="V13" s="90">
        <v>432</v>
      </c>
      <c r="W13" s="90">
        <v>432</v>
      </c>
      <c r="X13" s="90">
        <v>432</v>
      </c>
      <c r="Y13" s="90">
        <v>432</v>
      </c>
      <c r="Z13" s="90">
        <v>432</v>
      </c>
      <c r="AA13" s="90">
        <v>432</v>
      </c>
      <c r="AB13" s="90">
        <v>432</v>
      </c>
      <c r="AC13" s="90">
        <v>432</v>
      </c>
      <c r="AD13" s="90">
        <v>432</v>
      </c>
      <c r="AE13" s="90">
        <v>432</v>
      </c>
      <c r="AF13" s="90">
        <v>432</v>
      </c>
    </row>
    <row r="14" spans="1:32" ht="15" customHeight="1">
      <c r="A14" s="64">
        <v>2625</v>
      </c>
      <c r="B14" s="2">
        <v>1.5</v>
      </c>
      <c r="C14" s="82"/>
      <c r="D14" s="64">
        <v>3</v>
      </c>
      <c r="E14" s="90">
        <v>409</v>
      </c>
      <c r="F14" s="90">
        <v>450</v>
      </c>
      <c r="G14" s="90">
        <v>450</v>
      </c>
      <c r="H14" s="90">
        <v>470</v>
      </c>
      <c r="I14" s="90">
        <v>470</v>
      </c>
      <c r="J14" s="90">
        <v>470</v>
      </c>
      <c r="K14" s="90">
        <v>470</v>
      </c>
      <c r="L14" s="90">
        <v>470</v>
      </c>
      <c r="M14" s="90">
        <v>470</v>
      </c>
      <c r="N14" s="90">
        <v>470</v>
      </c>
      <c r="O14" s="90">
        <v>470</v>
      </c>
      <c r="P14" s="90">
        <v>470</v>
      </c>
      <c r="Q14" s="90">
        <v>491</v>
      </c>
      <c r="R14" s="90">
        <v>491</v>
      </c>
      <c r="S14" s="90">
        <v>491</v>
      </c>
      <c r="T14" s="90">
        <v>491</v>
      </c>
      <c r="U14" s="90">
        <v>491</v>
      </c>
      <c r="V14" s="90">
        <v>491</v>
      </c>
      <c r="W14" s="90">
        <v>491</v>
      </c>
      <c r="X14" s="90">
        <v>491</v>
      </c>
      <c r="Y14" s="90">
        <v>491</v>
      </c>
      <c r="Z14" s="90">
        <v>491</v>
      </c>
      <c r="AA14" s="90">
        <v>491</v>
      </c>
      <c r="AB14" s="90">
        <v>491</v>
      </c>
      <c r="AC14" s="90">
        <v>491</v>
      </c>
      <c r="AD14" s="90">
        <v>491</v>
      </c>
      <c r="AE14" s="90">
        <v>491</v>
      </c>
      <c r="AF14" s="90">
        <v>491</v>
      </c>
    </row>
    <row r="15" spans="1:32" ht="15" customHeight="1">
      <c r="A15" s="64">
        <v>2800</v>
      </c>
      <c r="B15" s="64">
        <v>1.6</v>
      </c>
      <c r="C15" s="64">
        <v>4</v>
      </c>
      <c r="D15" s="64"/>
      <c r="E15" s="90">
        <v>449</v>
      </c>
      <c r="F15" s="90">
        <v>494</v>
      </c>
      <c r="G15" s="90">
        <v>494</v>
      </c>
      <c r="H15" s="90">
        <v>516</v>
      </c>
      <c r="I15" s="90">
        <v>516</v>
      </c>
      <c r="J15" s="90">
        <v>516</v>
      </c>
      <c r="K15" s="90">
        <v>516</v>
      </c>
      <c r="L15" s="90">
        <v>516</v>
      </c>
      <c r="M15" s="90">
        <v>516</v>
      </c>
      <c r="N15" s="90">
        <v>516</v>
      </c>
      <c r="O15" s="90">
        <v>516</v>
      </c>
      <c r="P15" s="90">
        <v>516</v>
      </c>
      <c r="Q15" s="90">
        <v>539</v>
      </c>
      <c r="R15" s="90">
        <v>539</v>
      </c>
      <c r="S15" s="90">
        <v>539</v>
      </c>
      <c r="T15" s="90">
        <v>539</v>
      </c>
      <c r="U15" s="90">
        <v>539</v>
      </c>
      <c r="V15" s="90">
        <v>539</v>
      </c>
      <c r="W15" s="90">
        <v>539</v>
      </c>
      <c r="X15" s="90">
        <v>539</v>
      </c>
      <c r="Y15" s="90">
        <v>539</v>
      </c>
      <c r="Z15" s="90">
        <v>539</v>
      </c>
      <c r="AA15" s="90">
        <v>539</v>
      </c>
      <c r="AB15" s="90">
        <v>539</v>
      </c>
      <c r="AC15" s="90">
        <v>539</v>
      </c>
      <c r="AD15" s="90">
        <v>539</v>
      </c>
      <c r="AE15" s="90">
        <v>539</v>
      </c>
      <c r="AF15" s="90">
        <v>539</v>
      </c>
    </row>
    <row r="16" spans="1:32" ht="15" customHeight="1">
      <c r="A16" s="64">
        <v>3500</v>
      </c>
      <c r="B16" s="64">
        <v>2</v>
      </c>
      <c r="C16" s="64">
        <v>5</v>
      </c>
      <c r="D16" s="64">
        <v>4</v>
      </c>
      <c r="E16" s="90">
        <v>522</v>
      </c>
      <c r="F16" s="90">
        <v>574</v>
      </c>
      <c r="G16" s="90">
        <v>574</v>
      </c>
      <c r="H16" s="90">
        <v>599</v>
      </c>
      <c r="I16" s="90">
        <v>599</v>
      </c>
      <c r="J16" s="90">
        <v>599</v>
      </c>
      <c r="K16" s="90">
        <v>599</v>
      </c>
      <c r="L16" s="90">
        <v>599</v>
      </c>
      <c r="M16" s="90">
        <v>599</v>
      </c>
      <c r="N16" s="90">
        <v>599</v>
      </c>
      <c r="O16" s="90">
        <v>599</v>
      </c>
      <c r="P16" s="90">
        <v>599</v>
      </c>
      <c r="Q16" s="90">
        <v>625</v>
      </c>
      <c r="R16" s="90">
        <v>625</v>
      </c>
      <c r="S16" s="90">
        <v>625</v>
      </c>
      <c r="T16" s="90">
        <v>625</v>
      </c>
      <c r="U16" s="90">
        <v>625</v>
      </c>
      <c r="V16" s="90">
        <v>625</v>
      </c>
      <c r="W16" s="90">
        <v>625</v>
      </c>
      <c r="X16" s="90">
        <v>625</v>
      </c>
      <c r="Y16" s="90">
        <v>625</v>
      </c>
      <c r="Z16" s="90">
        <v>625</v>
      </c>
      <c r="AA16" s="90">
        <v>625</v>
      </c>
      <c r="AB16" s="90">
        <v>625</v>
      </c>
      <c r="AC16" s="90">
        <v>625</v>
      </c>
      <c r="AD16" s="90">
        <v>625</v>
      </c>
      <c r="AE16" s="90">
        <v>625</v>
      </c>
      <c r="AF16" s="90">
        <v>625</v>
      </c>
    </row>
    <row r="17" spans="1:32" ht="15" customHeight="1">
      <c r="A17" s="122">
        <v>4200</v>
      </c>
      <c r="B17" s="122">
        <v>2.4</v>
      </c>
      <c r="C17" s="122">
        <v>6</v>
      </c>
      <c r="D17" s="122"/>
      <c r="E17" s="90">
        <v>550</v>
      </c>
      <c r="F17" s="90">
        <v>602</v>
      </c>
      <c r="G17" s="90">
        <v>601</v>
      </c>
      <c r="H17" s="90">
        <v>626</v>
      </c>
      <c r="I17" s="90">
        <v>627</v>
      </c>
      <c r="J17" s="90">
        <v>629</v>
      </c>
      <c r="K17" s="90">
        <v>627</v>
      </c>
      <c r="L17" s="90">
        <v>626</v>
      </c>
      <c r="M17" s="90">
        <v>630</v>
      </c>
      <c r="N17" s="90">
        <v>626</v>
      </c>
      <c r="O17" s="90">
        <v>626</v>
      </c>
      <c r="P17" s="90">
        <v>625</v>
      </c>
      <c r="Q17" s="90">
        <v>654</v>
      </c>
      <c r="R17" s="90">
        <v>654</v>
      </c>
      <c r="S17" s="90">
        <v>654</v>
      </c>
      <c r="T17" s="90">
        <v>655</v>
      </c>
      <c r="U17" s="90">
        <v>654</v>
      </c>
      <c r="V17" s="90">
        <v>654</v>
      </c>
      <c r="W17" s="90">
        <v>653</v>
      </c>
      <c r="X17" s="90">
        <v>655</v>
      </c>
      <c r="Y17" s="90">
        <v>653</v>
      </c>
      <c r="Z17" s="90">
        <v>652</v>
      </c>
      <c r="AA17" s="90">
        <v>652</v>
      </c>
      <c r="AB17" s="90">
        <v>652</v>
      </c>
      <c r="AC17" s="90">
        <v>652</v>
      </c>
      <c r="AD17" s="90">
        <v>650</v>
      </c>
      <c r="AE17" s="90">
        <v>653</v>
      </c>
      <c r="AF17" s="90">
        <v>648</v>
      </c>
    </row>
    <row r="18" spans="1:32" ht="15" customHeight="1">
      <c r="A18" s="122">
        <v>4375</v>
      </c>
      <c r="B18" s="122">
        <v>2.5</v>
      </c>
      <c r="C18" s="122"/>
      <c r="D18" s="122">
        <v>5</v>
      </c>
      <c r="E18" s="90">
        <v>578</v>
      </c>
      <c r="F18" s="90">
        <v>631</v>
      </c>
      <c r="G18" s="90">
        <v>629</v>
      </c>
      <c r="H18" s="90">
        <v>654</v>
      </c>
      <c r="I18" s="90">
        <v>656</v>
      </c>
      <c r="J18" s="90">
        <v>659</v>
      </c>
      <c r="K18" s="90">
        <v>656</v>
      </c>
      <c r="L18" s="90">
        <v>654</v>
      </c>
      <c r="M18" s="90">
        <v>661</v>
      </c>
      <c r="N18" s="90">
        <v>654</v>
      </c>
      <c r="O18" s="90">
        <v>654</v>
      </c>
      <c r="P18" s="90">
        <v>652</v>
      </c>
      <c r="Q18" s="90">
        <v>683</v>
      </c>
      <c r="R18" s="90">
        <v>683</v>
      </c>
      <c r="S18" s="90">
        <v>683</v>
      </c>
      <c r="T18" s="90">
        <v>685</v>
      </c>
      <c r="U18" s="90">
        <v>683</v>
      </c>
      <c r="V18" s="90">
        <v>683</v>
      </c>
      <c r="W18" s="90">
        <v>680</v>
      </c>
      <c r="X18" s="90">
        <v>685</v>
      </c>
      <c r="Y18" s="90">
        <v>680</v>
      </c>
      <c r="Z18" s="90">
        <v>678</v>
      </c>
      <c r="AA18" s="90">
        <v>678</v>
      </c>
      <c r="AB18" s="90">
        <v>678</v>
      </c>
      <c r="AC18" s="90">
        <v>678</v>
      </c>
      <c r="AD18" s="90">
        <v>676</v>
      </c>
      <c r="AE18" s="90">
        <v>680</v>
      </c>
      <c r="AF18" s="90">
        <v>671</v>
      </c>
    </row>
    <row r="19" spans="1:32" ht="15" customHeight="1">
      <c r="A19" s="122">
        <v>4900</v>
      </c>
      <c r="B19" s="122">
        <v>2.8</v>
      </c>
      <c r="C19" s="122">
        <v>7</v>
      </c>
      <c r="D19" s="122"/>
      <c r="E19" s="90">
        <v>607</v>
      </c>
      <c r="F19" s="90">
        <v>660</v>
      </c>
      <c r="G19" s="90">
        <v>656</v>
      </c>
      <c r="H19" s="90">
        <v>682</v>
      </c>
      <c r="I19" s="90">
        <v>685</v>
      </c>
      <c r="J19" s="90">
        <v>688</v>
      </c>
      <c r="K19" s="90">
        <v>685</v>
      </c>
      <c r="L19" s="90">
        <v>682</v>
      </c>
      <c r="M19" s="90">
        <v>691</v>
      </c>
      <c r="N19" s="90">
        <v>682</v>
      </c>
      <c r="O19" s="90">
        <v>682</v>
      </c>
      <c r="P19" s="90">
        <v>678</v>
      </c>
      <c r="Q19" s="90">
        <v>711</v>
      </c>
      <c r="R19" s="90">
        <v>711</v>
      </c>
      <c r="S19" s="90">
        <v>711</v>
      </c>
      <c r="T19" s="90">
        <v>714</v>
      </c>
      <c r="U19" s="90">
        <v>711</v>
      </c>
      <c r="V19" s="90">
        <v>711</v>
      </c>
      <c r="W19" s="90">
        <v>708</v>
      </c>
      <c r="X19" s="90">
        <v>714</v>
      </c>
      <c r="Y19" s="90">
        <v>708</v>
      </c>
      <c r="Z19" s="90">
        <v>704</v>
      </c>
      <c r="AA19" s="90">
        <v>704</v>
      </c>
      <c r="AB19" s="90">
        <v>704</v>
      </c>
      <c r="AC19" s="90">
        <v>704</v>
      </c>
      <c r="AD19" s="90">
        <v>701</v>
      </c>
      <c r="AE19" s="90">
        <v>708</v>
      </c>
      <c r="AF19" s="90">
        <v>694</v>
      </c>
    </row>
    <row r="20" spans="1:32" ht="15" customHeight="1">
      <c r="A20" s="122">
        <v>5250</v>
      </c>
      <c r="B20" s="122">
        <v>3</v>
      </c>
      <c r="C20" s="122"/>
      <c r="D20" s="122">
        <v>6</v>
      </c>
      <c r="E20" s="90">
        <v>636</v>
      </c>
      <c r="F20" s="90">
        <v>688</v>
      </c>
      <c r="G20" s="90">
        <v>684</v>
      </c>
      <c r="H20" s="90">
        <v>709</v>
      </c>
      <c r="I20" s="90">
        <v>713</v>
      </c>
      <c r="J20" s="90">
        <v>717</v>
      </c>
      <c r="K20" s="90">
        <v>713</v>
      </c>
      <c r="L20" s="90">
        <v>709</v>
      </c>
      <c r="M20" s="90">
        <v>722</v>
      </c>
      <c r="N20" s="90">
        <v>709</v>
      </c>
      <c r="O20" s="90">
        <v>709</v>
      </c>
      <c r="P20" s="90">
        <v>704</v>
      </c>
      <c r="Q20" s="90">
        <v>739</v>
      </c>
      <c r="R20" s="90">
        <v>739</v>
      </c>
      <c r="S20" s="90">
        <v>739</v>
      </c>
      <c r="T20" s="90">
        <v>743</v>
      </c>
      <c r="U20" s="90">
        <v>739</v>
      </c>
      <c r="V20" s="90">
        <v>739</v>
      </c>
      <c r="W20" s="90">
        <v>735</v>
      </c>
      <c r="X20" s="90">
        <v>743</v>
      </c>
      <c r="Y20" s="90">
        <v>735</v>
      </c>
      <c r="Z20" s="90">
        <v>731</v>
      </c>
      <c r="AA20" s="90">
        <v>731</v>
      </c>
      <c r="AB20" s="90">
        <v>731</v>
      </c>
      <c r="AC20" s="90">
        <v>731</v>
      </c>
      <c r="AD20" s="90">
        <v>726</v>
      </c>
      <c r="AE20" s="90">
        <v>735</v>
      </c>
      <c r="AF20" s="90">
        <v>717</v>
      </c>
    </row>
    <row r="21" spans="1:32" ht="15" customHeight="1">
      <c r="A21" s="122">
        <v>5600</v>
      </c>
      <c r="B21" s="122">
        <v>3.2</v>
      </c>
      <c r="C21" s="122">
        <v>8</v>
      </c>
      <c r="D21" s="122"/>
      <c r="E21" s="90">
        <v>664</v>
      </c>
      <c r="F21" s="90">
        <v>716</v>
      </c>
      <c r="G21" s="90">
        <v>711</v>
      </c>
      <c r="H21" s="90">
        <v>736</v>
      </c>
      <c r="I21" s="90">
        <v>741</v>
      </c>
      <c r="J21" s="90">
        <v>747</v>
      </c>
      <c r="K21" s="90">
        <v>741</v>
      </c>
      <c r="L21" s="90">
        <v>736</v>
      </c>
      <c r="M21" s="90">
        <v>752</v>
      </c>
      <c r="N21" s="90">
        <v>736</v>
      </c>
      <c r="O21" s="90">
        <v>736</v>
      </c>
      <c r="P21" s="90">
        <v>731</v>
      </c>
      <c r="Q21" s="90">
        <v>768</v>
      </c>
      <c r="R21" s="90">
        <v>768</v>
      </c>
      <c r="S21" s="90">
        <v>768</v>
      </c>
      <c r="T21" s="90">
        <v>773</v>
      </c>
      <c r="U21" s="90">
        <v>768</v>
      </c>
      <c r="V21" s="90">
        <v>768</v>
      </c>
      <c r="W21" s="90">
        <v>762</v>
      </c>
      <c r="X21" s="90">
        <v>773</v>
      </c>
      <c r="Y21" s="90">
        <v>762</v>
      </c>
      <c r="Z21" s="90">
        <v>757</v>
      </c>
      <c r="AA21" s="90">
        <v>757</v>
      </c>
      <c r="AB21" s="90">
        <v>757</v>
      </c>
      <c r="AC21" s="90">
        <v>757</v>
      </c>
      <c r="AD21" s="90">
        <v>751</v>
      </c>
      <c r="AE21" s="90">
        <v>762</v>
      </c>
      <c r="AF21" s="90">
        <v>740</v>
      </c>
    </row>
    <row r="22" spans="1:32" ht="15" customHeight="1">
      <c r="A22" s="122">
        <v>6125</v>
      </c>
      <c r="B22" s="122">
        <v>3.5</v>
      </c>
      <c r="C22" s="122"/>
      <c r="D22" s="122">
        <v>7</v>
      </c>
      <c r="E22" s="90">
        <v>692</v>
      </c>
      <c r="F22" s="90">
        <v>745</v>
      </c>
      <c r="G22" s="90">
        <v>738</v>
      </c>
      <c r="H22" s="90">
        <v>763</v>
      </c>
      <c r="I22" s="90">
        <v>770</v>
      </c>
      <c r="J22" s="90">
        <v>776</v>
      </c>
      <c r="K22" s="90">
        <v>770</v>
      </c>
      <c r="L22" s="90">
        <v>763</v>
      </c>
      <c r="M22" s="90">
        <v>783</v>
      </c>
      <c r="N22" s="90">
        <v>763</v>
      </c>
      <c r="O22" s="90">
        <v>763</v>
      </c>
      <c r="P22" s="90">
        <v>757</v>
      </c>
      <c r="Q22" s="90">
        <v>796</v>
      </c>
      <c r="R22" s="90">
        <v>796</v>
      </c>
      <c r="S22" s="90">
        <v>796</v>
      </c>
      <c r="T22" s="90">
        <v>803</v>
      </c>
      <c r="U22" s="90">
        <v>796</v>
      </c>
      <c r="V22" s="90">
        <v>796</v>
      </c>
      <c r="W22" s="90">
        <v>789</v>
      </c>
      <c r="X22" s="90">
        <v>803</v>
      </c>
      <c r="Y22" s="90">
        <v>789</v>
      </c>
      <c r="Z22" s="90">
        <v>783</v>
      </c>
      <c r="AA22" s="90">
        <v>783</v>
      </c>
      <c r="AB22" s="90">
        <v>783</v>
      </c>
      <c r="AC22" s="90">
        <v>783</v>
      </c>
      <c r="AD22" s="90">
        <v>776</v>
      </c>
      <c r="AE22" s="90">
        <v>789</v>
      </c>
      <c r="AF22" s="90">
        <v>763</v>
      </c>
    </row>
    <row r="23" spans="1:32" ht="15" customHeight="1">
      <c r="A23" s="122">
        <v>6300</v>
      </c>
      <c r="B23" s="122">
        <v>3.6</v>
      </c>
      <c r="C23" s="122">
        <v>9</v>
      </c>
      <c r="D23" s="122"/>
      <c r="E23" s="90">
        <v>721</v>
      </c>
      <c r="F23" s="90">
        <v>773</v>
      </c>
      <c r="G23" s="90">
        <v>765</v>
      </c>
      <c r="H23" s="90">
        <v>791</v>
      </c>
      <c r="I23" s="90">
        <v>798</v>
      </c>
      <c r="J23" s="90">
        <v>806</v>
      </c>
      <c r="K23" s="90">
        <v>798</v>
      </c>
      <c r="L23" s="90">
        <v>791</v>
      </c>
      <c r="M23" s="90">
        <v>814</v>
      </c>
      <c r="N23" s="90">
        <v>791</v>
      </c>
      <c r="O23" s="90">
        <v>791</v>
      </c>
      <c r="P23" s="90">
        <v>783</v>
      </c>
      <c r="Q23" s="90">
        <v>824</v>
      </c>
      <c r="R23" s="90">
        <v>824</v>
      </c>
      <c r="S23" s="90">
        <v>824</v>
      </c>
      <c r="T23" s="90">
        <v>832</v>
      </c>
      <c r="U23" s="90">
        <v>824</v>
      </c>
      <c r="V23" s="90">
        <v>824</v>
      </c>
      <c r="W23" s="90">
        <v>817</v>
      </c>
      <c r="X23" s="90">
        <v>832</v>
      </c>
      <c r="Y23" s="90">
        <v>817</v>
      </c>
      <c r="Z23" s="90">
        <v>809</v>
      </c>
      <c r="AA23" s="90">
        <v>809</v>
      </c>
      <c r="AB23" s="90">
        <v>809</v>
      </c>
      <c r="AC23" s="90">
        <v>809</v>
      </c>
      <c r="AD23" s="90">
        <v>801</v>
      </c>
      <c r="AE23" s="90">
        <v>817</v>
      </c>
      <c r="AF23" s="90">
        <v>786</v>
      </c>
    </row>
    <row r="24" spans="1:32" ht="15" customHeight="1">
      <c r="A24" s="122">
        <v>7000</v>
      </c>
      <c r="B24" s="122">
        <v>4</v>
      </c>
      <c r="C24" s="122">
        <v>10</v>
      </c>
      <c r="D24" s="122">
        <v>8</v>
      </c>
      <c r="E24" s="90">
        <v>749</v>
      </c>
      <c r="F24" s="90">
        <v>801</v>
      </c>
      <c r="G24" s="90">
        <v>793</v>
      </c>
      <c r="H24" s="90">
        <v>818</v>
      </c>
      <c r="I24" s="90">
        <v>827</v>
      </c>
      <c r="J24" s="90">
        <v>835</v>
      </c>
      <c r="K24" s="90">
        <v>827</v>
      </c>
      <c r="L24" s="90">
        <v>818</v>
      </c>
      <c r="M24" s="90">
        <v>844</v>
      </c>
      <c r="N24" s="90">
        <v>818</v>
      </c>
      <c r="O24" s="90">
        <v>818</v>
      </c>
      <c r="P24" s="90">
        <v>809</v>
      </c>
      <c r="Q24" s="90">
        <v>853</v>
      </c>
      <c r="R24" s="90">
        <v>853</v>
      </c>
      <c r="S24" s="90">
        <v>853</v>
      </c>
      <c r="T24" s="90">
        <v>862</v>
      </c>
      <c r="U24" s="90">
        <v>853</v>
      </c>
      <c r="V24" s="90">
        <v>853</v>
      </c>
      <c r="W24" s="90">
        <v>844</v>
      </c>
      <c r="X24" s="90">
        <v>862</v>
      </c>
      <c r="Y24" s="90">
        <v>844</v>
      </c>
      <c r="Z24" s="90">
        <v>835</v>
      </c>
      <c r="AA24" s="90">
        <v>835</v>
      </c>
      <c r="AB24" s="90">
        <v>835</v>
      </c>
      <c r="AC24" s="90">
        <v>835</v>
      </c>
      <c r="AD24" s="90">
        <v>827</v>
      </c>
      <c r="AE24" s="90">
        <v>844</v>
      </c>
      <c r="AF24" s="90">
        <v>809</v>
      </c>
    </row>
    <row r="25" spans="1:32" ht="15" customHeight="1">
      <c r="A25" s="3"/>
      <c r="B25" s="3"/>
      <c r="C25" s="3"/>
      <c r="D25" s="3"/>
    </row>
    <row r="26" spans="1:32" ht="15" customHeight="1">
      <c r="A26" s="4" t="s">
        <v>24</v>
      </c>
      <c r="B26" s="3"/>
      <c r="C26" s="3"/>
      <c r="D26" s="3"/>
    </row>
    <row r="27" spans="1:32" ht="15" customHeight="1">
      <c r="A27" s="3"/>
      <c r="B27" s="3"/>
      <c r="C27" s="3"/>
      <c r="D27" s="3"/>
    </row>
    <row r="28" spans="1:32" ht="15" customHeight="1">
      <c r="A28" s="6" t="s">
        <v>25</v>
      </c>
      <c r="B28" s="40"/>
      <c r="C28" s="42" t="s">
        <v>26</v>
      </c>
      <c r="D28" s="43"/>
      <c r="E28" s="6"/>
      <c r="F28" s="40"/>
      <c r="G28" s="40" t="s">
        <v>27</v>
      </c>
      <c r="H28" s="40"/>
      <c r="I28" s="40"/>
      <c r="J28" s="40"/>
      <c r="K28" s="40"/>
      <c r="L28" s="40"/>
      <c r="M28" s="40"/>
      <c r="N28" s="40"/>
      <c r="O28" s="40"/>
      <c r="P28" s="40"/>
      <c r="Q28" s="40"/>
      <c r="R28" s="40"/>
      <c r="S28" s="40"/>
      <c r="T28" s="40" t="s">
        <v>27</v>
      </c>
      <c r="U28" s="40" t="s">
        <v>27</v>
      </c>
      <c r="V28" s="40"/>
      <c r="W28" s="40"/>
      <c r="X28" s="40"/>
      <c r="Y28" s="40"/>
      <c r="Z28" s="40"/>
      <c r="AA28" s="40"/>
      <c r="AB28" s="40"/>
      <c r="AC28" s="40"/>
      <c r="AD28" s="40"/>
      <c r="AE28" s="40"/>
      <c r="AF28" s="27"/>
    </row>
    <row r="29" spans="1:32" ht="15" customHeight="1">
      <c r="A29" s="222" t="s">
        <v>28</v>
      </c>
      <c r="B29" s="223"/>
      <c r="C29" s="6" t="s">
        <v>39</v>
      </c>
      <c r="D29" s="73"/>
      <c r="E29" s="97" t="s">
        <v>208</v>
      </c>
      <c r="F29" s="97" t="s">
        <v>208</v>
      </c>
      <c r="G29" s="97" t="s">
        <v>208</v>
      </c>
      <c r="H29" s="97" t="s">
        <v>208</v>
      </c>
      <c r="I29" s="97" t="s">
        <v>208</v>
      </c>
      <c r="J29" s="97" t="s">
        <v>208</v>
      </c>
      <c r="K29" s="97" t="s">
        <v>208</v>
      </c>
      <c r="L29" s="97" t="s">
        <v>208</v>
      </c>
      <c r="M29" s="97" t="s">
        <v>208</v>
      </c>
      <c r="N29" s="97" t="s">
        <v>208</v>
      </c>
      <c r="O29" s="97" t="s">
        <v>208</v>
      </c>
      <c r="P29" s="97" t="s">
        <v>208</v>
      </c>
      <c r="Q29" s="97" t="s">
        <v>208</v>
      </c>
      <c r="R29" s="97" t="s">
        <v>208</v>
      </c>
      <c r="S29" s="97" t="s">
        <v>208</v>
      </c>
      <c r="T29" s="97" t="s">
        <v>208</v>
      </c>
      <c r="U29" s="97" t="s">
        <v>208</v>
      </c>
      <c r="V29" s="97" t="s">
        <v>208</v>
      </c>
      <c r="W29" s="97" t="s">
        <v>208</v>
      </c>
      <c r="X29" s="97" t="s">
        <v>208</v>
      </c>
      <c r="Y29" s="97" t="s">
        <v>208</v>
      </c>
      <c r="Z29" s="97" t="s">
        <v>208</v>
      </c>
      <c r="AA29" s="97" t="s">
        <v>208</v>
      </c>
      <c r="AB29" s="97" t="s">
        <v>208</v>
      </c>
      <c r="AC29" s="97" t="s">
        <v>208</v>
      </c>
      <c r="AD29" s="97" t="s">
        <v>208</v>
      </c>
      <c r="AE29" s="97" t="s">
        <v>208</v>
      </c>
      <c r="AF29" s="97" t="s">
        <v>208</v>
      </c>
    </row>
    <row r="30" spans="1:32" ht="15" customHeight="1">
      <c r="A30" s="222" t="s">
        <v>32</v>
      </c>
      <c r="B30" s="223"/>
      <c r="C30" s="6" t="s">
        <v>42</v>
      </c>
      <c r="D30" s="73"/>
      <c r="E30" s="97" t="s">
        <v>43</v>
      </c>
      <c r="F30" s="97" t="s">
        <v>43</v>
      </c>
      <c r="G30" s="97" t="s">
        <v>43</v>
      </c>
      <c r="H30" s="97" t="s">
        <v>43</v>
      </c>
      <c r="I30" s="97" t="s">
        <v>43</v>
      </c>
      <c r="J30" s="97" t="s">
        <v>43</v>
      </c>
      <c r="K30" s="97" t="s">
        <v>43</v>
      </c>
      <c r="L30" s="97" t="s">
        <v>43</v>
      </c>
      <c r="M30" s="97" t="s">
        <v>43</v>
      </c>
      <c r="N30" s="97" t="s">
        <v>43</v>
      </c>
      <c r="O30" s="97" t="s">
        <v>43</v>
      </c>
      <c r="P30" s="97" t="s">
        <v>43</v>
      </c>
      <c r="Q30" s="97" t="s">
        <v>43</v>
      </c>
      <c r="R30" s="97" t="s">
        <v>43</v>
      </c>
      <c r="S30" s="97" t="s">
        <v>43</v>
      </c>
      <c r="T30" s="97" t="s">
        <v>43</v>
      </c>
      <c r="U30" s="97" t="s">
        <v>43</v>
      </c>
      <c r="V30" s="97" t="s">
        <v>43</v>
      </c>
      <c r="W30" s="97" t="s">
        <v>43</v>
      </c>
      <c r="X30" s="97" t="s">
        <v>43</v>
      </c>
      <c r="Y30" s="97" t="s">
        <v>43</v>
      </c>
      <c r="Z30" s="97" t="s">
        <v>43</v>
      </c>
      <c r="AA30" s="97" t="s">
        <v>43</v>
      </c>
      <c r="AB30" s="97" t="s">
        <v>43</v>
      </c>
      <c r="AC30" s="97" t="s">
        <v>43</v>
      </c>
      <c r="AD30" s="97" t="s">
        <v>43</v>
      </c>
      <c r="AE30" s="97" t="s">
        <v>43</v>
      </c>
      <c r="AF30" s="97" t="s">
        <v>43</v>
      </c>
    </row>
    <row r="31" spans="1:32" ht="15" customHeight="1">
      <c r="A31" s="227" t="s">
        <v>33</v>
      </c>
      <c r="B31" s="228"/>
      <c r="C31" s="6" t="s">
        <v>42</v>
      </c>
      <c r="D31" s="76"/>
      <c r="E31" s="97" t="s">
        <v>30</v>
      </c>
      <c r="F31" s="97" t="s">
        <v>30</v>
      </c>
      <c r="G31" s="97" t="s">
        <v>30</v>
      </c>
      <c r="H31" s="97" t="s">
        <v>30</v>
      </c>
      <c r="I31" s="97" t="s">
        <v>30</v>
      </c>
      <c r="J31" s="97" t="s">
        <v>30</v>
      </c>
      <c r="K31" s="97" t="s">
        <v>30</v>
      </c>
      <c r="L31" s="97" t="s">
        <v>30</v>
      </c>
      <c r="M31" s="97" t="s">
        <v>30</v>
      </c>
      <c r="N31" s="97" t="s">
        <v>30</v>
      </c>
      <c r="O31" s="97" t="s">
        <v>30</v>
      </c>
      <c r="P31" s="97" t="s">
        <v>30</v>
      </c>
      <c r="Q31" s="97" t="s">
        <v>30</v>
      </c>
      <c r="R31" s="97" t="s">
        <v>30</v>
      </c>
      <c r="S31" s="97" t="s">
        <v>30</v>
      </c>
      <c r="T31" s="97" t="s">
        <v>30</v>
      </c>
      <c r="U31" s="97" t="s">
        <v>30</v>
      </c>
      <c r="V31" s="97" t="s">
        <v>30</v>
      </c>
      <c r="W31" s="97" t="s">
        <v>30</v>
      </c>
      <c r="X31" s="97" t="s">
        <v>30</v>
      </c>
      <c r="Y31" s="97" t="s">
        <v>30</v>
      </c>
      <c r="Z31" s="97" t="s">
        <v>30</v>
      </c>
      <c r="AA31" s="97" t="s">
        <v>30</v>
      </c>
      <c r="AB31" s="97" t="s">
        <v>30</v>
      </c>
      <c r="AC31" s="97" t="s">
        <v>30</v>
      </c>
      <c r="AD31" s="97" t="s">
        <v>30</v>
      </c>
      <c r="AE31" s="97" t="s">
        <v>30</v>
      </c>
      <c r="AF31" s="97" t="s">
        <v>30</v>
      </c>
    </row>
    <row r="33" spans="1:1">
      <c r="A33" s="89"/>
    </row>
    <row r="34" spans="1:1">
      <c r="A34" s="26"/>
    </row>
    <row r="35" spans="1:1">
      <c r="A35" s="26"/>
    </row>
  </sheetData>
  <mergeCells count="3">
    <mergeCell ref="A29:B29"/>
    <mergeCell ref="A30:B30"/>
    <mergeCell ref="A31:B31"/>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E586E-BE91-468D-AE27-9A29CD90F8B5}">
  <dimension ref="A1:CZ35"/>
  <sheetViews>
    <sheetView showGridLines="0" workbookViewId="0">
      <pane xSplit="4" ySplit="6" topLeftCell="E7" activePane="bottomRight" state="frozen"/>
      <selection pane="bottomRight" activeCell="E7" sqref="E7"/>
      <selection pane="bottomLeft" activeCell="E7" sqref="E7"/>
      <selection pane="topRight" activeCell="E7" sqref="E7"/>
    </sheetView>
  </sheetViews>
  <sheetFormatPr defaultRowHeight="15"/>
  <cols>
    <col min="1" max="4" width="11.7109375" style="1" customWidth="1"/>
    <col min="5" max="5" width="10.5703125" style="3" customWidth="1"/>
    <col min="6" max="340" width="10.5703125" customWidth="1"/>
  </cols>
  <sheetData>
    <row r="1" spans="1:104" ht="15" customHeight="1"/>
    <row r="2" spans="1:104" ht="15" customHeight="1">
      <c r="A2" s="9"/>
      <c r="B2" s="7"/>
      <c r="C2" s="7"/>
      <c r="D2" s="7"/>
      <c r="E2" s="7"/>
    </row>
    <row r="3" spans="1:104" ht="20.45" customHeight="1">
      <c r="A3" s="9" t="str">
        <f>Voorblad!A5</f>
        <v>Team Freight Forwarding Logistics</v>
      </c>
      <c r="B3" s="8"/>
      <c r="C3" s="8"/>
      <c r="D3" s="8"/>
      <c r="E3" s="48"/>
    </row>
    <row r="4" spans="1:104" s="51" customFormat="1" ht="15.75">
      <c r="A4" s="62" t="s">
        <v>209</v>
      </c>
      <c r="B4" s="49"/>
      <c r="C4" s="50"/>
      <c r="D4" s="50"/>
      <c r="E4" s="50"/>
    </row>
    <row r="5" spans="1:104" ht="15" customHeight="1">
      <c r="A5" s="7"/>
      <c r="B5" s="7"/>
      <c r="C5" s="7"/>
      <c r="D5" s="7"/>
      <c r="E5" s="26"/>
    </row>
    <row r="6" spans="1:104" ht="15" customHeight="1">
      <c r="A6" s="63" t="s">
        <v>20</v>
      </c>
      <c r="B6" s="63" t="s">
        <v>21</v>
      </c>
      <c r="C6" s="64" t="s">
        <v>22</v>
      </c>
      <c r="D6" s="64" t="s">
        <v>23</v>
      </c>
      <c r="E6" s="93" t="s">
        <v>62</v>
      </c>
      <c r="F6" s="110">
        <v>1</v>
      </c>
      <c r="G6" s="110">
        <v>2</v>
      </c>
      <c r="H6" s="110">
        <v>3</v>
      </c>
      <c r="I6" s="110">
        <v>4</v>
      </c>
      <c r="J6" s="110">
        <v>5</v>
      </c>
      <c r="K6" s="110">
        <v>6</v>
      </c>
      <c r="L6" s="110">
        <v>7</v>
      </c>
      <c r="M6" s="110">
        <v>8</v>
      </c>
      <c r="N6" s="110">
        <v>9</v>
      </c>
      <c r="O6" s="2">
        <v>10</v>
      </c>
      <c r="P6" s="2">
        <v>11</v>
      </c>
      <c r="Q6" s="2">
        <v>12</v>
      </c>
      <c r="R6" s="2">
        <v>13</v>
      </c>
      <c r="S6" s="2">
        <v>14</v>
      </c>
      <c r="T6" s="2">
        <v>15</v>
      </c>
      <c r="U6" s="2">
        <v>16</v>
      </c>
      <c r="V6" s="2">
        <v>17</v>
      </c>
      <c r="W6" s="2">
        <v>18</v>
      </c>
      <c r="X6" s="2">
        <v>19</v>
      </c>
      <c r="Y6" s="2">
        <v>20</v>
      </c>
      <c r="Z6" s="2">
        <v>21</v>
      </c>
      <c r="AA6" s="2">
        <v>22</v>
      </c>
      <c r="AB6" s="2">
        <v>23</v>
      </c>
      <c r="AC6" s="2">
        <v>24</v>
      </c>
      <c r="AD6" s="2">
        <v>25</v>
      </c>
      <c r="AE6" s="2">
        <v>26</v>
      </c>
      <c r="AF6" s="2">
        <v>27</v>
      </c>
      <c r="AG6" s="2">
        <v>28</v>
      </c>
      <c r="AH6" s="2">
        <v>29</v>
      </c>
      <c r="AI6" s="2">
        <v>30</v>
      </c>
      <c r="AJ6" s="2">
        <v>31</v>
      </c>
      <c r="AK6" s="2">
        <v>32</v>
      </c>
      <c r="AL6" s="2">
        <v>33</v>
      </c>
      <c r="AM6" s="2">
        <v>34</v>
      </c>
      <c r="AN6" s="2">
        <v>35</v>
      </c>
      <c r="AO6" s="2">
        <v>36</v>
      </c>
      <c r="AP6" s="2">
        <v>37</v>
      </c>
      <c r="AQ6" s="2">
        <v>38</v>
      </c>
      <c r="AR6" s="2">
        <v>39</v>
      </c>
      <c r="AS6" s="2">
        <v>40</v>
      </c>
      <c r="AT6" s="2">
        <v>41</v>
      </c>
      <c r="AU6" s="2">
        <v>42</v>
      </c>
      <c r="AV6" s="2">
        <v>43</v>
      </c>
      <c r="AW6" s="2">
        <v>44</v>
      </c>
      <c r="AX6" s="2">
        <v>45</v>
      </c>
      <c r="AY6" s="2">
        <v>46</v>
      </c>
      <c r="AZ6" s="2">
        <v>47</v>
      </c>
      <c r="BA6" s="2">
        <v>48</v>
      </c>
      <c r="BB6" s="2">
        <v>49</v>
      </c>
      <c r="BC6" s="2">
        <v>50</v>
      </c>
      <c r="BD6" s="2">
        <v>51</v>
      </c>
      <c r="BE6" s="2">
        <v>52</v>
      </c>
      <c r="BF6" s="2">
        <v>53</v>
      </c>
      <c r="BG6" s="2">
        <v>54</v>
      </c>
      <c r="BH6" s="2">
        <v>55</v>
      </c>
      <c r="BI6" s="2">
        <v>56</v>
      </c>
      <c r="BJ6" s="2">
        <v>57</v>
      </c>
      <c r="BK6" s="2">
        <v>58</v>
      </c>
      <c r="BL6" s="2">
        <v>59</v>
      </c>
      <c r="BM6" s="2">
        <v>60</v>
      </c>
      <c r="BN6" s="2">
        <v>61</v>
      </c>
      <c r="BO6" s="2">
        <v>62</v>
      </c>
      <c r="BP6" s="2">
        <v>63</v>
      </c>
      <c r="BQ6" s="2">
        <v>64</v>
      </c>
      <c r="BR6" s="2">
        <v>65</v>
      </c>
      <c r="BS6" s="2">
        <v>66</v>
      </c>
      <c r="BT6" s="2">
        <v>67</v>
      </c>
      <c r="BU6" s="2">
        <v>68</v>
      </c>
      <c r="BV6" s="2">
        <v>69</v>
      </c>
      <c r="BW6" s="2">
        <v>70</v>
      </c>
      <c r="BX6" s="2">
        <v>71</v>
      </c>
      <c r="BY6" s="2">
        <v>72</v>
      </c>
      <c r="BZ6" s="2">
        <v>73</v>
      </c>
      <c r="CA6" s="2">
        <v>74</v>
      </c>
      <c r="CB6" s="2">
        <v>75</v>
      </c>
      <c r="CC6" s="2">
        <v>76</v>
      </c>
      <c r="CD6" s="2">
        <v>77</v>
      </c>
      <c r="CE6" s="2">
        <v>78</v>
      </c>
      <c r="CF6" s="2">
        <v>79</v>
      </c>
      <c r="CG6" s="2">
        <v>80</v>
      </c>
      <c r="CH6" s="2">
        <v>81</v>
      </c>
      <c r="CI6" s="2">
        <v>82</v>
      </c>
      <c r="CJ6" s="2">
        <v>83</v>
      </c>
      <c r="CK6" s="2">
        <v>84</v>
      </c>
      <c r="CL6" s="2">
        <v>85</v>
      </c>
      <c r="CM6" s="2">
        <v>86</v>
      </c>
      <c r="CN6" s="2">
        <v>87</v>
      </c>
      <c r="CO6" s="2">
        <v>88</v>
      </c>
      <c r="CP6" s="2">
        <v>89</v>
      </c>
      <c r="CQ6" s="2">
        <v>90</v>
      </c>
      <c r="CR6" s="2">
        <v>91</v>
      </c>
      <c r="CS6" s="2">
        <v>92</v>
      </c>
      <c r="CT6" s="2">
        <v>93</v>
      </c>
      <c r="CU6" s="2">
        <v>94</v>
      </c>
      <c r="CV6" s="2">
        <v>95</v>
      </c>
      <c r="CW6" s="2">
        <v>96</v>
      </c>
      <c r="CX6" s="2">
        <v>97</v>
      </c>
      <c r="CY6" s="2">
        <v>98</v>
      </c>
      <c r="CZ6" s="2">
        <v>99</v>
      </c>
    </row>
    <row r="7" spans="1:104" ht="15" customHeight="1">
      <c r="A7" s="64">
        <v>300</v>
      </c>
      <c r="B7" s="64">
        <v>0.2</v>
      </c>
      <c r="C7" s="64">
        <v>0.5</v>
      </c>
      <c r="D7" s="64"/>
      <c r="E7" s="90">
        <v>243</v>
      </c>
      <c r="F7" s="90">
        <v>243</v>
      </c>
      <c r="G7" s="90">
        <v>243</v>
      </c>
      <c r="H7" s="90">
        <v>243</v>
      </c>
      <c r="I7" s="90">
        <v>243</v>
      </c>
      <c r="J7" s="90">
        <v>243</v>
      </c>
      <c r="K7" s="90">
        <v>243</v>
      </c>
      <c r="L7" s="90">
        <v>243</v>
      </c>
      <c r="M7" s="90">
        <v>243</v>
      </c>
      <c r="N7" s="90">
        <v>243</v>
      </c>
      <c r="O7" s="90">
        <v>243</v>
      </c>
      <c r="P7" s="90">
        <v>243</v>
      </c>
      <c r="Q7" s="90">
        <v>243</v>
      </c>
      <c r="R7" s="90">
        <v>243</v>
      </c>
      <c r="S7" s="90">
        <v>243</v>
      </c>
      <c r="T7" s="90">
        <v>243</v>
      </c>
      <c r="U7" s="90">
        <v>243</v>
      </c>
      <c r="V7" s="90">
        <v>243</v>
      </c>
      <c r="W7" s="90">
        <v>243</v>
      </c>
      <c r="X7" s="90">
        <v>243</v>
      </c>
      <c r="Y7" s="90">
        <v>243</v>
      </c>
      <c r="Z7" s="90">
        <v>243</v>
      </c>
      <c r="AA7" s="90">
        <v>300</v>
      </c>
      <c r="AB7" s="90">
        <v>300</v>
      </c>
      <c r="AC7" s="90">
        <v>300</v>
      </c>
      <c r="AD7" s="90">
        <v>300</v>
      </c>
      <c r="AE7" s="90">
        <v>300</v>
      </c>
      <c r="AF7" s="90">
        <v>300</v>
      </c>
      <c r="AG7" s="90">
        <v>300</v>
      </c>
      <c r="AH7" s="90">
        <v>300</v>
      </c>
      <c r="AI7" s="90">
        <v>276</v>
      </c>
      <c r="AJ7" s="90">
        <v>276</v>
      </c>
      <c r="AK7" s="90">
        <v>276</v>
      </c>
      <c r="AL7" s="90">
        <v>276</v>
      </c>
      <c r="AM7" s="90">
        <v>276</v>
      </c>
      <c r="AN7" s="90">
        <v>303</v>
      </c>
      <c r="AO7" s="90">
        <v>303</v>
      </c>
      <c r="AP7" s="90">
        <v>303</v>
      </c>
      <c r="AQ7" s="90">
        <v>303</v>
      </c>
      <c r="AR7" s="90">
        <v>303</v>
      </c>
      <c r="AS7" s="90">
        <v>303</v>
      </c>
      <c r="AT7" s="90">
        <v>303</v>
      </c>
      <c r="AU7" s="90">
        <v>303</v>
      </c>
      <c r="AV7" s="90">
        <v>303</v>
      </c>
      <c r="AW7" s="90">
        <v>303</v>
      </c>
      <c r="AX7" s="90">
        <v>303</v>
      </c>
      <c r="AY7" s="90">
        <v>303</v>
      </c>
      <c r="AZ7" s="90">
        <v>303</v>
      </c>
      <c r="BA7" s="90">
        <v>303</v>
      </c>
      <c r="BB7" s="90">
        <v>303</v>
      </c>
      <c r="BC7" s="90">
        <v>306</v>
      </c>
      <c r="BD7" s="90">
        <v>306</v>
      </c>
      <c r="BE7" s="90">
        <v>306</v>
      </c>
      <c r="BF7" s="90">
        <v>306</v>
      </c>
      <c r="BG7" s="90">
        <v>306</v>
      </c>
      <c r="BH7" s="90">
        <v>306</v>
      </c>
      <c r="BI7" s="90">
        <v>306</v>
      </c>
      <c r="BJ7" s="90">
        <v>306</v>
      </c>
      <c r="BK7" s="90">
        <v>306</v>
      </c>
      <c r="BL7" s="90">
        <v>306</v>
      </c>
      <c r="BM7" s="90">
        <v>306</v>
      </c>
      <c r="BN7" s="90">
        <v>306</v>
      </c>
      <c r="BO7" s="90">
        <v>306</v>
      </c>
      <c r="BP7" s="90">
        <v>306</v>
      </c>
      <c r="BQ7" s="90">
        <v>306</v>
      </c>
      <c r="BR7" s="90">
        <v>306</v>
      </c>
      <c r="BS7" s="90">
        <v>306</v>
      </c>
      <c r="BT7" s="90">
        <v>306</v>
      </c>
      <c r="BU7" s="90">
        <v>306</v>
      </c>
      <c r="BV7" s="90">
        <v>306</v>
      </c>
      <c r="BW7" s="90">
        <v>306</v>
      </c>
      <c r="BX7" s="90">
        <v>306</v>
      </c>
      <c r="BY7" s="90">
        <v>306</v>
      </c>
      <c r="BZ7" s="90">
        <v>306</v>
      </c>
      <c r="CA7" s="90">
        <v>306</v>
      </c>
      <c r="CB7" s="90">
        <v>357</v>
      </c>
      <c r="CC7" s="90">
        <v>357</v>
      </c>
      <c r="CD7" s="90">
        <v>357</v>
      </c>
      <c r="CE7" s="90">
        <v>357</v>
      </c>
      <c r="CF7" s="90">
        <v>357</v>
      </c>
      <c r="CG7" s="90">
        <v>396</v>
      </c>
      <c r="CH7" s="90">
        <v>396</v>
      </c>
      <c r="CI7" s="90">
        <v>396</v>
      </c>
      <c r="CJ7" s="90">
        <v>396</v>
      </c>
      <c r="CK7" s="90">
        <v>396</v>
      </c>
      <c r="CL7" s="90">
        <v>396</v>
      </c>
      <c r="CM7" s="90">
        <v>396</v>
      </c>
      <c r="CN7" s="90">
        <v>396</v>
      </c>
      <c r="CO7" s="90">
        <v>396</v>
      </c>
      <c r="CP7" s="90">
        <v>396</v>
      </c>
      <c r="CQ7" s="90">
        <v>469</v>
      </c>
      <c r="CR7" s="90">
        <v>469</v>
      </c>
      <c r="CS7" s="90">
        <v>469</v>
      </c>
      <c r="CT7" s="90">
        <v>469</v>
      </c>
      <c r="CU7" s="90">
        <v>469</v>
      </c>
      <c r="CV7" s="90">
        <v>469</v>
      </c>
      <c r="CW7" s="90">
        <v>469</v>
      </c>
      <c r="CX7" s="90">
        <v>469</v>
      </c>
      <c r="CY7" s="90">
        <v>469</v>
      </c>
      <c r="CZ7" s="90">
        <v>469</v>
      </c>
    </row>
    <row r="8" spans="1:104" ht="15" customHeight="1">
      <c r="A8" s="64">
        <v>700</v>
      </c>
      <c r="B8" s="64">
        <v>0.4</v>
      </c>
      <c r="C8" s="64">
        <v>1</v>
      </c>
      <c r="D8" s="64"/>
      <c r="E8" s="90">
        <v>269</v>
      </c>
      <c r="F8" s="90">
        <v>269</v>
      </c>
      <c r="G8" s="90">
        <v>269</v>
      </c>
      <c r="H8" s="90">
        <v>269</v>
      </c>
      <c r="I8" s="90">
        <v>269</v>
      </c>
      <c r="J8" s="90">
        <v>269</v>
      </c>
      <c r="K8" s="90">
        <v>269</v>
      </c>
      <c r="L8" s="90">
        <v>269</v>
      </c>
      <c r="M8" s="90">
        <v>269</v>
      </c>
      <c r="N8" s="90">
        <v>269</v>
      </c>
      <c r="O8" s="90">
        <v>269</v>
      </c>
      <c r="P8" s="90">
        <v>269</v>
      </c>
      <c r="Q8" s="90">
        <v>269</v>
      </c>
      <c r="R8" s="90">
        <v>269</v>
      </c>
      <c r="S8" s="90">
        <v>269</v>
      </c>
      <c r="T8" s="90">
        <v>269</v>
      </c>
      <c r="U8" s="90">
        <v>269</v>
      </c>
      <c r="V8" s="90">
        <v>269</v>
      </c>
      <c r="W8" s="90">
        <v>269</v>
      </c>
      <c r="X8" s="90">
        <v>269</v>
      </c>
      <c r="Y8" s="90">
        <v>269</v>
      </c>
      <c r="Z8" s="90">
        <v>269</v>
      </c>
      <c r="AA8" s="90">
        <v>333</v>
      </c>
      <c r="AB8" s="90">
        <v>333</v>
      </c>
      <c r="AC8" s="90">
        <v>333</v>
      </c>
      <c r="AD8" s="90">
        <v>333</v>
      </c>
      <c r="AE8" s="90">
        <v>333</v>
      </c>
      <c r="AF8" s="90">
        <v>333</v>
      </c>
      <c r="AG8" s="90">
        <v>333</v>
      </c>
      <c r="AH8" s="90">
        <v>333</v>
      </c>
      <c r="AI8" s="90">
        <v>306</v>
      </c>
      <c r="AJ8" s="90">
        <v>306</v>
      </c>
      <c r="AK8" s="90">
        <v>306</v>
      </c>
      <c r="AL8" s="90">
        <v>306</v>
      </c>
      <c r="AM8" s="90">
        <v>306</v>
      </c>
      <c r="AN8" s="90">
        <v>336</v>
      </c>
      <c r="AO8" s="90">
        <v>336</v>
      </c>
      <c r="AP8" s="90">
        <v>336</v>
      </c>
      <c r="AQ8" s="90">
        <v>336</v>
      </c>
      <c r="AR8" s="90">
        <v>336</v>
      </c>
      <c r="AS8" s="90">
        <v>336</v>
      </c>
      <c r="AT8" s="90">
        <v>336</v>
      </c>
      <c r="AU8" s="90">
        <v>336</v>
      </c>
      <c r="AV8" s="90">
        <v>336</v>
      </c>
      <c r="AW8" s="90">
        <v>336</v>
      </c>
      <c r="AX8" s="90">
        <v>336</v>
      </c>
      <c r="AY8" s="90">
        <v>336</v>
      </c>
      <c r="AZ8" s="90">
        <v>336</v>
      </c>
      <c r="BA8" s="90">
        <v>336</v>
      </c>
      <c r="BB8" s="90">
        <v>336</v>
      </c>
      <c r="BC8" s="90">
        <v>339</v>
      </c>
      <c r="BD8" s="90">
        <v>339</v>
      </c>
      <c r="BE8" s="90">
        <v>339</v>
      </c>
      <c r="BF8" s="90">
        <v>339</v>
      </c>
      <c r="BG8" s="90">
        <v>339</v>
      </c>
      <c r="BH8" s="90">
        <v>339</v>
      </c>
      <c r="BI8" s="90">
        <v>339</v>
      </c>
      <c r="BJ8" s="90">
        <v>339</v>
      </c>
      <c r="BK8" s="90">
        <v>339</v>
      </c>
      <c r="BL8" s="90">
        <v>339</v>
      </c>
      <c r="BM8" s="90">
        <v>339</v>
      </c>
      <c r="BN8" s="90">
        <v>339</v>
      </c>
      <c r="BO8" s="90">
        <v>339</v>
      </c>
      <c r="BP8" s="90">
        <v>339</v>
      </c>
      <c r="BQ8" s="90">
        <v>339</v>
      </c>
      <c r="BR8" s="90">
        <v>339</v>
      </c>
      <c r="BS8" s="90">
        <v>339</v>
      </c>
      <c r="BT8" s="90">
        <v>339</v>
      </c>
      <c r="BU8" s="90">
        <v>339</v>
      </c>
      <c r="BV8" s="90">
        <v>339</v>
      </c>
      <c r="BW8" s="90">
        <v>339</v>
      </c>
      <c r="BX8" s="90">
        <v>339</v>
      </c>
      <c r="BY8" s="90">
        <v>339</v>
      </c>
      <c r="BZ8" s="90">
        <v>339</v>
      </c>
      <c r="CA8" s="90">
        <v>339</v>
      </c>
      <c r="CB8" s="90">
        <v>396</v>
      </c>
      <c r="CC8" s="90">
        <v>396</v>
      </c>
      <c r="CD8" s="90">
        <v>396</v>
      </c>
      <c r="CE8" s="90">
        <v>396</v>
      </c>
      <c r="CF8" s="90">
        <v>396</v>
      </c>
      <c r="CG8" s="90">
        <v>439</v>
      </c>
      <c r="CH8" s="90">
        <v>439</v>
      </c>
      <c r="CI8" s="90">
        <v>439</v>
      </c>
      <c r="CJ8" s="90">
        <v>439</v>
      </c>
      <c r="CK8" s="90">
        <v>439</v>
      </c>
      <c r="CL8" s="90">
        <v>439</v>
      </c>
      <c r="CM8" s="90">
        <v>439</v>
      </c>
      <c r="CN8" s="90">
        <v>439</v>
      </c>
      <c r="CO8" s="90">
        <v>439</v>
      </c>
      <c r="CP8" s="90">
        <v>439</v>
      </c>
      <c r="CQ8" s="90">
        <v>520</v>
      </c>
      <c r="CR8" s="90">
        <v>520</v>
      </c>
      <c r="CS8" s="90">
        <v>520</v>
      </c>
      <c r="CT8" s="90">
        <v>520</v>
      </c>
      <c r="CU8" s="90">
        <v>520</v>
      </c>
      <c r="CV8" s="90">
        <v>520</v>
      </c>
      <c r="CW8" s="90">
        <v>520</v>
      </c>
      <c r="CX8" s="90">
        <v>520</v>
      </c>
      <c r="CY8" s="90">
        <v>520</v>
      </c>
      <c r="CZ8" s="90">
        <v>520</v>
      </c>
    </row>
    <row r="9" spans="1:104" ht="15" customHeight="1">
      <c r="A9" s="64">
        <v>875</v>
      </c>
      <c r="B9" s="64">
        <v>0.5</v>
      </c>
      <c r="C9" s="64"/>
      <c r="D9" s="64">
        <v>1</v>
      </c>
      <c r="E9" s="90">
        <v>304</v>
      </c>
      <c r="F9" s="90">
        <v>304</v>
      </c>
      <c r="G9" s="90">
        <v>304</v>
      </c>
      <c r="H9" s="90">
        <v>304</v>
      </c>
      <c r="I9" s="90">
        <v>304</v>
      </c>
      <c r="J9" s="90">
        <v>304</v>
      </c>
      <c r="K9" s="90">
        <v>304</v>
      </c>
      <c r="L9" s="90">
        <v>304</v>
      </c>
      <c r="M9" s="90">
        <v>304</v>
      </c>
      <c r="N9" s="90">
        <v>304</v>
      </c>
      <c r="O9" s="90">
        <v>304</v>
      </c>
      <c r="P9" s="90">
        <v>304</v>
      </c>
      <c r="Q9" s="90">
        <v>304</v>
      </c>
      <c r="R9" s="90">
        <v>304</v>
      </c>
      <c r="S9" s="90">
        <v>304</v>
      </c>
      <c r="T9" s="90">
        <v>304</v>
      </c>
      <c r="U9" s="90">
        <v>304</v>
      </c>
      <c r="V9" s="90">
        <v>304</v>
      </c>
      <c r="W9" s="90">
        <v>304</v>
      </c>
      <c r="X9" s="90">
        <v>304</v>
      </c>
      <c r="Y9" s="90">
        <v>304</v>
      </c>
      <c r="Z9" s="90">
        <v>304</v>
      </c>
      <c r="AA9" s="90">
        <v>380</v>
      </c>
      <c r="AB9" s="90">
        <v>380</v>
      </c>
      <c r="AC9" s="90">
        <v>380</v>
      </c>
      <c r="AD9" s="90">
        <v>380</v>
      </c>
      <c r="AE9" s="90">
        <v>380</v>
      </c>
      <c r="AF9" s="90">
        <v>380</v>
      </c>
      <c r="AG9" s="90">
        <v>380</v>
      </c>
      <c r="AH9" s="90">
        <v>380</v>
      </c>
      <c r="AI9" s="90">
        <v>321</v>
      </c>
      <c r="AJ9" s="90">
        <v>321</v>
      </c>
      <c r="AK9" s="90">
        <v>321</v>
      </c>
      <c r="AL9" s="90">
        <v>321</v>
      </c>
      <c r="AM9" s="90">
        <v>321</v>
      </c>
      <c r="AN9" s="90">
        <v>370</v>
      </c>
      <c r="AO9" s="90">
        <v>370</v>
      </c>
      <c r="AP9" s="90">
        <v>370</v>
      </c>
      <c r="AQ9" s="90">
        <v>370</v>
      </c>
      <c r="AR9" s="90">
        <v>370</v>
      </c>
      <c r="AS9" s="90">
        <v>370</v>
      </c>
      <c r="AT9" s="90">
        <v>370</v>
      </c>
      <c r="AU9" s="90">
        <v>370</v>
      </c>
      <c r="AV9" s="90">
        <v>370</v>
      </c>
      <c r="AW9" s="90">
        <v>370</v>
      </c>
      <c r="AX9" s="90">
        <v>370</v>
      </c>
      <c r="AY9" s="90">
        <v>370</v>
      </c>
      <c r="AZ9" s="90">
        <v>370</v>
      </c>
      <c r="BA9" s="90">
        <v>370</v>
      </c>
      <c r="BB9" s="90">
        <v>370</v>
      </c>
      <c r="BC9" s="90">
        <v>388</v>
      </c>
      <c r="BD9" s="90">
        <v>388</v>
      </c>
      <c r="BE9" s="90">
        <v>388</v>
      </c>
      <c r="BF9" s="90">
        <v>388</v>
      </c>
      <c r="BG9" s="90">
        <v>388</v>
      </c>
      <c r="BH9" s="90">
        <v>388</v>
      </c>
      <c r="BI9" s="90">
        <v>388</v>
      </c>
      <c r="BJ9" s="90">
        <v>388</v>
      </c>
      <c r="BK9" s="90">
        <v>388</v>
      </c>
      <c r="BL9" s="90">
        <v>388</v>
      </c>
      <c r="BM9" s="90">
        <v>388</v>
      </c>
      <c r="BN9" s="90">
        <v>388</v>
      </c>
      <c r="BO9" s="90">
        <v>388</v>
      </c>
      <c r="BP9" s="90">
        <v>388</v>
      </c>
      <c r="BQ9" s="90">
        <v>388</v>
      </c>
      <c r="BR9" s="90">
        <v>388</v>
      </c>
      <c r="BS9" s="90">
        <v>388</v>
      </c>
      <c r="BT9" s="90">
        <v>388</v>
      </c>
      <c r="BU9" s="90">
        <v>388</v>
      </c>
      <c r="BV9" s="90">
        <v>388</v>
      </c>
      <c r="BW9" s="90">
        <v>388</v>
      </c>
      <c r="BX9" s="90">
        <v>388</v>
      </c>
      <c r="BY9" s="90">
        <v>388</v>
      </c>
      <c r="BZ9" s="90">
        <v>388</v>
      </c>
      <c r="CA9" s="90">
        <v>388</v>
      </c>
      <c r="CB9" s="90">
        <v>460</v>
      </c>
      <c r="CC9" s="90">
        <v>460</v>
      </c>
      <c r="CD9" s="90">
        <v>460</v>
      </c>
      <c r="CE9" s="90">
        <v>460</v>
      </c>
      <c r="CF9" s="90">
        <v>460</v>
      </c>
      <c r="CG9" s="90">
        <v>513</v>
      </c>
      <c r="CH9" s="90">
        <v>513</v>
      </c>
      <c r="CI9" s="90">
        <v>513</v>
      </c>
      <c r="CJ9" s="90">
        <v>513</v>
      </c>
      <c r="CK9" s="90">
        <v>513</v>
      </c>
      <c r="CL9" s="90">
        <v>513</v>
      </c>
      <c r="CM9" s="90">
        <v>513</v>
      </c>
      <c r="CN9" s="90">
        <v>513</v>
      </c>
      <c r="CO9" s="90">
        <v>513</v>
      </c>
      <c r="CP9" s="90">
        <v>513</v>
      </c>
      <c r="CQ9" s="90">
        <v>614</v>
      </c>
      <c r="CR9" s="90">
        <v>614</v>
      </c>
      <c r="CS9" s="90">
        <v>614</v>
      </c>
      <c r="CT9" s="90">
        <v>614</v>
      </c>
      <c r="CU9" s="90">
        <v>614</v>
      </c>
      <c r="CV9" s="90">
        <v>614</v>
      </c>
      <c r="CW9" s="90">
        <v>614</v>
      </c>
      <c r="CX9" s="90">
        <v>614</v>
      </c>
      <c r="CY9" s="90">
        <v>614</v>
      </c>
      <c r="CZ9" s="90">
        <v>614</v>
      </c>
    </row>
    <row r="10" spans="1:104" ht="15" customHeight="1">
      <c r="A10" s="64">
        <v>1050</v>
      </c>
      <c r="B10" s="64">
        <v>0.6</v>
      </c>
      <c r="C10" s="64"/>
      <c r="D10" s="64"/>
      <c r="E10" s="90">
        <v>361</v>
      </c>
      <c r="F10" s="90">
        <v>361</v>
      </c>
      <c r="G10" s="90">
        <v>361</v>
      </c>
      <c r="H10" s="90">
        <v>361</v>
      </c>
      <c r="I10" s="90">
        <v>361</v>
      </c>
      <c r="J10" s="90">
        <v>361</v>
      </c>
      <c r="K10" s="90">
        <v>361</v>
      </c>
      <c r="L10" s="90">
        <v>361</v>
      </c>
      <c r="M10" s="90">
        <v>361</v>
      </c>
      <c r="N10" s="90">
        <v>361</v>
      </c>
      <c r="O10" s="90">
        <v>361</v>
      </c>
      <c r="P10" s="90">
        <v>361</v>
      </c>
      <c r="Q10" s="90">
        <v>361</v>
      </c>
      <c r="R10" s="90">
        <v>361</v>
      </c>
      <c r="S10" s="90">
        <v>361</v>
      </c>
      <c r="T10" s="90">
        <v>361</v>
      </c>
      <c r="U10" s="90">
        <v>361</v>
      </c>
      <c r="V10" s="90">
        <v>361</v>
      </c>
      <c r="W10" s="90">
        <v>361</v>
      </c>
      <c r="X10" s="90">
        <v>361</v>
      </c>
      <c r="Y10" s="90">
        <v>361</v>
      </c>
      <c r="Z10" s="90">
        <v>361</v>
      </c>
      <c r="AA10" s="90">
        <v>503</v>
      </c>
      <c r="AB10" s="90">
        <v>503</v>
      </c>
      <c r="AC10" s="90">
        <v>503</v>
      </c>
      <c r="AD10" s="90">
        <v>503</v>
      </c>
      <c r="AE10" s="90">
        <v>503</v>
      </c>
      <c r="AF10" s="90">
        <v>503</v>
      </c>
      <c r="AG10" s="90">
        <v>503</v>
      </c>
      <c r="AH10" s="90">
        <v>503</v>
      </c>
      <c r="AI10" s="90">
        <v>383</v>
      </c>
      <c r="AJ10" s="90">
        <v>383</v>
      </c>
      <c r="AK10" s="90">
        <v>383</v>
      </c>
      <c r="AL10" s="90">
        <v>383</v>
      </c>
      <c r="AM10" s="90">
        <v>383</v>
      </c>
      <c r="AN10" s="90">
        <v>506</v>
      </c>
      <c r="AO10" s="90">
        <v>506</v>
      </c>
      <c r="AP10" s="90">
        <v>506</v>
      </c>
      <c r="AQ10" s="90">
        <v>506</v>
      </c>
      <c r="AR10" s="90">
        <v>506</v>
      </c>
      <c r="AS10" s="90">
        <v>506</v>
      </c>
      <c r="AT10" s="90">
        <v>506</v>
      </c>
      <c r="AU10" s="90">
        <v>506</v>
      </c>
      <c r="AV10" s="90">
        <v>506</v>
      </c>
      <c r="AW10" s="90">
        <v>506</v>
      </c>
      <c r="AX10" s="90">
        <v>506</v>
      </c>
      <c r="AY10" s="90">
        <v>506</v>
      </c>
      <c r="AZ10" s="90">
        <v>506</v>
      </c>
      <c r="BA10" s="90">
        <v>506</v>
      </c>
      <c r="BB10" s="90">
        <v>506</v>
      </c>
      <c r="BC10" s="90">
        <v>514</v>
      </c>
      <c r="BD10" s="90">
        <v>514</v>
      </c>
      <c r="BE10" s="90">
        <v>514</v>
      </c>
      <c r="BF10" s="90">
        <v>514</v>
      </c>
      <c r="BG10" s="90">
        <v>514</v>
      </c>
      <c r="BH10" s="90">
        <v>514</v>
      </c>
      <c r="BI10" s="90">
        <v>514</v>
      </c>
      <c r="BJ10" s="90">
        <v>514</v>
      </c>
      <c r="BK10" s="90">
        <v>514</v>
      </c>
      <c r="BL10" s="90">
        <v>514</v>
      </c>
      <c r="BM10" s="90">
        <v>514</v>
      </c>
      <c r="BN10" s="90">
        <v>514</v>
      </c>
      <c r="BO10" s="90">
        <v>514</v>
      </c>
      <c r="BP10" s="90">
        <v>514</v>
      </c>
      <c r="BQ10" s="90">
        <v>514</v>
      </c>
      <c r="BR10" s="90">
        <v>514</v>
      </c>
      <c r="BS10" s="90">
        <v>514</v>
      </c>
      <c r="BT10" s="90">
        <v>514</v>
      </c>
      <c r="BU10" s="90">
        <v>514</v>
      </c>
      <c r="BV10" s="90">
        <v>514</v>
      </c>
      <c r="BW10" s="90">
        <v>514</v>
      </c>
      <c r="BX10" s="90">
        <v>514</v>
      </c>
      <c r="BY10" s="90">
        <v>514</v>
      </c>
      <c r="BZ10" s="90">
        <v>514</v>
      </c>
      <c r="CA10" s="90">
        <v>514</v>
      </c>
      <c r="CB10" s="90">
        <v>621</v>
      </c>
      <c r="CC10" s="90">
        <v>621</v>
      </c>
      <c r="CD10" s="90">
        <v>621</v>
      </c>
      <c r="CE10" s="90">
        <v>621</v>
      </c>
      <c r="CF10" s="90">
        <v>621</v>
      </c>
      <c r="CG10" s="90">
        <v>700</v>
      </c>
      <c r="CH10" s="90">
        <v>700</v>
      </c>
      <c r="CI10" s="90">
        <v>700</v>
      </c>
      <c r="CJ10" s="90">
        <v>700</v>
      </c>
      <c r="CK10" s="90">
        <v>700</v>
      </c>
      <c r="CL10" s="90">
        <v>700</v>
      </c>
      <c r="CM10" s="90">
        <v>700</v>
      </c>
      <c r="CN10" s="90">
        <v>700</v>
      </c>
      <c r="CO10" s="90">
        <v>700</v>
      </c>
      <c r="CP10" s="90">
        <v>700</v>
      </c>
      <c r="CQ10" s="90">
        <v>851</v>
      </c>
      <c r="CR10" s="90">
        <v>851</v>
      </c>
      <c r="CS10" s="90">
        <v>851</v>
      </c>
      <c r="CT10" s="90">
        <v>851</v>
      </c>
      <c r="CU10" s="90">
        <v>851</v>
      </c>
      <c r="CV10" s="90">
        <v>851</v>
      </c>
      <c r="CW10" s="90">
        <v>851</v>
      </c>
      <c r="CX10" s="90">
        <v>851</v>
      </c>
      <c r="CY10" s="90">
        <v>851</v>
      </c>
      <c r="CZ10" s="90">
        <v>851</v>
      </c>
    </row>
    <row r="11" spans="1:104" ht="15" customHeight="1">
      <c r="A11" s="64">
        <v>1400</v>
      </c>
      <c r="B11" s="64">
        <v>0.8</v>
      </c>
      <c r="C11" s="64">
        <v>2</v>
      </c>
      <c r="D11" s="64"/>
      <c r="E11" s="90">
        <v>389</v>
      </c>
      <c r="F11" s="90">
        <v>389</v>
      </c>
      <c r="G11" s="90">
        <v>389</v>
      </c>
      <c r="H11" s="90">
        <v>389</v>
      </c>
      <c r="I11" s="90">
        <v>389</v>
      </c>
      <c r="J11" s="90">
        <v>389</v>
      </c>
      <c r="K11" s="90">
        <v>389</v>
      </c>
      <c r="L11" s="90">
        <v>389</v>
      </c>
      <c r="M11" s="90">
        <v>389</v>
      </c>
      <c r="N11" s="90">
        <v>389</v>
      </c>
      <c r="O11" s="90">
        <v>389</v>
      </c>
      <c r="P11" s="90">
        <v>389</v>
      </c>
      <c r="Q11" s="90">
        <v>389</v>
      </c>
      <c r="R11" s="90">
        <v>389</v>
      </c>
      <c r="S11" s="90">
        <v>389</v>
      </c>
      <c r="T11" s="90">
        <v>389</v>
      </c>
      <c r="U11" s="90">
        <v>389</v>
      </c>
      <c r="V11" s="90">
        <v>389</v>
      </c>
      <c r="W11" s="90">
        <v>389</v>
      </c>
      <c r="X11" s="90">
        <v>389</v>
      </c>
      <c r="Y11" s="90">
        <v>389</v>
      </c>
      <c r="Z11" s="90">
        <v>389</v>
      </c>
      <c r="AA11" s="90">
        <v>541</v>
      </c>
      <c r="AB11" s="90">
        <v>541</v>
      </c>
      <c r="AC11" s="90">
        <v>541</v>
      </c>
      <c r="AD11" s="90">
        <v>541</v>
      </c>
      <c r="AE11" s="90">
        <v>541</v>
      </c>
      <c r="AF11" s="90">
        <v>541</v>
      </c>
      <c r="AG11" s="90">
        <v>541</v>
      </c>
      <c r="AH11" s="90">
        <v>541</v>
      </c>
      <c r="AI11" s="90">
        <v>412</v>
      </c>
      <c r="AJ11" s="90">
        <v>412</v>
      </c>
      <c r="AK11" s="90">
        <v>412</v>
      </c>
      <c r="AL11" s="90">
        <v>412</v>
      </c>
      <c r="AM11" s="90">
        <v>412</v>
      </c>
      <c r="AN11" s="90">
        <v>544</v>
      </c>
      <c r="AO11" s="90">
        <v>544</v>
      </c>
      <c r="AP11" s="90">
        <v>544</v>
      </c>
      <c r="AQ11" s="90">
        <v>544</v>
      </c>
      <c r="AR11" s="90">
        <v>544</v>
      </c>
      <c r="AS11" s="90">
        <v>544</v>
      </c>
      <c r="AT11" s="90">
        <v>544</v>
      </c>
      <c r="AU11" s="90">
        <v>544</v>
      </c>
      <c r="AV11" s="90">
        <v>544</v>
      </c>
      <c r="AW11" s="90">
        <v>544</v>
      </c>
      <c r="AX11" s="90">
        <v>544</v>
      </c>
      <c r="AY11" s="90">
        <v>544</v>
      </c>
      <c r="AZ11" s="90">
        <v>544</v>
      </c>
      <c r="BA11" s="90">
        <v>544</v>
      </c>
      <c r="BB11" s="90">
        <v>544</v>
      </c>
      <c r="BC11" s="90">
        <v>554</v>
      </c>
      <c r="BD11" s="90">
        <v>554</v>
      </c>
      <c r="BE11" s="90">
        <v>554</v>
      </c>
      <c r="BF11" s="90">
        <v>554</v>
      </c>
      <c r="BG11" s="90">
        <v>554</v>
      </c>
      <c r="BH11" s="90">
        <v>554</v>
      </c>
      <c r="BI11" s="90">
        <v>554</v>
      </c>
      <c r="BJ11" s="90">
        <v>554</v>
      </c>
      <c r="BK11" s="90">
        <v>554</v>
      </c>
      <c r="BL11" s="90">
        <v>554</v>
      </c>
      <c r="BM11" s="90">
        <v>554</v>
      </c>
      <c r="BN11" s="90">
        <v>554</v>
      </c>
      <c r="BO11" s="90">
        <v>554</v>
      </c>
      <c r="BP11" s="90">
        <v>554</v>
      </c>
      <c r="BQ11" s="90">
        <v>554</v>
      </c>
      <c r="BR11" s="90">
        <v>554</v>
      </c>
      <c r="BS11" s="90">
        <v>554</v>
      </c>
      <c r="BT11" s="90">
        <v>554</v>
      </c>
      <c r="BU11" s="90">
        <v>554</v>
      </c>
      <c r="BV11" s="90">
        <v>554</v>
      </c>
      <c r="BW11" s="90">
        <v>554</v>
      </c>
      <c r="BX11" s="90">
        <v>554</v>
      </c>
      <c r="BY11" s="90">
        <v>554</v>
      </c>
      <c r="BZ11" s="90">
        <v>554</v>
      </c>
      <c r="CA11" s="90">
        <v>554</v>
      </c>
      <c r="CB11" s="90">
        <v>668</v>
      </c>
      <c r="CC11" s="90">
        <v>668</v>
      </c>
      <c r="CD11" s="90">
        <v>668</v>
      </c>
      <c r="CE11" s="90">
        <v>668</v>
      </c>
      <c r="CF11" s="90">
        <v>668</v>
      </c>
      <c r="CG11" s="90">
        <v>753</v>
      </c>
      <c r="CH11" s="90">
        <v>753</v>
      </c>
      <c r="CI11" s="90">
        <v>753</v>
      </c>
      <c r="CJ11" s="90">
        <v>753</v>
      </c>
      <c r="CK11" s="90">
        <v>753</v>
      </c>
      <c r="CL11" s="90">
        <v>753</v>
      </c>
      <c r="CM11" s="90">
        <v>753</v>
      </c>
      <c r="CN11" s="90">
        <v>753</v>
      </c>
      <c r="CO11" s="90">
        <v>753</v>
      </c>
      <c r="CP11" s="90">
        <v>753</v>
      </c>
      <c r="CQ11" s="90">
        <v>915</v>
      </c>
      <c r="CR11" s="90">
        <v>915</v>
      </c>
      <c r="CS11" s="90">
        <v>915</v>
      </c>
      <c r="CT11" s="90">
        <v>915</v>
      </c>
      <c r="CU11" s="90">
        <v>915</v>
      </c>
      <c r="CV11" s="90">
        <v>915</v>
      </c>
      <c r="CW11" s="90">
        <v>915</v>
      </c>
      <c r="CX11" s="90">
        <v>915</v>
      </c>
      <c r="CY11" s="90">
        <v>915</v>
      </c>
      <c r="CZ11" s="90">
        <v>915</v>
      </c>
    </row>
    <row r="12" spans="1:104" ht="15" customHeight="1">
      <c r="A12" s="64">
        <v>1750</v>
      </c>
      <c r="B12" s="64">
        <v>1</v>
      </c>
      <c r="C12" s="64"/>
      <c r="D12" s="64">
        <v>2</v>
      </c>
      <c r="E12" s="90">
        <v>417</v>
      </c>
      <c r="F12" s="90">
        <v>417</v>
      </c>
      <c r="G12" s="90">
        <v>417</v>
      </c>
      <c r="H12" s="90">
        <v>417</v>
      </c>
      <c r="I12" s="90">
        <v>417</v>
      </c>
      <c r="J12" s="90">
        <v>417</v>
      </c>
      <c r="K12" s="90">
        <v>417</v>
      </c>
      <c r="L12" s="90">
        <v>417</v>
      </c>
      <c r="M12" s="90">
        <v>417</v>
      </c>
      <c r="N12" s="90">
        <v>417</v>
      </c>
      <c r="O12" s="90">
        <v>417</v>
      </c>
      <c r="P12" s="90">
        <v>417</v>
      </c>
      <c r="Q12" s="90">
        <v>417</v>
      </c>
      <c r="R12" s="90">
        <v>417</v>
      </c>
      <c r="S12" s="90">
        <v>417</v>
      </c>
      <c r="T12" s="90">
        <v>417</v>
      </c>
      <c r="U12" s="90">
        <v>417</v>
      </c>
      <c r="V12" s="90">
        <v>417</v>
      </c>
      <c r="W12" s="90">
        <v>417</v>
      </c>
      <c r="X12" s="90">
        <v>417</v>
      </c>
      <c r="Y12" s="90">
        <v>417</v>
      </c>
      <c r="Z12" s="90">
        <v>417</v>
      </c>
      <c r="AA12" s="90">
        <v>633</v>
      </c>
      <c r="AB12" s="90">
        <v>633</v>
      </c>
      <c r="AC12" s="90">
        <v>633</v>
      </c>
      <c r="AD12" s="90">
        <v>633</v>
      </c>
      <c r="AE12" s="90">
        <v>633</v>
      </c>
      <c r="AF12" s="90">
        <v>633</v>
      </c>
      <c r="AG12" s="90">
        <v>633</v>
      </c>
      <c r="AH12" s="90">
        <v>633</v>
      </c>
      <c r="AI12" s="90">
        <v>458</v>
      </c>
      <c r="AJ12" s="90">
        <v>458</v>
      </c>
      <c r="AK12" s="90">
        <v>458</v>
      </c>
      <c r="AL12" s="90">
        <v>458</v>
      </c>
      <c r="AM12" s="90">
        <v>458</v>
      </c>
      <c r="AN12" s="90">
        <v>629</v>
      </c>
      <c r="AO12" s="90">
        <v>629</v>
      </c>
      <c r="AP12" s="90">
        <v>629</v>
      </c>
      <c r="AQ12" s="90">
        <v>629</v>
      </c>
      <c r="AR12" s="90">
        <v>629</v>
      </c>
      <c r="AS12" s="90">
        <v>629</v>
      </c>
      <c r="AT12" s="90">
        <v>629</v>
      </c>
      <c r="AU12" s="90">
        <v>629</v>
      </c>
      <c r="AV12" s="90">
        <v>629</v>
      </c>
      <c r="AW12" s="90">
        <v>629</v>
      </c>
      <c r="AX12" s="90">
        <v>629</v>
      </c>
      <c r="AY12" s="90">
        <v>629</v>
      </c>
      <c r="AZ12" s="90">
        <v>629</v>
      </c>
      <c r="BA12" s="90">
        <v>629</v>
      </c>
      <c r="BB12" s="90">
        <v>629</v>
      </c>
      <c r="BC12" s="90">
        <v>649</v>
      </c>
      <c r="BD12" s="90">
        <v>649</v>
      </c>
      <c r="BE12" s="90">
        <v>649</v>
      </c>
      <c r="BF12" s="90">
        <v>649</v>
      </c>
      <c r="BG12" s="90">
        <v>649</v>
      </c>
      <c r="BH12" s="90">
        <v>649</v>
      </c>
      <c r="BI12" s="90">
        <v>649</v>
      </c>
      <c r="BJ12" s="90">
        <v>649</v>
      </c>
      <c r="BK12" s="90">
        <v>649</v>
      </c>
      <c r="BL12" s="90">
        <v>649</v>
      </c>
      <c r="BM12" s="90">
        <v>649</v>
      </c>
      <c r="BN12" s="90">
        <v>649</v>
      </c>
      <c r="BO12" s="90">
        <v>649</v>
      </c>
      <c r="BP12" s="90">
        <v>649</v>
      </c>
      <c r="BQ12" s="90">
        <v>649</v>
      </c>
      <c r="BR12" s="90">
        <v>649</v>
      </c>
      <c r="BS12" s="90">
        <v>649</v>
      </c>
      <c r="BT12" s="90">
        <v>649</v>
      </c>
      <c r="BU12" s="90">
        <v>649</v>
      </c>
      <c r="BV12" s="90">
        <v>649</v>
      </c>
      <c r="BW12" s="90">
        <v>649</v>
      </c>
      <c r="BX12" s="90">
        <v>649</v>
      </c>
      <c r="BY12" s="90">
        <v>649</v>
      </c>
      <c r="BZ12" s="90">
        <v>649</v>
      </c>
      <c r="CA12" s="90">
        <v>649</v>
      </c>
      <c r="CB12" s="90">
        <v>792</v>
      </c>
      <c r="CC12" s="90">
        <v>792</v>
      </c>
      <c r="CD12" s="90">
        <v>792</v>
      </c>
      <c r="CE12" s="90">
        <v>792</v>
      </c>
      <c r="CF12" s="90">
        <v>792</v>
      </c>
      <c r="CG12" s="90">
        <v>899</v>
      </c>
      <c r="CH12" s="90">
        <v>899</v>
      </c>
      <c r="CI12" s="90">
        <v>899</v>
      </c>
      <c r="CJ12" s="90">
        <v>899</v>
      </c>
      <c r="CK12" s="90">
        <v>899</v>
      </c>
      <c r="CL12" s="90">
        <v>899</v>
      </c>
      <c r="CM12" s="90">
        <v>899</v>
      </c>
      <c r="CN12" s="90">
        <v>899</v>
      </c>
      <c r="CO12" s="90">
        <v>899</v>
      </c>
      <c r="CP12" s="90">
        <v>899</v>
      </c>
      <c r="CQ12" s="90">
        <v>1101</v>
      </c>
      <c r="CR12" s="90">
        <v>1101</v>
      </c>
      <c r="CS12" s="90">
        <v>1101</v>
      </c>
      <c r="CT12" s="90">
        <v>1101</v>
      </c>
      <c r="CU12" s="90">
        <v>1101</v>
      </c>
      <c r="CV12" s="90">
        <v>1101</v>
      </c>
      <c r="CW12" s="90">
        <v>1101</v>
      </c>
      <c r="CX12" s="90">
        <v>1101</v>
      </c>
      <c r="CY12" s="90">
        <v>1101</v>
      </c>
      <c r="CZ12" s="90">
        <v>1101</v>
      </c>
    </row>
    <row r="13" spans="1:104" ht="15" customHeight="1">
      <c r="A13" s="64">
        <v>2100</v>
      </c>
      <c r="B13" s="64">
        <v>1.2</v>
      </c>
      <c r="C13" s="64">
        <v>3</v>
      </c>
      <c r="D13" s="64"/>
      <c r="E13" s="90">
        <v>494</v>
      </c>
      <c r="F13" s="90">
        <v>494</v>
      </c>
      <c r="G13" s="90">
        <v>494</v>
      </c>
      <c r="H13" s="90">
        <v>494</v>
      </c>
      <c r="I13" s="90">
        <v>494</v>
      </c>
      <c r="J13" s="90">
        <v>494</v>
      </c>
      <c r="K13" s="90">
        <v>494</v>
      </c>
      <c r="L13" s="90">
        <v>494</v>
      </c>
      <c r="M13" s="90">
        <v>494</v>
      </c>
      <c r="N13" s="90">
        <v>494</v>
      </c>
      <c r="O13" s="90">
        <v>494</v>
      </c>
      <c r="P13" s="90">
        <v>494</v>
      </c>
      <c r="Q13" s="90">
        <v>494</v>
      </c>
      <c r="R13" s="90">
        <v>494</v>
      </c>
      <c r="S13" s="90">
        <v>494</v>
      </c>
      <c r="T13" s="90">
        <v>494</v>
      </c>
      <c r="U13" s="90">
        <v>494</v>
      </c>
      <c r="V13" s="90">
        <v>494</v>
      </c>
      <c r="W13" s="90">
        <v>494</v>
      </c>
      <c r="X13" s="90">
        <v>494</v>
      </c>
      <c r="Y13" s="90">
        <v>494</v>
      </c>
      <c r="Z13" s="90">
        <v>494</v>
      </c>
      <c r="AA13" s="90">
        <v>664</v>
      </c>
      <c r="AB13" s="90">
        <v>664</v>
      </c>
      <c r="AC13" s="90">
        <v>664</v>
      </c>
      <c r="AD13" s="90">
        <v>664</v>
      </c>
      <c r="AE13" s="90">
        <v>664</v>
      </c>
      <c r="AF13" s="90">
        <v>664</v>
      </c>
      <c r="AG13" s="90">
        <v>664</v>
      </c>
      <c r="AH13" s="90">
        <v>664</v>
      </c>
      <c r="AI13" s="90">
        <v>517</v>
      </c>
      <c r="AJ13" s="90">
        <v>517</v>
      </c>
      <c r="AK13" s="90">
        <v>517</v>
      </c>
      <c r="AL13" s="90">
        <v>517</v>
      </c>
      <c r="AM13" s="90">
        <v>517</v>
      </c>
      <c r="AN13" s="90">
        <v>714</v>
      </c>
      <c r="AO13" s="90">
        <v>714</v>
      </c>
      <c r="AP13" s="90">
        <v>714</v>
      </c>
      <c r="AQ13" s="90">
        <v>714</v>
      </c>
      <c r="AR13" s="90">
        <v>714</v>
      </c>
      <c r="AS13" s="90">
        <v>714</v>
      </c>
      <c r="AT13" s="90">
        <v>714</v>
      </c>
      <c r="AU13" s="90">
        <v>714</v>
      </c>
      <c r="AV13" s="90">
        <v>714</v>
      </c>
      <c r="AW13" s="90">
        <v>714</v>
      </c>
      <c r="AX13" s="90">
        <v>714</v>
      </c>
      <c r="AY13" s="90">
        <v>714</v>
      </c>
      <c r="AZ13" s="90">
        <v>714</v>
      </c>
      <c r="BA13" s="90">
        <v>714</v>
      </c>
      <c r="BB13" s="90">
        <v>714</v>
      </c>
      <c r="BC13" s="90">
        <v>717</v>
      </c>
      <c r="BD13" s="90">
        <v>717</v>
      </c>
      <c r="BE13" s="90">
        <v>717</v>
      </c>
      <c r="BF13" s="90">
        <v>717</v>
      </c>
      <c r="BG13" s="90">
        <v>717</v>
      </c>
      <c r="BH13" s="90">
        <v>717</v>
      </c>
      <c r="BI13" s="90">
        <v>717</v>
      </c>
      <c r="BJ13" s="90">
        <v>717</v>
      </c>
      <c r="BK13" s="90">
        <v>717</v>
      </c>
      <c r="BL13" s="90">
        <v>717</v>
      </c>
      <c r="BM13" s="90">
        <v>717</v>
      </c>
      <c r="BN13" s="90">
        <v>717</v>
      </c>
      <c r="BO13" s="90">
        <v>717</v>
      </c>
      <c r="BP13" s="90">
        <v>717</v>
      </c>
      <c r="BQ13" s="90">
        <v>717</v>
      </c>
      <c r="BR13" s="90">
        <v>717</v>
      </c>
      <c r="BS13" s="90">
        <v>717</v>
      </c>
      <c r="BT13" s="90">
        <v>717</v>
      </c>
      <c r="BU13" s="90">
        <v>717</v>
      </c>
      <c r="BV13" s="90">
        <v>717</v>
      </c>
      <c r="BW13" s="90">
        <v>717</v>
      </c>
      <c r="BX13" s="90">
        <v>717</v>
      </c>
      <c r="BY13" s="90">
        <v>717</v>
      </c>
      <c r="BZ13" s="90">
        <v>717</v>
      </c>
      <c r="CA13" s="90">
        <v>717</v>
      </c>
      <c r="CB13" s="90">
        <v>874</v>
      </c>
      <c r="CC13" s="90">
        <v>874</v>
      </c>
      <c r="CD13" s="90">
        <v>874</v>
      </c>
      <c r="CE13" s="90">
        <v>874</v>
      </c>
      <c r="CF13" s="90">
        <v>874</v>
      </c>
      <c r="CG13" s="90">
        <v>991</v>
      </c>
      <c r="CH13" s="90">
        <v>991</v>
      </c>
      <c r="CI13" s="90">
        <v>991</v>
      </c>
      <c r="CJ13" s="90">
        <v>991</v>
      </c>
      <c r="CK13" s="90">
        <v>991</v>
      </c>
      <c r="CL13" s="90">
        <v>991</v>
      </c>
      <c r="CM13" s="90">
        <v>991</v>
      </c>
      <c r="CN13" s="90">
        <v>991</v>
      </c>
      <c r="CO13" s="90">
        <v>991</v>
      </c>
      <c r="CP13" s="90">
        <v>991</v>
      </c>
      <c r="CQ13" s="90">
        <v>1213</v>
      </c>
      <c r="CR13" s="90">
        <v>1213</v>
      </c>
      <c r="CS13" s="90">
        <v>1213</v>
      </c>
      <c r="CT13" s="90">
        <v>1213</v>
      </c>
      <c r="CU13" s="90">
        <v>1213</v>
      </c>
      <c r="CV13" s="90">
        <v>1213</v>
      </c>
      <c r="CW13" s="90">
        <v>1213</v>
      </c>
      <c r="CX13" s="90">
        <v>1213</v>
      </c>
      <c r="CY13" s="90">
        <v>1213</v>
      </c>
      <c r="CZ13" s="90">
        <v>1213</v>
      </c>
    </row>
    <row r="14" spans="1:104" ht="15" customHeight="1">
      <c r="A14" s="64">
        <v>2625</v>
      </c>
      <c r="B14" s="2">
        <v>1.5</v>
      </c>
      <c r="C14" s="82"/>
      <c r="D14" s="64">
        <v>3</v>
      </c>
      <c r="E14" s="90">
        <v>536</v>
      </c>
      <c r="F14" s="90">
        <v>536</v>
      </c>
      <c r="G14" s="90">
        <v>536</v>
      </c>
      <c r="H14" s="90">
        <v>536</v>
      </c>
      <c r="I14" s="90">
        <v>536</v>
      </c>
      <c r="J14" s="90">
        <v>536</v>
      </c>
      <c r="K14" s="90">
        <v>536</v>
      </c>
      <c r="L14" s="90">
        <v>536</v>
      </c>
      <c r="M14" s="90">
        <v>536</v>
      </c>
      <c r="N14" s="90">
        <v>536</v>
      </c>
      <c r="O14" s="90">
        <v>536</v>
      </c>
      <c r="P14" s="90">
        <v>536</v>
      </c>
      <c r="Q14" s="90">
        <v>536</v>
      </c>
      <c r="R14" s="90">
        <v>536</v>
      </c>
      <c r="S14" s="90">
        <v>536</v>
      </c>
      <c r="T14" s="90">
        <v>536</v>
      </c>
      <c r="U14" s="90">
        <v>536</v>
      </c>
      <c r="V14" s="90">
        <v>536</v>
      </c>
      <c r="W14" s="90">
        <v>536</v>
      </c>
      <c r="X14" s="90">
        <v>536</v>
      </c>
      <c r="Y14" s="90">
        <v>536</v>
      </c>
      <c r="Z14" s="90">
        <v>536</v>
      </c>
      <c r="AA14" s="90">
        <v>825</v>
      </c>
      <c r="AB14" s="90">
        <v>825</v>
      </c>
      <c r="AC14" s="90">
        <v>825</v>
      </c>
      <c r="AD14" s="90">
        <v>825</v>
      </c>
      <c r="AE14" s="90">
        <v>825</v>
      </c>
      <c r="AF14" s="90">
        <v>825</v>
      </c>
      <c r="AG14" s="90">
        <v>825</v>
      </c>
      <c r="AH14" s="90">
        <v>825</v>
      </c>
      <c r="AI14" s="90">
        <v>561</v>
      </c>
      <c r="AJ14" s="90">
        <v>561</v>
      </c>
      <c r="AK14" s="90">
        <v>561</v>
      </c>
      <c r="AL14" s="90">
        <v>561</v>
      </c>
      <c r="AM14" s="90">
        <v>561</v>
      </c>
      <c r="AN14" s="90">
        <v>862</v>
      </c>
      <c r="AO14" s="90">
        <v>862</v>
      </c>
      <c r="AP14" s="90">
        <v>862</v>
      </c>
      <c r="AQ14" s="90">
        <v>862</v>
      </c>
      <c r="AR14" s="90">
        <v>862</v>
      </c>
      <c r="AS14" s="90">
        <v>862</v>
      </c>
      <c r="AT14" s="90">
        <v>862</v>
      </c>
      <c r="AU14" s="90">
        <v>862</v>
      </c>
      <c r="AV14" s="90">
        <v>862</v>
      </c>
      <c r="AW14" s="90">
        <v>862</v>
      </c>
      <c r="AX14" s="90">
        <v>862</v>
      </c>
      <c r="AY14" s="90">
        <v>862</v>
      </c>
      <c r="AZ14" s="90">
        <v>862</v>
      </c>
      <c r="BA14" s="90">
        <v>862</v>
      </c>
      <c r="BB14" s="90">
        <v>862</v>
      </c>
      <c r="BC14" s="90">
        <v>891</v>
      </c>
      <c r="BD14" s="90">
        <v>891</v>
      </c>
      <c r="BE14" s="90">
        <v>891</v>
      </c>
      <c r="BF14" s="90">
        <v>891</v>
      </c>
      <c r="BG14" s="90">
        <v>891</v>
      </c>
      <c r="BH14" s="90">
        <v>891</v>
      </c>
      <c r="BI14" s="90">
        <v>891</v>
      </c>
      <c r="BJ14" s="90">
        <v>891</v>
      </c>
      <c r="BK14" s="90">
        <v>891</v>
      </c>
      <c r="BL14" s="90">
        <v>891</v>
      </c>
      <c r="BM14" s="90">
        <v>891</v>
      </c>
      <c r="BN14" s="90">
        <v>891</v>
      </c>
      <c r="BO14" s="90">
        <v>891</v>
      </c>
      <c r="BP14" s="90">
        <v>891</v>
      </c>
      <c r="BQ14" s="90">
        <v>891</v>
      </c>
      <c r="BR14" s="90">
        <v>891</v>
      </c>
      <c r="BS14" s="90">
        <v>891</v>
      </c>
      <c r="BT14" s="90">
        <v>891</v>
      </c>
      <c r="BU14" s="90">
        <v>891</v>
      </c>
      <c r="BV14" s="90">
        <v>891</v>
      </c>
      <c r="BW14" s="90">
        <v>891</v>
      </c>
      <c r="BX14" s="90">
        <v>891</v>
      </c>
      <c r="BY14" s="90">
        <v>891</v>
      </c>
      <c r="BZ14" s="90">
        <v>891</v>
      </c>
      <c r="CA14" s="90">
        <v>891</v>
      </c>
      <c r="CB14" s="90">
        <v>1087</v>
      </c>
      <c r="CC14" s="90">
        <v>1087</v>
      </c>
      <c r="CD14" s="90">
        <v>1087</v>
      </c>
      <c r="CE14" s="90">
        <v>1087</v>
      </c>
      <c r="CF14" s="90">
        <v>1087</v>
      </c>
      <c r="CG14" s="90">
        <v>1234</v>
      </c>
      <c r="CH14" s="90">
        <v>1234</v>
      </c>
      <c r="CI14" s="90">
        <v>1234</v>
      </c>
      <c r="CJ14" s="90">
        <v>1234</v>
      </c>
      <c r="CK14" s="90">
        <v>1234</v>
      </c>
      <c r="CL14" s="90">
        <v>1234</v>
      </c>
      <c r="CM14" s="90">
        <v>1234</v>
      </c>
      <c r="CN14" s="90">
        <v>1234</v>
      </c>
      <c r="CO14" s="90">
        <v>1234</v>
      </c>
      <c r="CP14" s="90">
        <v>1234</v>
      </c>
      <c r="CQ14" s="90">
        <v>1511</v>
      </c>
      <c r="CR14" s="90">
        <v>1511</v>
      </c>
      <c r="CS14" s="90">
        <v>1511</v>
      </c>
      <c r="CT14" s="90">
        <v>1511</v>
      </c>
      <c r="CU14" s="90">
        <v>1511</v>
      </c>
      <c r="CV14" s="90">
        <v>1511</v>
      </c>
      <c r="CW14" s="90">
        <v>1511</v>
      </c>
      <c r="CX14" s="90">
        <v>1511</v>
      </c>
      <c r="CY14" s="90">
        <v>1511</v>
      </c>
      <c r="CZ14" s="90">
        <v>1511</v>
      </c>
    </row>
    <row r="15" spans="1:104" ht="15" customHeight="1">
      <c r="A15" s="64">
        <v>2800</v>
      </c>
      <c r="B15" s="64">
        <v>1.6</v>
      </c>
      <c r="C15" s="64">
        <v>4</v>
      </c>
      <c r="D15" s="64"/>
      <c r="E15" s="90">
        <v>585</v>
      </c>
      <c r="F15" s="90">
        <v>585</v>
      </c>
      <c r="G15" s="90">
        <v>585</v>
      </c>
      <c r="H15" s="90">
        <v>585</v>
      </c>
      <c r="I15" s="90">
        <v>585</v>
      </c>
      <c r="J15" s="90">
        <v>585</v>
      </c>
      <c r="K15" s="90">
        <v>585</v>
      </c>
      <c r="L15" s="90">
        <v>585</v>
      </c>
      <c r="M15" s="90">
        <v>585</v>
      </c>
      <c r="N15" s="90">
        <v>585</v>
      </c>
      <c r="O15" s="90">
        <v>585</v>
      </c>
      <c r="P15" s="90">
        <v>585</v>
      </c>
      <c r="Q15" s="90">
        <v>585</v>
      </c>
      <c r="R15" s="90">
        <v>585</v>
      </c>
      <c r="S15" s="90">
        <v>585</v>
      </c>
      <c r="T15" s="90">
        <v>585</v>
      </c>
      <c r="U15" s="90">
        <v>585</v>
      </c>
      <c r="V15" s="90">
        <v>585</v>
      </c>
      <c r="W15" s="90">
        <v>585</v>
      </c>
      <c r="X15" s="90">
        <v>585</v>
      </c>
      <c r="Y15" s="90">
        <v>585</v>
      </c>
      <c r="Z15" s="90">
        <v>585</v>
      </c>
      <c r="AA15" s="90">
        <v>858</v>
      </c>
      <c r="AB15" s="90">
        <v>858</v>
      </c>
      <c r="AC15" s="90">
        <v>858</v>
      </c>
      <c r="AD15" s="90">
        <v>858</v>
      </c>
      <c r="AE15" s="90">
        <v>858</v>
      </c>
      <c r="AF15" s="90">
        <v>858</v>
      </c>
      <c r="AG15" s="90">
        <v>858</v>
      </c>
      <c r="AH15" s="90">
        <v>858</v>
      </c>
      <c r="AI15" s="90">
        <v>628</v>
      </c>
      <c r="AJ15" s="90">
        <v>628</v>
      </c>
      <c r="AK15" s="90">
        <v>628</v>
      </c>
      <c r="AL15" s="90">
        <v>628</v>
      </c>
      <c r="AM15" s="90">
        <v>628</v>
      </c>
      <c r="AN15" s="90">
        <v>904</v>
      </c>
      <c r="AO15" s="90">
        <v>904</v>
      </c>
      <c r="AP15" s="90">
        <v>904</v>
      </c>
      <c r="AQ15" s="90">
        <v>904</v>
      </c>
      <c r="AR15" s="90">
        <v>904</v>
      </c>
      <c r="AS15" s="90">
        <v>904</v>
      </c>
      <c r="AT15" s="90">
        <v>904</v>
      </c>
      <c r="AU15" s="90">
        <v>904</v>
      </c>
      <c r="AV15" s="90">
        <v>904</v>
      </c>
      <c r="AW15" s="90">
        <v>904</v>
      </c>
      <c r="AX15" s="90">
        <v>904</v>
      </c>
      <c r="AY15" s="90">
        <v>904</v>
      </c>
      <c r="AZ15" s="90">
        <v>904</v>
      </c>
      <c r="BA15" s="90">
        <v>904</v>
      </c>
      <c r="BB15" s="90">
        <v>904</v>
      </c>
      <c r="BC15" s="90">
        <v>956</v>
      </c>
      <c r="BD15" s="90">
        <v>956</v>
      </c>
      <c r="BE15" s="90">
        <v>956</v>
      </c>
      <c r="BF15" s="90">
        <v>956</v>
      </c>
      <c r="BG15" s="90">
        <v>956</v>
      </c>
      <c r="BH15" s="90">
        <v>956</v>
      </c>
      <c r="BI15" s="90">
        <v>956</v>
      </c>
      <c r="BJ15" s="90">
        <v>956</v>
      </c>
      <c r="BK15" s="90">
        <v>956</v>
      </c>
      <c r="BL15" s="90">
        <v>956</v>
      </c>
      <c r="BM15" s="90">
        <v>956</v>
      </c>
      <c r="BN15" s="90">
        <v>956</v>
      </c>
      <c r="BO15" s="90">
        <v>956</v>
      </c>
      <c r="BP15" s="90">
        <v>956</v>
      </c>
      <c r="BQ15" s="90">
        <v>956</v>
      </c>
      <c r="BR15" s="90">
        <v>956</v>
      </c>
      <c r="BS15" s="90">
        <v>956</v>
      </c>
      <c r="BT15" s="90">
        <v>956</v>
      </c>
      <c r="BU15" s="90">
        <v>956</v>
      </c>
      <c r="BV15" s="90">
        <v>956</v>
      </c>
      <c r="BW15" s="90">
        <v>956</v>
      </c>
      <c r="BX15" s="90">
        <v>956</v>
      </c>
      <c r="BY15" s="90">
        <v>956</v>
      </c>
      <c r="BZ15" s="90">
        <v>956</v>
      </c>
      <c r="CA15" s="90">
        <v>956</v>
      </c>
      <c r="CB15" s="90">
        <v>1165</v>
      </c>
      <c r="CC15" s="90">
        <v>1165</v>
      </c>
      <c r="CD15" s="90">
        <v>1165</v>
      </c>
      <c r="CE15" s="90">
        <v>1165</v>
      </c>
      <c r="CF15" s="90">
        <v>1165</v>
      </c>
      <c r="CG15" s="90">
        <v>1322</v>
      </c>
      <c r="CH15" s="90">
        <v>1322</v>
      </c>
      <c r="CI15" s="90">
        <v>1322</v>
      </c>
      <c r="CJ15" s="90">
        <v>1322</v>
      </c>
      <c r="CK15" s="90">
        <v>1322</v>
      </c>
      <c r="CL15" s="90">
        <v>1322</v>
      </c>
      <c r="CM15" s="90">
        <v>1322</v>
      </c>
      <c r="CN15" s="90">
        <v>1322</v>
      </c>
      <c r="CO15" s="90">
        <v>1322</v>
      </c>
      <c r="CP15" s="90">
        <v>1322</v>
      </c>
      <c r="CQ15" s="90">
        <v>1617</v>
      </c>
      <c r="CR15" s="90">
        <v>1617</v>
      </c>
      <c r="CS15" s="90">
        <v>1617</v>
      </c>
      <c r="CT15" s="90">
        <v>1617</v>
      </c>
      <c r="CU15" s="90">
        <v>1617</v>
      </c>
      <c r="CV15" s="90">
        <v>1617</v>
      </c>
      <c r="CW15" s="90">
        <v>1617</v>
      </c>
      <c r="CX15" s="90">
        <v>1617</v>
      </c>
      <c r="CY15" s="90">
        <v>1617</v>
      </c>
      <c r="CZ15" s="90">
        <v>1617</v>
      </c>
    </row>
    <row r="16" spans="1:104" ht="15" customHeight="1">
      <c r="A16" s="64">
        <v>3500</v>
      </c>
      <c r="B16" s="64">
        <v>2</v>
      </c>
      <c r="C16" s="64">
        <v>5</v>
      </c>
      <c r="D16" s="64">
        <v>4</v>
      </c>
      <c r="E16" s="90">
        <v>656</v>
      </c>
      <c r="F16" s="90">
        <v>656</v>
      </c>
      <c r="G16" s="90">
        <v>656</v>
      </c>
      <c r="H16" s="90">
        <v>656</v>
      </c>
      <c r="I16" s="90">
        <v>656</v>
      </c>
      <c r="J16" s="90">
        <v>656</v>
      </c>
      <c r="K16" s="90">
        <v>656</v>
      </c>
      <c r="L16" s="90">
        <v>656</v>
      </c>
      <c r="M16" s="90">
        <v>656</v>
      </c>
      <c r="N16" s="90">
        <v>656</v>
      </c>
      <c r="O16" s="90">
        <v>656</v>
      </c>
      <c r="P16" s="90">
        <v>656</v>
      </c>
      <c r="Q16" s="90">
        <v>656</v>
      </c>
      <c r="R16" s="90">
        <v>656</v>
      </c>
      <c r="S16" s="90">
        <v>656</v>
      </c>
      <c r="T16" s="90">
        <v>656</v>
      </c>
      <c r="U16" s="90">
        <v>656</v>
      </c>
      <c r="V16" s="90">
        <v>656</v>
      </c>
      <c r="W16" s="90">
        <v>656</v>
      </c>
      <c r="X16" s="90">
        <v>656</v>
      </c>
      <c r="Y16" s="90">
        <v>656</v>
      </c>
      <c r="Z16" s="90">
        <v>656</v>
      </c>
      <c r="AA16" s="90">
        <v>866</v>
      </c>
      <c r="AB16" s="90">
        <v>866</v>
      </c>
      <c r="AC16" s="90">
        <v>866</v>
      </c>
      <c r="AD16" s="90">
        <v>866</v>
      </c>
      <c r="AE16" s="90">
        <v>866</v>
      </c>
      <c r="AF16" s="90">
        <v>866</v>
      </c>
      <c r="AG16" s="90">
        <v>866</v>
      </c>
      <c r="AH16" s="90">
        <v>866</v>
      </c>
      <c r="AI16" s="90">
        <v>703</v>
      </c>
      <c r="AJ16" s="90">
        <v>703</v>
      </c>
      <c r="AK16" s="90">
        <v>703</v>
      </c>
      <c r="AL16" s="90">
        <v>703</v>
      </c>
      <c r="AM16" s="90">
        <v>703</v>
      </c>
      <c r="AN16" s="90">
        <v>940</v>
      </c>
      <c r="AO16" s="90">
        <v>940</v>
      </c>
      <c r="AP16" s="90">
        <v>940</v>
      </c>
      <c r="AQ16" s="90">
        <v>940</v>
      </c>
      <c r="AR16" s="90">
        <v>940</v>
      </c>
      <c r="AS16" s="90">
        <v>940</v>
      </c>
      <c r="AT16" s="90">
        <v>940</v>
      </c>
      <c r="AU16" s="90">
        <v>940</v>
      </c>
      <c r="AV16" s="90">
        <v>940</v>
      </c>
      <c r="AW16" s="90">
        <v>940</v>
      </c>
      <c r="AX16" s="90">
        <v>940</v>
      </c>
      <c r="AY16" s="90">
        <v>940</v>
      </c>
      <c r="AZ16" s="90">
        <v>940</v>
      </c>
      <c r="BA16" s="90">
        <v>940</v>
      </c>
      <c r="BB16" s="90">
        <v>940</v>
      </c>
      <c r="BC16" s="90">
        <v>1024</v>
      </c>
      <c r="BD16" s="90">
        <v>1024</v>
      </c>
      <c r="BE16" s="90">
        <v>1024</v>
      </c>
      <c r="BF16" s="90">
        <v>1024</v>
      </c>
      <c r="BG16" s="90">
        <v>1024</v>
      </c>
      <c r="BH16" s="90">
        <v>1024</v>
      </c>
      <c r="BI16" s="90">
        <v>1024</v>
      </c>
      <c r="BJ16" s="90">
        <v>1024</v>
      </c>
      <c r="BK16" s="90">
        <v>1024</v>
      </c>
      <c r="BL16" s="90">
        <v>1024</v>
      </c>
      <c r="BM16" s="90">
        <v>1024</v>
      </c>
      <c r="BN16" s="90">
        <v>1024</v>
      </c>
      <c r="BO16" s="90">
        <v>1024</v>
      </c>
      <c r="BP16" s="90">
        <v>1024</v>
      </c>
      <c r="BQ16" s="90">
        <v>1024</v>
      </c>
      <c r="BR16" s="90">
        <v>1024</v>
      </c>
      <c r="BS16" s="90">
        <v>1024</v>
      </c>
      <c r="BT16" s="90">
        <v>1024</v>
      </c>
      <c r="BU16" s="90">
        <v>1024</v>
      </c>
      <c r="BV16" s="90">
        <v>1024</v>
      </c>
      <c r="BW16" s="90">
        <v>1024</v>
      </c>
      <c r="BX16" s="90">
        <v>1024</v>
      </c>
      <c r="BY16" s="90">
        <v>1024</v>
      </c>
      <c r="BZ16" s="90">
        <v>1024</v>
      </c>
      <c r="CA16" s="90">
        <v>1024</v>
      </c>
      <c r="CB16" s="90">
        <v>1203</v>
      </c>
      <c r="CC16" s="90">
        <v>1203</v>
      </c>
      <c r="CD16" s="90">
        <v>1203</v>
      </c>
      <c r="CE16" s="90">
        <v>1203</v>
      </c>
      <c r="CF16" s="90">
        <v>1203</v>
      </c>
      <c r="CG16" s="90">
        <v>1348</v>
      </c>
      <c r="CH16" s="90">
        <v>1348</v>
      </c>
      <c r="CI16" s="90">
        <v>1348</v>
      </c>
      <c r="CJ16" s="90">
        <v>1348</v>
      </c>
      <c r="CK16" s="90">
        <v>1348</v>
      </c>
      <c r="CL16" s="90">
        <v>1348</v>
      </c>
      <c r="CM16" s="90">
        <v>1348</v>
      </c>
      <c r="CN16" s="90">
        <v>1348</v>
      </c>
      <c r="CO16" s="90">
        <v>1348</v>
      </c>
      <c r="CP16" s="90">
        <v>1348</v>
      </c>
      <c r="CQ16" s="90">
        <v>1638</v>
      </c>
      <c r="CR16" s="90">
        <v>1638</v>
      </c>
      <c r="CS16" s="90">
        <v>1638</v>
      </c>
      <c r="CT16" s="90">
        <v>1638</v>
      </c>
      <c r="CU16" s="90">
        <v>1638</v>
      </c>
      <c r="CV16" s="90">
        <v>1638</v>
      </c>
      <c r="CW16" s="90">
        <v>1638</v>
      </c>
      <c r="CX16" s="90">
        <v>1638</v>
      </c>
      <c r="CY16" s="90">
        <v>1638</v>
      </c>
      <c r="CZ16" s="90">
        <v>1638</v>
      </c>
    </row>
    <row r="17" spans="1:104" ht="15" customHeight="1">
      <c r="A17" s="2">
        <v>4200</v>
      </c>
      <c r="B17" s="2">
        <v>2.4</v>
      </c>
      <c r="C17" s="2">
        <v>6</v>
      </c>
      <c r="D17" s="2"/>
      <c r="E17" s="99">
        <v>724</v>
      </c>
      <c r="F17" s="99">
        <v>724</v>
      </c>
      <c r="G17" s="99">
        <v>724</v>
      </c>
      <c r="H17" s="99">
        <v>724</v>
      </c>
      <c r="I17" s="99">
        <v>724</v>
      </c>
      <c r="J17" s="99">
        <v>724</v>
      </c>
      <c r="K17" s="99">
        <v>724</v>
      </c>
      <c r="L17" s="99">
        <v>724</v>
      </c>
      <c r="M17" s="99">
        <v>724</v>
      </c>
      <c r="N17" s="99">
        <v>724</v>
      </c>
      <c r="O17" s="99">
        <v>724</v>
      </c>
      <c r="P17" s="99">
        <v>724</v>
      </c>
      <c r="Q17" s="99">
        <v>724</v>
      </c>
      <c r="R17" s="99">
        <v>724</v>
      </c>
      <c r="S17" s="99">
        <v>724</v>
      </c>
      <c r="T17" s="99">
        <v>724</v>
      </c>
      <c r="U17" s="99">
        <v>724</v>
      </c>
      <c r="V17" s="99">
        <v>724</v>
      </c>
      <c r="W17" s="99">
        <v>724</v>
      </c>
      <c r="X17" s="99">
        <v>724</v>
      </c>
      <c r="Y17" s="99">
        <v>724</v>
      </c>
      <c r="Z17" s="99">
        <v>724</v>
      </c>
      <c r="AA17" s="99">
        <v>1016</v>
      </c>
      <c r="AB17" s="99">
        <v>1016</v>
      </c>
      <c r="AC17" s="99">
        <v>1016</v>
      </c>
      <c r="AD17" s="99">
        <v>1016</v>
      </c>
      <c r="AE17" s="99">
        <v>1016</v>
      </c>
      <c r="AF17" s="99">
        <v>1016</v>
      </c>
      <c r="AG17" s="99">
        <v>1016</v>
      </c>
      <c r="AH17" s="99">
        <v>1016</v>
      </c>
      <c r="AI17" s="99">
        <v>776</v>
      </c>
      <c r="AJ17" s="99">
        <v>776</v>
      </c>
      <c r="AK17" s="99">
        <v>776</v>
      </c>
      <c r="AL17" s="99">
        <v>776</v>
      </c>
      <c r="AM17" s="99">
        <v>776</v>
      </c>
      <c r="AN17" s="99">
        <v>1010</v>
      </c>
      <c r="AO17" s="99">
        <v>1010</v>
      </c>
      <c r="AP17" s="99">
        <v>1010</v>
      </c>
      <c r="AQ17" s="99">
        <v>1010</v>
      </c>
      <c r="AR17" s="99">
        <v>1010</v>
      </c>
      <c r="AS17" s="99">
        <v>1010</v>
      </c>
      <c r="AT17" s="99">
        <v>1010</v>
      </c>
      <c r="AU17" s="99">
        <v>1010</v>
      </c>
      <c r="AV17" s="99">
        <v>1010</v>
      </c>
      <c r="AW17" s="99">
        <v>1010</v>
      </c>
      <c r="AX17" s="99">
        <v>1010</v>
      </c>
      <c r="AY17" s="99">
        <v>1010</v>
      </c>
      <c r="AZ17" s="99">
        <v>1010</v>
      </c>
      <c r="BA17" s="99">
        <v>1010</v>
      </c>
      <c r="BB17" s="99">
        <v>1010</v>
      </c>
      <c r="BC17" s="90">
        <v>1061</v>
      </c>
      <c r="BD17" s="90">
        <v>1061</v>
      </c>
      <c r="BE17" s="90">
        <v>1061</v>
      </c>
      <c r="BF17" s="90">
        <v>1061</v>
      </c>
      <c r="BG17" s="90">
        <v>1061</v>
      </c>
      <c r="BH17" s="90">
        <v>1061</v>
      </c>
      <c r="BI17" s="90">
        <v>1061</v>
      </c>
      <c r="BJ17" s="90">
        <v>1061</v>
      </c>
      <c r="BK17" s="90">
        <v>1061</v>
      </c>
      <c r="BL17" s="90">
        <v>1061</v>
      </c>
      <c r="BM17" s="90">
        <v>1061</v>
      </c>
      <c r="BN17" s="90">
        <v>1061</v>
      </c>
      <c r="BO17" s="90">
        <v>1061</v>
      </c>
      <c r="BP17" s="90">
        <v>1061</v>
      </c>
      <c r="BQ17" s="90">
        <v>1061</v>
      </c>
      <c r="BR17" s="90">
        <v>1061</v>
      </c>
      <c r="BS17" s="90">
        <v>1061</v>
      </c>
      <c r="BT17" s="90">
        <v>1061</v>
      </c>
      <c r="BU17" s="90">
        <v>1061</v>
      </c>
      <c r="BV17" s="90">
        <v>1061</v>
      </c>
      <c r="BW17" s="90">
        <v>1061</v>
      </c>
      <c r="BX17" s="90">
        <v>1061</v>
      </c>
      <c r="BY17" s="90">
        <v>1061</v>
      </c>
      <c r="BZ17" s="90">
        <v>1061</v>
      </c>
      <c r="CA17" s="90">
        <v>1061</v>
      </c>
      <c r="CB17" s="99">
        <v>1410</v>
      </c>
      <c r="CC17" s="99">
        <v>1410</v>
      </c>
      <c r="CD17" s="99">
        <v>1410</v>
      </c>
      <c r="CE17" s="99">
        <v>1410</v>
      </c>
      <c r="CF17" s="99">
        <v>1410</v>
      </c>
      <c r="CG17" s="99">
        <v>1580</v>
      </c>
      <c r="CH17" s="99">
        <v>1580</v>
      </c>
      <c r="CI17" s="99">
        <v>1580</v>
      </c>
      <c r="CJ17" s="99">
        <v>1580</v>
      </c>
      <c r="CK17" s="99">
        <v>1580</v>
      </c>
      <c r="CL17" s="99">
        <v>1580</v>
      </c>
      <c r="CM17" s="99">
        <v>1580</v>
      </c>
      <c r="CN17" s="99">
        <v>1580</v>
      </c>
      <c r="CO17" s="99">
        <v>1580</v>
      </c>
      <c r="CP17" s="99">
        <v>1580</v>
      </c>
      <c r="CQ17" s="99">
        <v>1919</v>
      </c>
      <c r="CR17" s="99">
        <v>1919</v>
      </c>
      <c r="CS17" s="99">
        <v>1919</v>
      </c>
      <c r="CT17" s="99">
        <v>1919</v>
      </c>
      <c r="CU17" s="99">
        <v>1919</v>
      </c>
      <c r="CV17" s="99">
        <v>1919</v>
      </c>
      <c r="CW17" s="99">
        <v>1919</v>
      </c>
      <c r="CX17" s="99">
        <v>1919</v>
      </c>
      <c r="CY17" s="99">
        <v>1919</v>
      </c>
      <c r="CZ17" s="99">
        <v>1919</v>
      </c>
    </row>
    <row r="18" spans="1:104" ht="15" customHeight="1">
      <c r="A18" s="2">
        <v>4375</v>
      </c>
      <c r="B18" s="2">
        <v>2.5</v>
      </c>
      <c r="C18" s="2"/>
      <c r="D18" s="2">
        <v>5</v>
      </c>
      <c r="E18" s="99">
        <v>827</v>
      </c>
      <c r="F18" s="99">
        <v>827</v>
      </c>
      <c r="G18" s="99">
        <v>827</v>
      </c>
      <c r="H18" s="99">
        <v>827</v>
      </c>
      <c r="I18" s="99">
        <v>827</v>
      </c>
      <c r="J18" s="99">
        <v>827</v>
      </c>
      <c r="K18" s="99">
        <v>827</v>
      </c>
      <c r="L18" s="99">
        <v>827</v>
      </c>
      <c r="M18" s="99">
        <v>827</v>
      </c>
      <c r="N18" s="99">
        <v>827</v>
      </c>
      <c r="O18" s="99">
        <v>827</v>
      </c>
      <c r="P18" s="99">
        <v>827</v>
      </c>
      <c r="Q18" s="99">
        <v>827</v>
      </c>
      <c r="R18" s="99">
        <v>827</v>
      </c>
      <c r="S18" s="99">
        <v>827</v>
      </c>
      <c r="T18" s="99">
        <v>827</v>
      </c>
      <c r="U18" s="99">
        <v>827</v>
      </c>
      <c r="V18" s="99">
        <v>827</v>
      </c>
      <c r="W18" s="99">
        <v>827</v>
      </c>
      <c r="X18" s="99">
        <v>827</v>
      </c>
      <c r="Y18" s="99">
        <v>827</v>
      </c>
      <c r="Z18" s="99">
        <v>827</v>
      </c>
      <c r="AA18" s="99">
        <v>1057</v>
      </c>
      <c r="AB18" s="99">
        <v>1057</v>
      </c>
      <c r="AC18" s="99">
        <v>1057</v>
      </c>
      <c r="AD18" s="99">
        <v>1057</v>
      </c>
      <c r="AE18" s="99">
        <v>1057</v>
      </c>
      <c r="AF18" s="99">
        <v>1057</v>
      </c>
      <c r="AG18" s="99">
        <v>1057</v>
      </c>
      <c r="AH18" s="99">
        <v>1057</v>
      </c>
      <c r="AI18" s="99">
        <v>887</v>
      </c>
      <c r="AJ18" s="99">
        <v>887</v>
      </c>
      <c r="AK18" s="99">
        <v>887</v>
      </c>
      <c r="AL18" s="99">
        <v>887</v>
      </c>
      <c r="AM18" s="99">
        <v>887</v>
      </c>
      <c r="AN18" s="99">
        <v>1082</v>
      </c>
      <c r="AO18" s="99">
        <v>1082</v>
      </c>
      <c r="AP18" s="99">
        <v>1082</v>
      </c>
      <c r="AQ18" s="99">
        <v>1082</v>
      </c>
      <c r="AR18" s="99">
        <v>1082</v>
      </c>
      <c r="AS18" s="99">
        <v>1082</v>
      </c>
      <c r="AT18" s="99">
        <v>1082</v>
      </c>
      <c r="AU18" s="99">
        <v>1082</v>
      </c>
      <c r="AV18" s="99">
        <v>1082</v>
      </c>
      <c r="AW18" s="99">
        <v>1082</v>
      </c>
      <c r="AX18" s="99">
        <v>1082</v>
      </c>
      <c r="AY18" s="99">
        <v>1082</v>
      </c>
      <c r="AZ18" s="99">
        <v>1082</v>
      </c>
      <c r="BA18" s="99">
        <v>1082</v>
      </c>
      <c r="BB18" s="99">
        <v>1082</v>
      </c>
      <c r="BC18" s="90">
        <v>1115</v>
      </c>
      <c r="BD18" s="99">
        <v>1115</v>
      </c>
      <c r="BE18" s="99">
        <v>1115</v>
      </c>
      <c r="BF18" s="99">
        <v>1115</v>
      </c>
      <c r="BG18" s="99">
        <v>1115</v>
      </c>
      <c r="BH18" s="99">
        <v>1115</v>
      </c>
      <c r="BI18" s="99">
        <v>1115</v>
      </c>
      <c r="BJ18" s="99">
        <v>1115</v>
      </c>
      <c r="BK18" s="99">
        <v>1115</v>
      </c>
      <c r="BL18" s="99">
        <v>1115</v>
      </c>
      <c r="BM18" s="99">
        <v>1115</v>
      </c>
      <c r="BN18" s="99">
        <v>1115</v>
      </c>
      <c r="BO18" s="99">
        <v>1115</v>
      </c>
      <c r="BP18" s="99">
        <v>1115</v>
      </c>
      <c r="BQ18" s="99">
        <v>1115</v>
      </c>
      <c r="BR18" s="99">
        <v>1115</v>
      </c>
      <c r="BS18" s="99">
        <v>1115</v>
      </c>
      <c r="BT18" s="99">
        <v>1115</v>
      </c>
      <c r="BU18" s="99">
        <v>1115</v>
      </c>
      <c r="BV18" s="99">
        <v>1115</v>
      </c>
      <c r="BW18" s="99">
        <v>1115</v>
      </c>
      <c r="BX18" s="99">
        <v>1115</v>
      </c>
      <c r="BY18" s="99">
        <v>1115</v>
      </c>
      <c r="BZ18" s="99">
        <v>1115</v>
      </c>
      <c r="CA18" s="99">
        <v>1115</v>
      </c>
      <c r="CB18" s="99">
        <v>1467</v>
      </c>
      <c r="CC18" s="99">
        <v>1467</v>
      </c>
      <c r="CD18" s="99">
        <v>1467</v>
      </c>
      <c r="CE18" s="99">
        <v>1467</v>
      </c>
      <c r="CF18" s="99">
        <v>1467</v>
      </c>
      <c r="CG18" s="99">
        <v>1644</v>
      </c>
      <c r="CH18" s="99">
        <v>1644</v>
      </c>
      <c r="CI18" s="99">
        <v>1644</v>
      </c>
      <c r="CJ18" s="99">
        <v>1644</v>
      </c>
      <c r="CK18" s="99">
        <v>1644</v>
      </c>
      <c r="CL18" s="99">
        <v>1644</v>
      </c>
      <c r="CM18" s="99">
        <v>1644</v>
      </c>
      <c r="CN18" s="99">
        <v>1644</v>
      </c>
      <c r="CO18" s="99">
        <v>1644</v>
      </c>
      <c r="CP18" s="99">
        <v>1644</v>
      </c>
      <c r="CQ18" s="99">
        <v>1998</v>
      </c>
      <c r="CR18" s="99">
        <v>1998</v>
      </c>
      <c r="CS18" s="99">
        <v>1998</v>
      </c>
      <c r="CT18" s="99">
        <v>1998</v>
      </c>
      <c r="CU18" s="99">
        <v>1998</v>
      </c>
      <c r="CV18" s="99">
        <v>1998</v>
      </c>
      <c r="CW18" s="99">
        <v>1998</v>
      </c>
      <c r="CX18" s="99">
        <v>1998</v>
      </c>
      <c r="CY18" s="99">
        <v>1998</v>
      </c>
      <c r="CZ18" s="99">
        <v>1998</v>
      </c>
    </row>
    <row r="19" spans="1:104" ht="15" customHeight="1">
      <c r="A19" s="2">
        <v>4900</v>
      </c>
      <c r="B19" s="2">
        <v>2.8</v>
      </c>
      <c r="C19" s="2">
        <v>7</v>
      </c>
      <c r="D19" s="2"/>
      <c r="E19" s="99">
        <v>884</v>
      </c>
      <c r="F19" s="99">
        <v>884</v>
      </c>
      <c r="G19" s="99">
        <v>884</v>
      </c>
      <c r="H19" s="99">
        <v>884</v>
      </c>
      <c r="I19" s="99">
        <v>884</v>
      </c>
      <c r="J19" s="99">
        <v>884</v>
      </c>
      <c r="K19" s="99">
        <v>884</v>
      </c>
      <c r="L19" s="99">
        <v>884</v>
      </c>
      <c r="M19" s="99">
        <v>884</v>
      </c>
      <c r="N19" s="99">
        <v>884</v>
      </c>
      <c r="O19" s="99">
        <v>884</v>
      </c>
      <c r="P19" s="99">
        <v>884</v>
      </c>
      <c r="Q19" s="99">
        <v>884</v>
      </c>
      <c r="R19" s="99">
        <v>884</v>
      </c>
      <c r="S19" s="99">
        <v>884</v>
      </c>
      <c r="T19" s="99">
        <v>884</v>
      </c>
      <c r="U19" s="99">
        <v>884</v>
      </c>
      <c r="V19" s="99">
        <v>884</v>
      </c>
      <c r="W19" s="99">
        <v>884</v>
      </c>
      <c r="X19" s="99">
        <v>884</v>
      </c>
      <c r="Y19" s="99">
        <v>884</v>
      </c>
      <c r="Z19" s="99">
        <v>884</v>
      </c>
      <c r="AA19" s="99">
        <v>1186</v>
      </c>
      <c r="AB19" s="99">
        <v>1186</v>
      </c>
      <c r="AC19" s="99">
        <v>1186</v>
      </c>
      <c r="AD19" s="99">
        <v>1186</v>
      </c>
      <c r="AE19" s="99">
        <v>1186</v>
      </c>
      <c r="AF19" s="99">
        <v>1186</v>
      </c>
      <c r="AG19" s="99">
        <v>1186</v>
      </c>
      <c r="AH19" s="99">
        <v>1186</v>
      </c>
      <c r="AI19" s="99">
        <v>947</v>
      </c>
      <c r="AJ19" s="99">
        <v>947</v>
      </c>
      <c r="AK19" s="99">
        <v>947</v>
      </c>
      <c r="AL19" s="99">
        <v>947</v>
      </c>
      <c r="AM19" s="99">
        <v>947</v>
      </c>
      <c r="AN19" s="99">
        <v>1158</v>
      </c>
      <c r="AO19" s="99">
        <v>1158</v>
      </c>
      <c r="AP19" s="99">
        <v>1158</v>
      </c>
      <c r="AQ19" s="99">
        <v>1158</v>
      </c>
      <c r="AR19" s="99">
        <v>1158</v>
      </c>
      <c r="AS19" s="99">
        <v>1158</v>
      </c>
      <c r="AT19" s="99">
        <v>1158</v>
      </c>
      <c r="AU19" s="99">
        <v>1158</v>
      </c>
      <c r="AV19" s="99">
        <v>1158</v>
      </c>
      <c r="AW19" s="99">
        <v>1158</v>
      </c>
      <c r="AX19" s="99">
        <v>1158</v>
      </c>
      <c r="AY19" s="99">
        <v>1158</v>
      </c>
      <c r="AZ19" s="99">
        <v>1158</v>
      </c>
      <c r="BA19" s="99">
        <v>1158</v>
      </c>
      <c r="BB19" s="99">
        <v>1158</v>
      </c>
      <c r="BC19" s="99">
        <v>1196</v>
      </c>
      <c r="BD19" s="99">
        <v>1196</v>
      </c>
      <c r="BE19" s="99">
        <v>1196</v>
      </c>
      <c r="BF19" s="99">
        <v>1196</v>
      </c>
      <c r="BG19" s="99">
        <v>1196</v>
      </c>
      <c r="BH19" s="99">
        <v>1196</v>
      </c>
      <c r="BI19" s="99">
        <v>1196</v>
      </c>
      <c r="BJ19" s="99">
        <v>1196</v>
      </c>
      <c r="BK19" s="99">
        <v>1196</v>
      </c>
      <c r="BL19" s="99">
        <v>1196</v>
      </c>
      <c r="BM19" s="99">
        <v>1196</v>
      </c>
      <c r="BN19" s="99">
        <v>1196</v>
      </c>
      <c r="BO19" s="99">
        <v>1196</v>
      </c>
      <c r="BP19" s="99">
        <v>1196</v>
      </c>
      <c r="BQ19" s="99">
        <v>1196</v>
      </c>
      <c r="BR19" s="99">
        <v>1196</v>
      </c>
      <c r="BS19" s="99">
        <v>1196</v>
      </c>
      <c r="BT19" s="99">
        <v>1196</v>
      </c>
      <c r="BU19" s="99">
        <v>1196</v>
      </c>
      <c r="BV19" s="99">
        <v>1196</v>
      </c>
      <c r="BW19" s="99">
        <v>1196</v>
      </c>
      <c r="BX19" s="99">
        <v>1196</v>
      </c>
      <c r="BY19" s="99">
        <v>1196</v>
      </c>
      <c r="BZ19" s="99">
        <v>1196</v>
      </c>
      <c r="CA19" s="99">
        <v>1196</v>
      </c>
      <c r="CB19" s="99">
        <v>1622</v>
      </c>
      <c r="CC19" s="99">
        <v>1622</v>
      </c>
      <c r="CD19" s="99">
        <v>1622</v>
      </c>
      <c r="CE19" s="99">
        <v>1622</v>
      </c>
      <c r="CF19" s="99">
        <v>1622</v>
      </c>
      <c r="CG19" s="99">
        <v>1695</v>
      </c>
      <c r="CH19" s="99">
        <v>1695</v>
      </c>
      <c r="CI19" s="99">
        <v>1695</v>
      </c>
      <c r="CJ19" s="99">
        <v>1695</v>
      </c>
      <c r="CK19" s="99">
        <v>1695</v>
      </c>
      <c r="CL19" s="99">
        <v>1695</v>
      </c>
      <c r="CM19" s="99">
        <v>1695</v>
      </c>
      <c r="CN19" s="99">
        <v>1695</v>
      </c>
      <c r="CO19" s="99">
        <v>1695</v>
      </c>
      <c r="CP19" s="99">
        <v>1695</v>
      </c>
      <c r="CQ19" s="99">
        <v>2063</v>
      </c>
      <c r="CR19" s="99">
        <v>2063</v>
      </c>
      <c r="CS19" s="99">
        <v>2063</v>
      </c>
      <c r="CT19" s="99">
        <v>2063</v>
      </c>
      <c r="CU19" s="99">
        <v>2063</v>
      </c>
      <c r="CV19" s="99">
        <v>2063</v>
      </c>
      <c r="CW19" s="99">
        <v>2063</v>
      </c>
      <c r="CX19" s="99">
        <v>2063</v>
      </c>
      <c r="CY19" s="99">
        <v>2063</v>
      </c>
      <c r="CZ19" s="99">
        <v>2063</v>
      </c>
    </row>
    <row r="20" spans="1:104" ht="15" customHeight="1">
      <c r="A20" s="2">
        <v>5250</v>
      </c>
      <c r="B20" s="2">
        <v>3</v>
      </c>
      <c r="C20" s="2"/>
      <c r="D20" s="2">
        <v>6</v>
      </c>
      <c r="E20" s="99">
        <v>984</v>
      </c>
      <c r="F20" s="99">
        <v>984</v>
      </c>
      <c r="G20" s="99">
        <v>984</v>
      </c>
      <c r="H20" s="99">
        <v>984</v>
      </c>
      <c r="I20" s="99">
        <v>984</v>
      </c>
      <c r="J20" s="99">
        <v>984</v>
      </c>
      <c r="K20" s="99">
        <v>984</v>
      </c>
      <c r="L20" s="99">
        <v>984</v>
      </c>
      <c r="M20" s="99">
        <v>984</v>
      </c>
      <c r="N20" s="99">
        <v>984</v>
      </c>
      <c r="O20" s="99">
        <v>984</v>
      </c>
      <c r="P20" s="99">
        <v>984</v>
      </c>
      <c r="Q20" s="99">
        <v>984</v>
      </c>
      <c r="R20" s="99">
        <v>984</v>
      </c>
      <c r="S20" s="99">
        <v>984</v>
      </c>
      <c r="T20" s="99">
        <v>984</v>
      </c>
      <c r="U20" s="99">
        <v>984</v>
      </c>
      <c r="V20" s="99">
        <v>984</v>
      </c>
      <c r="W20" s="99">
        <v>984</v>
      </c>
      <c r="X20" s="99">
        <v>984</v>
      </c>
      <c r="Y20" s="99">
        <v>984</v>
      </c>
      <c r="Z20" s="99">
        <v>984</v>
      </c>
      <c r="AA20" s="99">
        <v>1207</v>
      </c>
      <c r="AB20" s="99">
        <v>1207</v>
      </c>
      <c r="AC20" s="99">
        <v>1207</v>
      </c>
      <c r="AD20" s="99">
        <v>1207</v>
      </c>
      <c r="AE20" s="99">
        <v>1207</v>
      </c>
      <c r="AF20" s="99">
        <v>1207</v>
      </c>
      <c r="AG20" s="99">
        <v>1207</v>
      </c>
      <c r="AH20" s="99">
        <v>1207</v>
      </c>
      <c r="AI20" s="99">
        <v>1040</v>
      </c>
      <c r="AJ20" s="99">
        <v>1040</v>
      </c>
      <c r="AK20" s="99">
        <v>1040</v>
      </c>
      <c r="AL20" s="99">
        <v>1040</v>
      </c>
      <c r="AM20" s="99">
        <v>1040</v>
      </c>
      <c r="AN20" s="99">
        <v>1257</v>
      </c>
      <c r="AO20" s="99">
        <v>1257</v>
      </c>
      <c r="AP20" s="99">
        <v>1257</v>
      </c>
      <c r="AQ20" s="99">
        <v>1257</v>
      </c>
      <c r="AR20" s="99">
        <v>1257</v>
      </c>
      <c r="AS20" s="99">
        <v>1257</v>
      </c>
      <c r="AT20" s="99">
        <v>1257</v>
      </c>
      <c r="AU20" s="99">
        <v>1257</v>
      </c>
      <c r="AV20" s="99">
        <v>1257</v>
      </c>
      <c r="AW20" s="99">
        <v>1257</v>
      </c>
      <c r="AX20" s="99">
        <v>1257</v>
      </c>
      <c r="AY20" s="99">
        <v>1257</v>
      </c>
      <c r="AZ20" s="99">
        <v>1257</v>
      </c>
      <c r="BA20" s="99">
        <v>1257</v>
      </c>
      <c r="BB20" s="99">
        <v>1257</v>
      </c>
      <c r="BC20" s="99">
        <v>1271</v>
      </c>
      <c r="BD20" s="99">
        <v>1271</v>
      </c>
      <c r="BE20" s="99">
        <v>1271</v>
      </c>
      <c r="BF20" s="99">
        <v>1271</v>
      </c>
      <c r="BG20" s="99">
        <v>1271</v>
      </c>
      <c r="BH20" s="99">
        <v>1271</v>
      </c>
      <c r="BI20" s="99">
        <v>1271</v>
      </c>
      <c r="BJ20" s="99">
        <v>1271</v>
      </c>
      <c r="BK20" s="99">
        <v>1271</v>
      </c>
      <c r="BL20" s="99">
        <v>1271</v>
      </c>
      <c r="BM20" s="99">
        <v>1271</v>
      </c>
      <c r="BN20" s="99">
        <v>1271</v>
      </c>
      <c r="BO20" s="99">
        <v>1271</v>
      </c>
      <c r="BP20" s="99">
        <v>1271</v>
      </c>
      <c r="BQ20" s="99">
        <v>1271</v>
      </c>
      <c r="BR20" s="99">
        <v>1271</v>
      </c>
      <c r="BS20" s="99">
        <v>1271</v>
      </c>
      <c r="BT20" s="99">
        <v>1271</v>
      </c>
      <c r="BU20" s="99">
        <v>1271</v>
      </c>
      <c r="BV20" s="99">
        <v>1271</v>
      </c>
      <c r="BW20" s="99">
        <v>1271</v>
      </c>
      <c r="BX20" s="99">
        <v>1271</v>
      </c>
      <c r="BY20" s="99">
        <v>1271</v>
      </c>
      <c r="BZ20" s="99">
        <v>1271</v>
      </c>
      <c r="CA20" s="99">
        <v>1271</v>
      </c>
      <c r="CB20" s="99">
        <v>1754</v>
      </c>
      <c r="CC20" s="99">
        <v>1754</v>
      </c>
      <c r="CD20" s="99">
        <v>1754</v>
      </c>
      <c r="CE20" s="99">
        <v>1754</v>
      </c>
      <c r="CF20" s="99">
        <v>1754</v>
      </c>
      <c r="CG20" s="99">
        <v>1803</v>
      </c>
      <c r="CH20" s="99">
        <v>1803</v>
      </c>
      <c r="CI20" s="99">
        <v>1803</v>
      </c>
      <c r="CJ20" s="99">
        <v>1803</v>
      </c>
      <c r="CK20" s="99">
        <v>1803</v>
      </c>
      <c r="CL20" s="99">
        <v>1803</v>
      </c>
      <c r="CM20" s="99">
        <v>1803</v>
      </c>
      <c r="CN20" s="99">
        <v>1803</v>
      </c>
      <c r="CO20" s="99">
        <v>1803</v>
      </c>
      <c r="CP20" s="99">
        <v>1803</v>
      </c>
      <c r="CQ20" s="99">
        <v>2121</v>
      </c>
      <c r="CR20" s="99">
        <v>2121</v>
      </c>
      <c r="CS20" s="99">
        <v>2121</v>
      </c>
      <c r="CT20" s="99">
        <v>2121</v>
      </c>
      <c r="CU20" s="99">
        <v>2121</v>
      </c>
      <c r="CV20" s="99">
        <v>2121</v>
      </c>
      <c r="CW20" s="99">
        <v>2121</v>
      </c>
      <c r="CX20" s="99">
        <v>2121</v>
      </c>
      <c r="CY20" s="99">
        <v>2121</v>
      </c>
      <c r="CZ20" s="99">
        <v>2121</v>
      </c>
    </row>
    <row r="21" spans="1:104" ht="15" customHeight="1">
      <c r="A21" s="2">
        <v>5600</v>
      </c>
      <c r="B21" s="2">
        <v>3.2</v>
      </c>
      <c r="C21" s="2">
        <v>8</v>
      </c>
      <c r="D21" s="2"/>
      <c r="E21" s="99">
        <v>1058</v>
      </c>
      <c r="F21" s="99">
        <v>1058</v>
      </c>
      <c r="G21" s="99">
        <v>1058</v>
      </c>
      <c r="H21" s="99">
        <v>1058</v>
      </c>
      <c r="I21" s="99">
        <v>1058</v>
      </c>
      <c r="J21" s="99">
        <v>1058</v>
      </c>
      <c r="K21" s="99">
        <v>1058</v>
      </c>
      <c r="L21" s="99">
        <v>1058</v>
      </c>
      <c r="M21" s="99">
        <v>1058</v>
      </c>
      <c r="N21" s="99">
        <v>1058</v>
      </c>
      <c r="O21" s="99">
        <v>1058</v>
      </c>
      <c r="P21" s="99">
        <v>1058</v>
      </c>
      <c r="Q21" s="99">
        <v>1058</v>
      </c>
      <c r="R21" s="99">
        <v>1058</v>
      </c>
      <c r="S21" s="99">
        <v>1058</v>
      </c>
      <c r="T21" s="99">
        <v>1058</v>
      </c>
      <c r="U21" s="99">
        <v>1058</v>
      </c>
      <c r="V21" s="99">
        <v>1058</v>
      </c>
      <c r="W21" s="99">
        <v>1058</v>
      </c>
      <c r="X21" s="99">
        <v>1058</v>
      </c>
      <c r="Y21" s="99">
        <v>1058</v>
      </c>
      <c r="Z21" s="99">
        <v>1058</v>
      </c>
      <c r="AA21" s="99">
        <v>1227</v>
      </c>
      <c r="AB21" s="99">
        <v>1227</v>
      </c>
      <c r="AC21" s="99">
        <v>1227</v>
      </c>
      <c r="AD21" s="99">
        <v>1227</v>
      </c>
      <c r="AE21" s="99">
        <v>1227</v>
      </c>
      <c r="AF21" s="99">
        <v>1227</v>
      </c>
      <c r="AG21" s="99">
        <v>1227</v>
      </c>
      <c r="AH21" s="99">
        <v>1227</v>
      </c>
      <c r="AI21" s="99">
        <v>1127</v>
      </c>
      <c r="AJ21" s="99">
        <v>1127</v>
      </c>
      <c r="AK21" s="99">
        <v>1127</v>
      </c>
      <c r="AL21" s="99">
        <v>1127</v>
      </c>
      <c r="AM21" s="99">
        <v>1127</v>
      </c>
      <c r="AN21" s="99">
        <v>1317</v>
      </c>
      <c r="AO21" s="99">
        <v>1317</v>
      </c>
      <c r="AP21" s="99">
        <v>1317</v>
      </c>
      <c r="AQ21" s="99">
        <v>1317</v>
      </c>
      <c r="AR21" s="99">
        <v>1317</v>
      </c>
      <c r="AS21" s="99">
        <v>1317</v>
      </c>
      <c r="AT21" s="99">
        <v>1317</v>
      </c>
      <c r="AU21" s="99">
        <v>1317</v>
      </c>
      <c r="AV21" s="99">
        <v>1317</v>
      </c>
      <c r="AW21" s="99">
        <v>1317</v>
      </c>
      <c r="AX21" s="99">
        <v>1317</v>
      </c>
      <c r="AY21" s="99">
        <v>1317</v>
      </c>
      <c r="AZ21" s="99">
        <v>1317</v>
      </c>
      <c r="BA21" s="99">
        <v>1317</v>
      </c>
      <c r="BB21" s="99">
        <v>1317</v>
      </c>
      <c r="BC21" s="99">
        <v>1344</v>
      </c>
      <c r="BD21" s="99">
        <v>1344</v>
      </c>
      <c r="BE21" s="99">
        <v>1344</v>
      </c>
      <c r="BF21" s="99">
        <v>1344</v>
      </c>
      <c r="BG21" s="99">
        <v>1344</v>
      </c>
      <c r="BH21" s="99">
        <v>1344</v>
      </c>
      <c r="BI21" s="99">
        <v>1344</v>
      </c>
      <c r="BJ21" s="99">
        <v>1344</v>
      </c>
      <c r="BK21" s="99">
        <v>1344</v>
      </c>
      <c r="BL21" s="99">
        <v>1344</v>
      </c>
      <c r="BM21" s="99">
        <v>1344</v>
      </c>
      <c r="BN21" s="99">
        <v>1344</v>
      </c>
      <c r="BO21" s="99">
        <v>1344</v>
      </c>
      <c r="BP21" s="99">
        <v>1344</v>
      </c>
      <c r="BQ21" s="99">
        <v>1344</v>
      </c>
      <c r="BR21" s="99">
        <v>1344</v>
      </c>
      <c r="BS21" s="99">
        <v>1344</v>
      </c>
      <c r="BT21" s="99">
        <v>1344</v>
      </c>
      <c r="BU21" s="99">
        <v>1344</v>
      </c>
      <c r="BV21" s="99">
        <v>1344</v>
      </c>
      <c r="BW21" s="99">
        <v>1344</v>
      </c>
      <c r="BX21" s="99">
        <v>1344</v>
      </c>
      <c r="BY21" s="99">
        <v>1344</v>
      </c>
      <c r="BZ21" s="99">
        <v>1344</v>
      </c>
      <c r="CA21" s="99">
        <v>1344</v>
      </c>
      <c r="CB21" s="99">
        <v>1850</v>
      </c>
      <c r="CC21" s="99">
        <v>1850</v>
      </c>
      <c r="CD21" s="99">
        <v>1850</v>
      </c>
      <c r="CE21" s="99">
        <v>1850</v>
      </c>
      <c r="CF21" s="99">
        <v>1850</v>
      </c>
      <c r="CG21" s="99">
        <v>1850</v>
      </c>
      <c r="CH21" s="99">
        <v>1850</v>
      </c>
      <c r="CI21" s="99">
        <v>1850</v>
      </c>
      <c r="CJ21" s="99">
        <v>1850</v>
      </c>
      <c r="CK21" s="99">
        <v>1850</v>
      </c>
      <c r="CL21" s="99">
        <v>1850</v>
      </c>
      <c r="CM21" s="99">
        <v>1850</v>
      </c>
      <c r="CN21" s="99">
        <v>1850</v>
      </c>
      <c r="CO21" s="99">
        <v>1850</v>
      </c>
      <c r="CP21" s="99">
        <v>1850</v>
      </c>
      <c r="CQ21" s="99">
        <v>2211</v>
      </c>
      <c r="CR21" s="99">
        <v>2211</v>
      </c>
      <c r="CS21" s="99">
        <v>2211</v>
      </c>
      <c r="CT21" s="99">
        <v>2211</v>
      </c>
      <c r="CU21" s="99">
        <v>2211</v>
      </c>
      <c r="CV21" s="99">
        <v>2211</v>
      </c>
      <c r="CW21" s="99">
        <v>2211</v>
      </c>
      <c r="CX21" s="99">
        <v>2211</v>
      </c>
      <c r="CY21" s="99">
        <v>2211</v>
      </c>
      <c r="CZ21" s="99">
        <v>2211</v>
      </c>
    </row>
    <row r="22" spans="1:104" ht="15" customHeight="1">
      <c r="A22" s="2">
        <v>6125</v>
      </c>
      <c r="B22" s="2">
        <v>3.5</v>
      </c>
      <c r="C22" s="2"/>
      <c r="D22" s="2">
        <v>7</v>
      </c>
      <c r="E22" s="99">
        <v>1126</v>
      </c>
      <c r="F22" s="99">
        <v>1126</v>
      </c>
      <c r="G22" s="99">
        <v>1126</v>
      </c>
      <c r="H22" s="99">
        <v>1126</v>
      </c>
      <c r="I22" s="99">
        <v>1126</v>
      </c>
      <c r="J22" s="99">
        <v>1126</v>
      </c>
      <c r="K22" s="99">
        <v>1126</v>
      </c>
      <c r="L22" s="99">
        <v>1126</v>
      </c>
      <c r="M22" s="99">
        <v>1126</v>
      </c>
      <c r="N22" s="99">
        <v>1126</v>
      </c>
      <c r="O22" s="99">
        <v>1126</v>
      </c>
      <c r="P22" s="99">
        <v>1126</v>
      </c>
      <c r="Q22" s="99">
        <v>1126</v>
      </c>
      <c r="R22" s="99">
        <v>1126</v>
      </c>
      <c r="S22" s="99">
        <v>1126</v>
      </c>
      <c r="T22" s="99">
        <v>1126</v>
      </c>
      <c r="U22" s="99">
        <v>1126</v>
      </c>
      <c r="V22" s="99">
        <v>1126</v>
      </c>
      <c r="W22" s="99">
        <v>1126</v>
      </c>
      <c r="X22" s="99">
        <v>1126</v>
      </c>
      <c r="Y22" s="99">
        <v>1126</v>
      </c>
      <c r="Z22" s="99">
        <v>1126</v>
      </c>
      <c r="AA22" s="99">
        <v>1253</v>
      </c>
      <c r="AB22" s="99">
        <v>1253</v>
      </c>
      <c r="AC22" s="99">
        <v>1253</v>
      </c>
      <c r="AD22" s="99">
        <v>1253</v>
      </c>
      <c r="AE22" s="99">
        <v>1253</v>
      </c>
      <c r="AF22" s="99">
        <v>1253</v>
      </c>
      <c r="AG22" s="99">
        <v>1253</v>
      </c>
      <c r="AH22" s="99">
        <v>1253</v>
      </c>
      <c r="AI22" s="99">
        <v>1186</v>
      </c>
      <c r="AJ22" s="99">
        <v>1186</v>
      </c>
      <c r="AK22" s="99">
        <v>1186</v>
      </c>
      <c r="AL22" s="99">
        <v>1186</v>
      </c>
      <c r="AM22" s="99">
        <v>1186</v>
      </c>
      <c r="AN22" s="99">
        <v>1356</v>
      </c>
      <c r="AO22" s="99">
        <v>1356</v>
      </c>
      <c r="AP22" s="99">
        <v>1356</v>
      </c>
      <c r="AQ22" s="99">
        <v>1356</v>
      </c>
      <c r="AR22" s="99">
        <v>1356</v>
      </c>
      <c r="AS22" s="99">
        <v>1356</v>
      </c>
      <c r="AT22" s="99">
        <v>1356</v>
      </c>
      <c r="AU22" s="99">
        <v>1356</v>
      </c>
      <c r="AV22" s="99">
        <v>1356</v>
      </c>
      <c r="AW22" s="99">
        <v>1356</v>
      </c>
      <c r="AX22" s="99">
        <v>1356</v>
      </c>
      <c r="AY22" s="99">
        <v>1356</v>
      </c>
      <c r="AZ22" s="99">
        <v>1356</v>
      </c>
      <c r="BA22" s="99">
        <v>1356</v>
      </c>
      <c r="BB22" s="99">
        <v>1356</v>
      </c>
      <c r="BC22" s="99">
        <v>1425</v>
      </c>
      <c r="BD22" s="99">
        <v>1425</v>
      </c>
      <c r="BE22" s="99">
        <v>1425</v>
      </c>
      <c r="BF22" s="99">
        <v>1425</v>
      </c>
      <c r="BG22" s="99">
        <v>1425</v>
      </c>
      <c r="BH22" s="99">
        <v>1425</v>
      </c>
      <c r="BI22" s="99">
        <v>1425</v>
      </c>
      <c r="BJ22" s="99">
        <v>1425</v>
      </c>
      <c r="BK22" s="99">
        <v>1425</v>
      </c>
      <c r="BL22" s="99">
        <v>1425</v>
      </c>
      <c r="BM22" s="99">
        <v>1425</v>
      </c>
      <c r="BN22" s="99">
        <v>1425</v>
      </c>
      <c r="BO22" s="99">
        <v>1425</v>
      </c>
      <c r="BP22" s="99">
        <v>1425</v>
      </c>
      <c r="BQ22" s="99">
        <v>1425</v>
      </c>
      <c r="BR22" s="99">
        <v>1425</v>
      </c>
      <c r="BS22" s="99">
        <v>1425</v>
      </c>
      <c r="BT22" s="99">
        <v>1425</v>
      </c>
      <c r="BU22" s="99">
        <v>1425</v>
      </c>
      <c r="BV22" s="99">
        <v>1425</v>
      </c>
      <c r="BW22" s="99">
        <v>1425</v>
      </c>
      <c r="BX22" s="99">
        <v>1425</v>
      </c>
      <c r="BY22" s="99">
        <v>1425</v>
      </c>
      <c r="BZ22" s="99">
        <v>1425</v>
      </c>
      <c r="CA22" s="99">
        <v>1425</v>
      </c>
      <c r="CB22" s="99">
        <v>1999</v>
      </c>
      <c r="CC22" s="99">
        <v>1999</v>
      </c>
      <c r="CD22" s="99">
        <v>1999</v>
      </c>
      <c r="CE22" s="99">
        <v>1999</v>
      </c>
      <c r="CF22" s="99">
        <v>1999</v>
      </c>
      <c r="CG22" s="99">
        <v>1969</v>
      </c>
      <c r="CH22" s="99">
        <v>1969</v>
      </c>
      <c r="CI22" s="99">
        <v>1969</v>
      </c>
      <c r="CJ22" s="99">
        <v>1969</v>
      </c>
      <c r="CK22" s="99">
        <v>1969</v>
      </c>
      <c r="CL22" s="99">
        <v>1969</v>
      </c>
      <c r="CM22" s="99">
        <v>1969</v>
      </c>
      <c r="CN22" s="99">
        <v>1969</v>
      </c>
      <c r="CO22" s="99">
        <v>1969</v>
      </c>
      <c r="CP22" s="99">
        <v>1969</v>
      </c>
      <c r="CQ22" s="99">
        <v>2331</v>
      </c>
      <c r="CR22" s="99">
        <v>2331</v>
      </c>
      <c r="CS22" s="99">
        <v>2331</v>
      </c>
      <c r="CT22" s="99">
        <v>2331</v>
      </c>
      <c r="CU22" s="99">
        <v>2331</v>
      </c>
      <c r="CV22" s="99">
        <v>2331</v>
      </c>
      <c r="CW22" s="99">
        <v>2331</v>
      </c>
      <c r="CX22" s="99">
        <v>2331</v>
      </c>
      <c r="CY22" s="99">
        <v>2331</v>
      </c>
      <c r="CZ22" s="99">
        <v>2331</v>
      </c>
    </row>
    <row r="23" spans="1:104" ht="15" customHeight="1">
      <c r="A23" s="2">
        <v>6300</v>
      </c>
      <c r="B23" s="2">
        <v>3.6</v>
      </c>
      <c r="C23" s="2">
        <v>9</v>
      </c>
      <c r="D23" s="2"/>
      <c r="E23" s="99">
        <v>1199</v>
      </c>
      <c r="F23" s="99">
        <v>1199</v>
      </c>
      <c r="G23" s="99">
        <v>1199</v>
      </c>
      <c r="H23" s="99">
        <v>1199</v>
      </c>
      <c r="I23" s="99">
        <v>1199</v>
      </c>
      <c r="J23" s="99">
        <v>1199</v>
      </c>
      <c r="K23" s="99">
        <v>1199</v>
      </c>
      <c r="L23" s="99">
        <v>1199</v>
      </c>
      <c r="M23" s="99">
        <v>1199</v>
      </c>
      <c r="N23" s="99">
        <v>1199</v>
      </c>
      <c r="O23" s="99">
        <v>1199</v>
      </c>
      <c r="P23" s="99">
        <v>1199</v>
      </c>
      <c r="Q23" s="99">
        <v>1199</v>
      </c>
      <c r="R23" s="99">
        <v>1199</v>
      </c>
      <c r="S23" s="99">
        <v>1199</v>
      </c>
      <c r="T23" s="99">
        <v>1199</v>
      </c>
      <c r="U23" s="99">
        <v>1199</v>
      </c>
      <c r="V23" s="99">
        <v>1199</v>
      </c>
      <c r="W23" s="99">
        <v>1199</v>
      </c>
      <c r="X23" s="99">
        <v>1199</v>
      </c>
      <c r="Y23" s="99">
        <v>1199</v>
      </c>
      <c r="Z23" s="99">
        <v>1199</v>
      </c>
      <c r="AA23" s="99">
        <v>1294</v>
      </c>
      <c r="AB23" s="99">
        <v>1294</v>
      </c>
      <c r="AC23" s="99">
        <v>1294</v>
      </c>
      <c r="AD23" s="99">
        <v>1294</v>
      </c>
      <c r="AE23" s="99">
        <v>1294</v>
      </c>
      <c r="AF23" s="99">
        <v>1294</v>
      </c>
      <c r="AG23" s="99">
        <v>1294</v>
      </c>
      <c r="AH23" s="99">
        <v>1294</v>
      </c>
      <c r="AI23" s="99">
        <v>1259</v>
      </c>
      <c r="AJ23" s="99">
        <v>1259</v>
      </c>
      <c r="AK23" s="99">
        <v>1259</v>
      </c>
      <c r="AL23" s="99">
        <v>1259</v>
      </c>
      <c r="AM23" s="99">
        <v>1259</v>
      </c>
      <c r="AN23" s="99">
        <v>1414</v>
      </c>
      <c r="AO23" s="99">
        <v>1414</v>
      </c>
      <c r="AP23" s="99">
        <v>1414</v>
      </c>
      <c r="AQ23" s="99">
        <v>1414</v>
      </c>
      <c r="AR23" s="99">
        <v>1414</v>
      </c>
      <c r="AS23" s="99">
        <v>1414</v>
      </c>
      <c r="AT23" s="99">
        <v>1414</v>
      </c>
      <c r="AU23" s="99">
        <v>1414</v>
      </c>
      <c r="AV23" s="99">
        <v>1414</v>
      </c>
      <c r="AW23" s="99">
        <v>1414</v>
      </c>
      <c r="AX23" s="99">
        <v>1414</v>
      </c>
      <c r="AY23" s="99">
        <v>1414</v>
      </c>
      <c r="AZ23" s="99">
        <v>1414</v>
      </c>
      <c r="BA23" s="99">
        <v>1414</v>
      </c>
      <c r="BB23" s="99">
        <v>1414</v>
      </c>
      <c r="BC23" s="99">
        <v>1520</v>
      </c>
      <c r="BD23" s="99">
        <v>1520</v>
      </c>
      <c r="BE23" s="99">
        <v>1520</v>
      </c>
      <c r="BF23" s="99">
        <v>1520</v>
      </c>
      <c r="BG23" s="99">
        <v>1520</v>
      </c>
      <c r="BH23" s="99">
        <v>1520</v>
      </c>
      <c r="BI23" s="99">
        <v>1520</v>
      </c>
      <c r="BJ23" s="99">
        <v>1520</v>
      </c>
      <c r="BK23" s="99">
        <v>1520</v>
      </c>
      <c r="BL23" s="99">
        <v>1520</v>
      </c>
      <c r="BM23" s="99">
        <v>1520</v>
      </c>
      <c r="BN23" s="99">
        <v>1520</v>
      </c>
      <c r="BO23" s="99">
        <v>1520</v>
      </c>
      <c r="BP23" s="99">
        <v>1520</v>
      </c>
      <c r="BQ23" s="99">
        <v>1520</v>
      </c>
      <c r="BR23" s="99">
        <v>1520</v>
      </c>
      <c r="BS23" s="99">
        <v>1520</v>
      </c>
      <c r="BT23" s="99">
        <v>1520</v>
      </c>
      <c r="BU23" s="99">
        <v>1520</v>
      </c>
      <c r="BV23" s="99">
        <v>1520</v>
      </c>
      <c r="BW23" s="99">
        <v>1520</v>
      </c>
      <c r="BX23" s="99">
        <v>1520</v>
      </c>
      <c r="BY23" s="99">
        <v>1520</v>
      </c>
      <c r="BZ23" s="99">
        <v>1520</v>
      </c>
      <c r="CA23" s="99">
        <v>1520</v>
      </c>
      <c r="CB23" s="99">
        <v>2095</v>
      </c>
      <c r="CC23" s="99">
        <v>2095</v>
      </c>
      <c r="CD23" s="99">
        <v>2095</v>
      </c>
      <c r="CE23" s="99">
        <v>2095</v>
      </c>
      <c r="CF23" s="99">
        <v>2095</v>
      </c>
      <c r="CG23" s="99">
        <v>2057</v>
      </c>
      <c r="CH23" s="99">
        <v>2057</v>
      </c>
      <c r="CI23" s="99">
        <v>2057</v>
      </c>
      <c r="CJ23" s="99">
        <v>2057</v>
      </c>
      <c r="CK23" s="99">
        <v>2057</v>
      </c>
      <c r="CL23" s="99">
        <v>2057</v>
      </c>
      <c r="CM23" s="99">
        <v>2057</v>
      </c>
      <c r="CN23" s="99">
        <v>2057</v>
      </c>
      <c r="CO23" s="99">
        <v>2057</v>
      </c>
      <c r="CP23" s="99">
        <v>2057</v>
      </c>
      <c r="CQ23" s="99">
        <v>2473</v>
      </c>
      <c r="CR23" s="99">
        <v>2473</v>
      </c>
      <c r="CS23" s="99">
        <v>2473</v>
      </c>
      <c r="CT23" s="99">
        <v>2473</v>
      </c>
      <c r="CU23" s="99">
        <v>2473</v>
      </c>
      <c r="CV23" s="99">
        <v>2473</v>
      </c>
      <c r="CW23" s="99">
        <v>2473</v>
      </c>
      <c r="CX23" s="99">
        <v>2473</v>
      </c>
      <c r="CY23" s="99">
        <v>2473</v>
      </c>
      <c r="CZ23" s="99">
        <v>2473</v>
      </c>
    </row>
    <row r="24" spans="1:104" ht="15" customHeight="1">
      <c r="A24" s="2">
        <v>7000</v>
      </c>
      <c r="B24" s="2">
        <v>4</v>
      </c>
      <c r="C24" s="2">
        <v>10</v>
      </c>
      <c r="D24" s="2">
        <v>8</v>
      </c>
      <c r="E24" s="99">
        <v>1282</v>
      </c>
      <c r="F24" s="99">
        <v>1282</v>
      </c>
      <c r="G24" s="99">
        <v>1282</v>
      </c>
      <c r="H24" s="99">
        <v>1282</v>
      </c>
      <c r="I24" s="99">
        <v>1282</v>
      </c>
      <c r="J24" s="99">
        <v>1282</v>
      </c>
      <c r="K24" s="99">
        <v>1282</v>
      </c>
      <c r="L24" s="99">
        <v>1282</v>
      </c>
      <c r="M24" s="99">
        <v>1282</v>
      </c>
      <c r="N24" s="99">
        <v>1282</v>
      </c>
      <c r="O24" s="99">
        <v>1282</v>
      </c>
      <c r="P24" s="99">
        <v>1282</v>
      </c>
      <c r="Q24" s="99">
        <v>1282</v>
      </c>
      <c r="R24" s="99">
        <v>1282</v>
      </c>
      <c r="S24" s="99">
        <v>1282</v>
      </c>
      <c r="T24" s="99">
        <v>1282</v>
      </c>
      <c r="U24" s="99">
        <v>1282</v>
      </c>
      <c r="V24" s="99">
        <v>1282</v>
      </c>
      <c r="W24" s="99">
        <v>1282</v>
      </c>
      <c r="X24" s="99">
        <v>1282</v>
      </c>
      <c r="Y24" s="99">
        <v>1282</v>
      </c>
      <c r="Z24" s="99">
        <v>1282</v>
      </c>
      <c r="AA24" s="99">
        <v>1502</v>
      </c>
      <c r="AB24" s="99">
        <v>1502</v>
      </c>
      <c r="AC24" s="99">
        <v>1502</v>
      </c>
      <c r="AD24" s="99">
        <v>1502</v>
      </c>
      <c r="AE24" s="99">
        <v>1502</v>
      </c>
      <c r="AF24" s="99">
        <v>1502</v>
      </c>
      <c r="AG24" s="99">
        <v>1502</v>
      </c>
      <c r="AH24" s="99">
        <v>1502</v>
      </c>
      <c r="AI24" s="99">
        <v>1365</v>
      </c>
      <c r="AJ24" s="99">
        <v>1365</v>
      </c>
      <c r="AK24" s="99">
        <v>1365</v>
      </c>
      <c r="AL24" s="99">
        <v>1365</v>
      </c>
      <c r="AM24" s="99">
        <v>1365</v>
      </c>
      <c r="AN24" s="99">
        <v>1546</v>
      </c>
      <c r="AO24" s="99">
        <v>1546</v>
      </c>
      <c r="AP24" s="99">
        <v>1546</v>
      </c>
      <c r="AQ24" s="99">
        <v>1546</v>
      </c>
      <c r="AR24" s="99">
        <v>1546</v>
      </c>
      <c r="AS24" s="99">
        <v>1546</v>
      </c>
      <c r="AT24" s="99">
        <v>1546</v>
      </c>
      <c r="AU24" s="99">
        <v>1546</v>
      </c>
      <c r="AV24" s="99">
        <v>1546</v>
      </c>
      <c r="AW24" s="99">
        <v>1546</v>
      </c>
      <c r="AX24" s="99">
        <v>1546</v>
      </c>
      <c r="AY24" s="99">
        <v>1546</v>
      </c>
      <c r="AZ24" s="99">
        <v>1546</v>
      </c>
      <c r="BA24" s="99">
        <v>1546</v>
      </c>
      <c r="BB24" s="99">
        <v>1546</v>
      </c>
      <c r="BC24" s="99">
        <v>1542</v>
      </c>
      <c r="BD24" s="99">
        <v>1542</v>
      </c>
      <c r="BE24" s="99">
        <v>1542</v>
      </c>
      <c r="BF24" s="99">
        <v>1542</v>
      </c>
      <c r="BG24" s="99">
        <v>1542</v>
      </c>
      <c r="BH24" s="99">
        <v>1542</v>
      </c>
      <c r="BI24" s="99">
        <v>1542</v>
      </c>
      <c r="BJ24" s="99">
        <v>1542</v>
      </c>
      <c r="BK24" s="99">
        <v>1542</v>
      </c>
      <c r="BL24" s="99">
        <v>1542</v>
      </c>
      <c r="BM24" s="99">
        <v>1542</v>
      </c>
      <c r="BN24" s="99">
        <v>1542</v>
      </c>
      <c r="BO24" s="99">
        <v>1542</v>
      </c>
      <c r="BP24" s="99">
        <v>1542</v>
      </c>
      <c r="BQ24" s="99">
        <v>1542</v>
      </c>
      <c r="BR24" s="99">
        <v>1542</v>
      </c>
      <c r="BS24" s="99">
        <v>1542</v>
      </c>
      <c r="BT24" s="99">
        <v>1542</v>
      </c>
      <c r="BU24" s="99">
        <v>1542</v>
      </c>
      <c r="BV24" s="99">
        <v>1542</v>
      </c>
      <c r="BW24" s="99">
        <v>1542</v>
      </c>
      <c r="BX24" s="99">
        <v>1542</v>
      </c>
      <c r="BY24" s="99">
        <v>1542</v>
      </c>
      <c r="BZ24" s="99">
        <v>1542</v>
      </c>
      <c r="CA24" s="99">
        <v>1542</v>
      </c>
      <c r="CB24" s="99">
        <v>2151</v>
      </c>
      <c r="CC24" s="99">
        <v>2151</v>
      </c>
      <c r="CD24" s="99">
        <v>2151</v>
      </c>
      <c r="CE24" s="99">
        <v>2151</v>
      </c>
      <c r="CF24" s="99">
        <v>2151</v>
      </c>
      <c r="CG24" s="99">
        <v>2199</v>
      </c>
      <c r="CH24" s="99">
        <v>2199</v>
      </c>
      <c r="CI24" s="99">
        <v>2199</v>
      </c>
      <c r="CJ24" s="99">
        <v>2199</v>
      </c>
      <c r="CK24" s="99">
        <v>2199</v>
      </c>
      <c r="CL24" s="99">
        <v>2199</v>
      </c>
      <c r="CM24" s="99">
        <v>2199</v>
      </c>
      <c r="CN24" s="99">
        <v>2199</v>
      </c>
      <c r="CO24" s="99">
        <v>2199</v>
      </c>
      <c r="CP24" s="99">
        <v>2199</v>
      </c>
      <c r="CQ24" s="99">
        <v>2612</v>
      </c>
      <c r="CR24" s="99">
        <v>2612</v>
      </c>
      <c r="CS24" s="99">
        <v>2612</v>
      </c>
      <c r="CT24" s="99">
        <v>2612</v>
      </c>
      <c r="CU24" s="99">
        <v>2612</v>
      </c>
      <c r="CV24" s="99">
        <v>2612</v>
      </c>
      <c r="CW24" s="99">
        <v>2612</v>
      </c>
      <c r="CX24" s="99">
        <v>2612</v>
      </c>
      <c r="CY24" s="99">
        <v>2612</v>
      </c>
      <c r="CZ24" s="99">
        <v>2612</v>
      </c>
    </row>
    <row r="25" spans="1:104" ht="15" customHeight="1">
      <c r="A25" s="3"/>
      <c r="B25" s="3"/>
      <c r="C25" s="3"/>
      <c r="D25" s="3"/>
    </row>
    <row r="26" spans="1:104" ht="15" customHeight="1">
      <c r="A26" s="4" t="s">
        <v>24</v>
      </c>
      <c r="B26" s="3"/>
      <c r="C26" s="3"/>
      <c r="D26" s="3"/>
    </row>
    <row r="27" spans="1:104" ht="15" customHeight="1">
      <c r="A27" s="3"/>
      <c r="B27" s="3"/>
      <c r="C27" s="3"/>
      <c r="D27" s="3"/>
    </row>
    <row r="28" spans="1:104" ht="15" customHeight="1">
      <c r="A28" s="6" t="s">
        <v>25</v>
      </c>
      <c r="B28" s="40"/>
      <c r="C28" s="6" t="s">
        <v>26</v>
      </c>
      <c r="D28" s="27"/>
      <c r="E28" s="95"/>
      <c r="F28" s="96"/>
      <c r="G28" s="71" t="s">
        <v>27</v>
      </c>
      <c r="H28" s="96"/>
      <c r="I28" s="96"/>
      <c r="J28" s="96"/>
      <c r="K28" s="96"/>
      <c r="L28" s="96"/>
      <c r="M28" s="96"/>
      <c r="N28" s="96"/>
      <c r="O28" s="96"/>
      <c r="P28" s="96"/>
      <c r="Q28" s="96"/>
      <c r="R28" s="96"/>
      <c r="S28" s="96"/>
      <c r="T28" s="71" t="s">
        <v>27</v>
      </c>
      <c r="U28" s="96"/>
      <c r="V28" s="96"/>
      <c r="W28" s="96"/>
      <c r="X28" s="96"/>
      <c r="Y28" s="96"/>
      <c r="Z28" s="96"/>
      <c r="AA28" s="96"/>
      <c r="AB28" s="96"/>
      <c r="AC28" s="96"/>
      <c r="AD28" s="96"/>
      <c r="AE28" s="96"/>
      <c r="AF28" s="96"/>
      <c r="AG28" s="71" t="s">
        <v>27</v>
      </c>
      <c r="AH28" s="96"/>
      <c r="AI28" s="96"/>
      <c r="AJ28" s="96"/>
      <c r="AK28" s="96"/>
      <c r="AL28" s="96"/>
      <c r="AM28" s="96"/>
      <c r="AN28" s="96"/>
      <c r="AO28" s="96"/>
      <c r="AP28" s="70"/>
      <c r="AQ28" s="96"/>
      <c r="AR28" s="96"/>
      <c r="AS28" s="96"/>
      <c r="AT28" s="71" t="s">
        <v>27</v>
      </c>
      <c r="AU28" s="71"/>
      <c r="AV28" s="96"/>
      <c r="AW28" s="96"/>
      <c r="AX28" s="96"/>
      <c r="AY28" s="96"/>
      <c r="AZ28" s="96"/>
      <c r="BA28" s="96"/>
      <c r="BB28" s="96"/>
      <c r="BC28" s="96"/>
      <c r="BD28" s="96"/>
      <c r="BE28" s="96"/>
      <c r="BF28" s="71"/>
      <c r="BG28" s="71" t="s">
        <v>27</v>
      </c>
      <c r="BH28" s="96"/>
      <c r="BI28" s="96"/>
      <c r="BJ28" s="96"/>
      <c r="BK28" s="96"/>
      <c r="BL28" s="96"/>
      <c r="BM28" s="96"/>
      <c r="BN28" s="96"/>
      <c r="BO28" s="96"/>
      <c r="BP28" s="96"/>
      <c r="BQ28" s="96"/>
      <c r="BR28" s="96"/>
      <c r="BS28" s="96"/>
      <c r="BT28" s="71" t="s">
        <v>27</v>
      </c>
      <c r="BU28" s="71" t="s">
        <v>27</v>
      </c>
      <c r="BV28" s="71" t="s">
        <v>27</v>
      </c>
      <c r="BW28" s="96"/>
      <c r="BX28" s="96"/>
      <c r="BY28" s="96"/>
      <c r="BZ28" s="96"/>
      <c r="CA28" s="96"/>
      <c r="CB28" s="96"/>
      <c r="CC28" s="96"/>
      <c r="CD28" s="96"/>
      <c r="CE28" s="96"/>
      <c r="CF28" s="96"/>
      <c r="CG28" s="96"/>
      <c r="CH28" s="96"/>
      <c r="CI28" s="71" t="s">
        <v>27</v>
      </c>
      <c r="CJ28" s="96"/>
      <c r="CK28" s="96"/>
      <c r="CL28" s="96"/>
      <c r="CM28" s="96"/>
      <c r="CN28" s="96"/>
      <c r="CO28" s="96"/>
      <c r="CP28" s="70"/>
      <c r="CQ28" s="70"/>
      <c r="CR28" s="70"/>
      <c r="CS28" s="70"/>
      <c r="CT28" s="70"/>
      <c r="CU28" s="70"/>
      <c r="CV28" s="71" t="s">
        <v>27</v>
      </c>
      <c r="CW28" s="70"/>
      <c r="CX28" s="70"/>
      <c r="CY28" s="70"/>
      <c r="CZ28" s="72"/>
    </row>
    <row r="29" spans="1:104" ht="15" customHeight="1">
      <c r="A29" s="222" t="s">
        <v>28</v>
      </c>
      <c r="B29" s="223"/>
      <c r="C29" s="104" t="s">
        <v>202</v>
      </c>
      <c r="D29" s="114"/>
      <c r="E29" s="74" t="s">
        <v>31</v>
      </c>
      <c r="F29" s="74" t="s">
        <v>31</v>
      </c>
      <c r="G29" s="74" t="s">
        <v>31</v>
      </c>
      <c r="H29" s="74" t="s">
        <v>31</v>
      </c>
      <c r="I29" s="74" t="s">
        <v>31</v>
      </c>
      <c r="J29" s="74" t="s">
        <v>31</v>
      </c>
      <c r="K29" s="74" t="s">
        <v>31</v>
      </c>
      <c r="L29" s="74" t="s">
        <v>31</v>
      </c>
      <c r="M29" s="74" t="s">
        <v>31</v>
      </c>
      <c r="N29" s="74" t="s">
        <v>31</v>
      </c>
      <c r="O29" s="74" t="s">
        <v>31</v>
      </c>
      <c r="P29" s="74" t="s">
        <v>31</v>
      </c>
      <c r="Q29" s="74" t="s">
        <v>31</v>
      </c>
      <c r="R29" s="74" t="s">
        <v>31</v>
      </c>
      <c r="S29" s="74" t="s">
        <v>31</v>
      </c>
      <c r="T29" s="74" t="s">
        <v>31</v>
      </c>
      <c r="U29" s="74" t="s">
        <v>31</v>
      </c>
      <c r="V29" s="74" t="s">
        <v>31</v>
      </c>
      <c r="W29" s="74" t="s">
        <v>31</v>
      </c>
      <c r="X29" s="74" t="s">
        <v>31</v>
      </c>
      <c r="Y29" s="74" t="s">
        <v>31</v>
      </c>
      <c r="Z29" s="74" t="s">
        <v>31</v>
      </c>
      <c r="AA29" s="74" t="s">
        <v>31</v>
      </c>
      <c r="AB29" s="74" t="s">
        <v>31</v>
      </c>
      <c r="AC29" s="74" t="s">
        <v>31</v>
      </c>
      <c r="AD29" s="74" t="s">
        <v>31</v>
      </c>
      <c r="AE29" s="74" t="s">
        <v>31</v>
      </c>
      <c r="AF29" s="74" t="s">
        <v>31</v>
      </c>
      <c r="AG29" s="74" t="s">
        <v>31</v>
      </c>
      <c r="AH29" s="74" t="s">
        <v>31</v>
      </c>
      <c r="AI29" s="74" t="s">
        <v>31</v>
      </c>
      <c r="AJ29" s="74" t="s">
        <v>31</v>
      </c>
      <c r="AK29" s="74" t="s">
        <v>31</v>
      </c>
      <c r="AL29" s="74" t="s">
        <v>31</v>
      </c>
      <c r="AM29" s="74" t="s">
        <v>31</v>
      </c>
      <c r="AN29" s="74" t="s">
        <v>31</v>
      </c>
      <c r="AO29" s="74" t="s">
        <v>31</v>
      </c>
      <c r="AP29" s="74" t="s">
        <v>31</v>
      </c>
      <c r="AQ29" s="74" t="s">
        <v>31</v>
      </c>
      <c r="AR29" s="74" t="s">
        <v>31</v>
      </c>
      <c r="AS29" s="74" t="s">
        <v>31</v>
      </c>
      <c r="AT29" s="74" t="s">
        <v>31</v>
      </c>
      <c r="AU29" s="74" t="s">
        <v>31</v>
      </c>
      <c r="AV29" s="74" t="s">
        <v>31</v>
      </c>
      <c r="AW29" s="74" t="s">
        <v>31</v>
      </c>
      <c r="AX29" s="74" t="s">
        <v>31</v>
      </c>
      <c r="AY29" s="74" t="s">
        <v>31</v>
      </c>
      <c r="AZ29" s="74" t="s">
        <v>31</v>
      </c>
      <c r="BA29" s="74" t="s">
        <v>31</v>
      </c>
      <c r="BB29" s="74" t="s">
        <v>31</v>
      </c>
      <c r="BC29" s="74" t="s">
        <v>31</v>
      </c>
      <c r="BD29" s="74" t="s">
        <v>31</v>
      </c>
      <c r="BE29" s="74" t="s">
        <v>31</v>
      </c>
      <c r="BF29" s="74" t="s">
        <v>31</v>
      </c>
      <c r="BG29" s="74" t="s">
        <v>31</v>
      </c>
      <c r="BH29" s="74" t="s">
        <v>31</v>
      </c>
      <c r="BI29" s="74" t="s">
        <v>31</v>
      </c>
      <c r="BJ29" s="74" t="s">
        <v>31</v>
      </c>
      <c r="BK29" s="74" t="s">
        <v>31</v>
      </c>
      <c r="BL29" s="74" t="s">
        <v>31</v>
      </c>
      <c r="BM29" s="74" t="s">
        <v>43</v>
      </c>
      <c r="BN29" s="74" t="s">
        <v>43</v>
      </c>
      <c r="BO29" s="74" t="s">
        <v>43</v>
      </c>
      <c r="BP29" s="74" t="s">
        <v>43</v>
      </c>
      <c r="BQ29" s="74" t="s">
        <v>43</v>
      </c>
      <c r="BR29" s="74" t="s">
        <v>43</v>
      </c>
      <c r="BS29" s="74" t="s">
        <v>43</v>
      </c>
      <c r="BT29" s="74" t="s">
        <v>43</v>
      </c>
      <c r="BU29" s="74" t="s">
        <v>43</v>
      </c>
      <c r="BV29" s="74" t="s">
        <v>43</v>
      </c>
      <c r="BW29" s="74" t="s">
        <v>43</v>
      </c>
      <c r="BX29" s="74" t="s">
        <v>43</v>
      </c>
      <c r="BY29" s="74" t="s">
        <v>43</v>
      </c>
      <c r="BZ29" s="74" t="s">
        <v>43</v>
      </c>
      <c r="CA29" s="74" t="s">
        <v>43</v>
      </c>
      <c r="CB29" s="74" t="s">
        <v>43</v>
      </c>
      <c r="CC29" s="74" t="s">
        <v>43</v>
      </c>
      <c r="CD29" s="74" t="s">
        <v>43</v>
      </c>
      <c r="CE29" s="74" t="s">
        <v>43</v>
      </c>
      <c r="CF29" s="74" t="s">
        <v>43</v>
      </c>
      <c r="CG29" s="74" t="s">
        <v>41</v>
      </c>
      <c r="CH29" s="74" t="s">
        <v>41</v>
      </c>
      <c r="CI29" s="74" t="s">
        <v>41</v>
      </c>
      <c r="CJ29" s="74" t="s">
        <v>41</v>
      </c>
      <c r="CK29" s="74" t="s">
        <v>41</v>
      </c>
      <c r="CL29" s="74" t="s">
        <v>41</v>
      </c>
      <c r="CM29" s="74" t="s">
        <v>41</v>
      </c>
      <c r="CN29" s="74" t="s">
        <v>41</v>
      </c>
      <c r="CO29" s="74" t="s">
        <v>41</v>
      </c>
      <c r="CP29" s="74" t="s">
        <v>41</v>
      </c>
      <c r="CQ29" s="74" t="s">
        <v>72</v>
      </c>
      <c r="CR29" s="74" t="s">
        <v>72</v>
      </c>
      <c r="CS29" s="74" t="s">
        <v>72</v>
      </c>
      <c r="CT29" s="74" t="s">
        <v>72</v>
      </c>
      <c r="CU29" s="74" t="s">
        <v>72</v>
      </c>
      <c r="CV29" s="74" t="s">
        <v>72</v>
      </c>
      <c r="CW29" s="74" t="s">
        <v>72</v>
      </c>
      <c r="CX29" s="74" t="s">
        <v>72</v>
      </c>
      <c r="CY29" s="74" t="s">
        <v>72</v>
      </c>
      <c r="CZ29" s="74" t="s">
        <v>72</v>
      </c>
    </row>
    <row r="30" spans="1:104" ht="15" customHeight="1">
      <c r="A30" s="222" t="s">
        <v>32</v>
      </c>
      <c r="B30" s="223"/>
      <c r="C30" s="104" t="s">
        <v>202</v>
      </c>
      <c r="D30" s="73"/>
      <c r="E30" s="74" t="s">
        <v>31</v>
      </c>
      <c r="F30" s="74" t="s">
        <v>31</v>
      </c>
      <c r="G30" s="74" t="s">
        <v>31</v>
      </c>
      <c r="H30" s="74" t="s">
        <v>31</v>
      </c>
      <c r="I30" s="74" t="s">
        <v>31</v>
      </c>
      <c r="J30" s="74" t="s">
        <v>31</v>
      </c>
      <c r="K30" s="74" t="s">
        <v>31</v>
      </c>
      <c r="L30" s="74" t="s">
        <v>31</v>
      </c>
      <c r="M30" s="74" t="s">
        <v>31</v>
      </c>
      <c r="N30" s="74" t="s">
        <v>31</v>
      </c>
      <c r="O30" s="74" t="s">
        <v>31</v>
      </c>
      <c r="P30" s="74" t="s">
        <v>31</v>
      </c>
      <c r="Q30" s="74" t="s">
        <v>31</v>
      </c>
      <c r="R30" s="74" t="s">
        <v>31</v>
      </c>
      <c r="S30" s="74" t="s">
        <v>31</v>
      </c>
      <c r="T30" s="74" t="s">
        <v>31</v>
      </c>
      <c r="U30" s="74" t="s">
        <v>31</v>
      </c>
      <c r="V30" s="74" t="s">
        <v>31</v>
      </c>
      <c r="W30" s="74" t="s">
        <v>31</v>
      </c>
      <c r="X30" s="74" t="s">
        <v>31</v>
      </c>
      <c r="Y30" s="74" t="s">
        <v>31</v>
      </c>
      <c r="Z30" s="74" t="s">
        <v>31</v>
      </c>
      <c r="AA30" s="74" t="s">
        <v>31</v>
      </c>
      <c r="AB30" s="74" t="s">
        <v>31</v>
      </c>
      <c r="AC30" s="74" t="s">
        <v>31</v>
      </c>
      <c r="AD30" s="74" t="s">
        <v>31</v>
      </c>
      <c r="AE30" s="74" t="s">
        <v>31</v>
      </c>
      <c r="AF30" s="74" t="s">
        <v>31</v>
      </c>
      <c r="AG30" s="74" t="s">
        <v>31</v>
      </c>
      <c r="AH30" s="74" t="s">
        <v>31</v>
      </c>
      <c r="AI30" s="74" t="s">
        <v>31</v>
      </c>
      <c r="AJ30" s="74" t="s">
        <v>31</v>
      </c>
      <c r="AK30" s="74" t="s">
        <v>31</v>
      </c>
      <c r="AL30" s="74" t="s">
        <v>31</v>
      </c>
      <c r="AM30" s="74" t="s">
        <v>31</v>
      </c>
      <c r="AN30" s="74" t="s">
        <v>31</v>
      </c>
      <c r="AO30" s="74" t="s">
        <v>31</v>
      </c>
      <c r="AP30" s="74" t="s">
        <v>31</v>
      </c>
      <c r="AQ30" s="74" t="s">
        <v>31</v>
      </c>
      <c r="AR30" s="74" t="s">
        <v>31</v>
      </c>
      <c r="AS30" s="74" t="s">
        <v>31</v>
      </c>
      <c r="AT30" s="74" t="s">
        <v>31</v>
      </c>
      <c r="AU30" s="74" t="s">
        <v>31</v>
      </c>
      <c r="AV30" s="74" t="s">
        <v>31</v>
      </c>
      <c r="AW30" s="74" t="s">
        <v>31</v>
      </c>
      <c r="AX30" s="74" t="s">
        <v>31</v>
      </c>
      <c r="AY30" s="74" t="s">
        <v>31</v>
      </c>
      <c r="AZ30" s="74" t="s">
        <v>31</v>
      </c>
      <c r="BA30" s="74" t="s">
        <v>31</v>
      </c>
      <c r="BB30" s="74" t="s">
        <v>31</v>
      </c>
      <c r="BC30" s="74" t="s">
        <v>31</v>
      </c>
      <c r="BD30" s="74" t="s">
        <v>31</v>
      </c>
      <c r="BE30" s="74" t="s">
        <v>31</v>
      </c>
      <c r="BF30" s="74" t="s">
        <v>31</v>
      </c>
      <c r="BG30" s="74" t="s">
        <v>31</v>
      </c>
      <c r="BH30" s="74" t="s">
        <v>31</v>
      </c>
      <c r="BI30" s="74" t="s">
        <v>31</v>
      </c>
      <c r="BJ30" s="74" t="s">
        <v>31</v>
      </c>
      <c r="BK30" s="74" t="s">
        <v>31</v>
      </c>
      <c r="BL30" s="74" t="s">
        <v>31</v>
      </c>
      <c r="BM30" s="74" t="s">
        <v>43</v>
      </c>
      <c r="BN30" s="74" t="s">
        <v>43</v>
      </c>
      <c r="BO30" s="74" t="s">
        <v>43</v>
      </c>
      <c r="BP30" s="74" t="s">
        <v>43</v>
      </c>
      <c r="BQ30" s="74" t="s">
        <v>43</v>
      </c>
      <c r="BR30" s="74" t="s">
        <v>43</v>
      </c>
      <c r="BS30" s="74" t="s">
        <v>43</v>
      </c>
      <c r="BT30" s="74" t="s">
        <v>43</v>
      </c>
      <c r="BU30" s="74" t="s">
        <v>43</v>
      </c>
      <c r="BV30" s="74" t="s">
        <v>43</v>
      </c>
      <c r="BW30" s="74" t="s">
        <v>43</v>
      </c>
      <c r="BX30" s="74" t="s">
        <v>43</v>
      </c>
      <c r="BY30" s="74" t="s">
        <v>43</v>
      </c>
      <c r="BZ30" s="74" t="s">
        <v>43</v>
      </c>
      <c r="CA30" s="74" t="s">
        <v>43</v>
      </c>
      <c r="CB30" s="74" t="s">
        <v>43</v>
      </c>
      <c r="CC30" s="74" t="s">
        <v>43</v>
      </c>
      <c r="CD30" s="74" t="s">
        <v>43</v>
      </c>
      <c r="CE30" s="74" t="s">
        <v>43</v>
      </c>
      <c r="CF30" s="74" t="s">
        <v>43</v>
      </c>
      <c r="CG30" s="74" t="s">
        <v>41</v>
      </c>
      <c r="CH30" s="74" t="s">
        <v>41</v>
      </c>
      <c r="CI30" s="74" t="s">
        <v>41</v>
      </c>
      <c r="CJ30" s="74" t="s">
        <v>41</v>
      </c>
      <c r="CK30" s="74" t="s">
        <v>41</v>
      </c>
      <c r="CL30" s="74" t="s">
        <v>41</v>
      </c>
      <c r="CM30" s="74" t="s">
        <v>41</v>
      </c>
      <c r="CN30" s="74" t="s">
        <v>41</v>
      </c>
      <c r="CO30" s="74" t="s">
        <v>41</v>
      </c>
      <c r="CP30" s="74" t="s">
        <v>41</v>
      </c>
      <c r="CQ30" s="74" t="s">
        <v>72</v>
      </c>
      <c r="CR30" s="74" t="s">
        <v>72</v>
      </c>
      <c r="CS30" s="74" t="s">
        <v>72</v>
      </c>
      <c r="CT30" s="74" t="s">
        <v>72</v>
      </c>
      <c r="CU30" s="74" t="s">
        <v>72</v>
      </c>
      <c r="CV30" s="74" t="s">
        <v>72</v>
      </c>
      <c r="CW30" s="74" t="s">
        <v>72</v>
      </c>
      <c r="CX30" s="74" t="s">
        <v>72</v>
      </c>
      <c r="CY30" s="74" t="s">
        <v>72</v>
      </c>
      <c r="CZ30" s="74" t="s">
        <v>72</v>
      </c>
    </row>
    <row r="31" spans="1:104" ht="15" customHeight="1">
      <c r="A31" s="227" t="s">
        <v>33</v>
      </c>
      <c r="B31" s="228"/>
      <c r="C31" s="6" t="s">
        <v>29</v>
      </c>
      <c r="D31" s="76"/>
      <c r="E31" s="115" t="s">
        <v>210</v>
      </c>
      <c r="F31" s="115" t="s">
        <v>210</v>
      </c>
      <c r="G31" s="115" t="s">
        <v>210</v>
      </c>
      <c r="H31" s="115" t="s">
        <v>210</v>
      </c>
      <c r="I31" s="115" t="s">
        <v>210</v>
      </c>
      <c r="J31" s="115" t="s">
        <v>210</v>
      </c>
      <c r="K31" s="115" t="s">
        <v>210</v>
      </c>
      <c r="L31" s="115" t="s">
        <v>210</v>
      </c>
      <c r="M31" s="115" t="s">
        <v>210</v>
      </c>
      <c r="N31" s="115" t="s">
        <v>210</v>
      </c>
      <c r="O31" s="115" t="s">
        <v>210</v>
      </c>
      <c r="P31" s="115" t="s">
        <v>210</v>
      </c>
      <c r="Q31" s="115" t="s">
        <v>210</v>
      </c>
      <c r="R31" s="115" t="s">
        <v>210</v>
      </c>
      <c r="S31" s="115" t="s">
        <v>210</v>
      </c>
      <c r="T31" s="115" t="s">
        <v>210</v>
      </c>
      <c r="U31" s="115" t="s">
        <v>210</v>
      </c>
      <c r="V31" s="115" t="s">
        <v>210</v>
      </c>
      <c r="W31" s="115" t="s">
        <v>210</v>
      </c>
      <c r="X31" s="115" t="s">
        <v>210</v>
      </c>
      <c r="Y31" s="115" t="s">
        <v>210</v>
      </c>
      <c r="Z31" s="115" t="s">
        <v>210</v>
      </c>
      <c r="AA31" s="115" t="s">
        <v>210</v>
      </c>
      <c r="AB31" s="115" t="s">
        <v>210</v>
      </c>
      <c r="AC31" s="115" t="s">
        <v>210</v>
      </c>
      <c r="AD31" s="115" t="s">
        <v>210</v>
      </c>
      <c r="AE31" s="115" t="s">
        <v>210</v>
      </c>
      <c r="AF31" s="115" t="s">
        <v>210</v>
      </c>
      <c r="AG31" s="115" t="s">
        <v>210</v>
      </c>
      <c r="AH31" s="115" t="s">
        <v>210</v>
      </c>
      <c r="AI31" s="115" t="s">
        <v>210</v>
      </c>
      <c r="AJ31" s="115" t="s">
        <v>210</v>
      </c>
      <c r="AK31" s="115" t="s">
        <v>210</v>
      </c>
      <c r="AL31" s="115" t="s">
        <v>210</v>
      </c>
      <c r="AM31" s="115" t="s">
        <v>210</v>
      </c>
      <c r="AN31" s="115" t="s">
        <v>210</v>
      </c>
      <c r="AO31" s="115" t="s">
        <v>210</v>
      </c>
      <c r="AP31" s="115" t="s">
        <v>210</v>
      </c>
      <c r="AQ31" s="115" t="s">
        <v>210</v>
      </c>
      <c r="AR31" s="115" t="s">
        <v>210</v>
      </c>
      <c r="AS31" s="115" t="s">
        <v>210</v>
      </c>
      <c r="AT31" s="115" t="s">
        <v>210</v>
      </c>
      <c r="AU31" s="115" t="s">
        <v>210</v>
      </c>
      <c r="AV31" s="115" t="s">
        <v>210</v>
      </c>
      <c r="AW31" s="115" t="s">
        <v>210</v>
      </c>
      <c r="AX31" s="115" t="s">
        <v>210</v>
      </c>
      <c r="AY31" s="115" t="s">
        <v>210</v>
      </c>
      <c r="AZ31" s="115" t="s">
        <v>210</v>
      </c>
      <c r="BA31" s="115" t="s">
        <v>210</v>
      </c>
      <c r="BB31" s="115" t="s">
        <v>210</v>
      </c>
      <c r="BC31" s="115" t="s">
        <v>210</v>
      </c>
      <c r="BD31" s="115" t="s">
        <v>210</v>
      </c>
      <c r="BE31" s="115" t="s">
        <v>210</v>
      </c>
      <c r="BF31" s="115" t="s">
        <v>210</v>
      </c>
      <c r="BG31" s="115" t="s">
        <v>210</v>
      </c>
      <c r="BH31" s="115" t="s">
        <v>210</v>
      </c>
      <c r="BI31" s="115" t="s">
        <v>210</v>
      </c>
      <c r="BJ31" s="115" t="s">
        <v>210</v>
      </c>
      <c r="BK31" s="115" t="s">
        <v>210</v>
      </c>
      <c r="BL31" s="115" t="s">
        <v>210</v>
      </c>
      <c r="BM31" s="115" t="s">
        <v>211</v>
      </c>
      <c r="BN31" s="115" t="s">
        <v>211</v>
      </c>
      <c r="BO31" s="115" t="s">
        <v>211</v>
      </c>
      <c r="BP31" s="115" t="s">
        <v>211</v>
      </c>
      <c r="BQ31" s="115" t="s">
        <v>211</v>
      </c>
      <c r="BR31" s="115" t="s">
        <v>211</v>
      </c>
      <c r="BS31" s="115" t="s">
        <v>211</v>
      </c>
      <c r="BT31" s="115" t="s">
        <v>211</v>
      </c>
      <c r="BU31" s="115" t="s">
        <v>211</v>
      </c>
      <c r="BV31" s="115" t="s">
        <v>211</v>
      </c>
      <c r="BW31" s="115" t="s">
        <v>211</v>
      </c>
      <c r="BX31" s="115" t="s">
        <v>211</v>
      </c>
      <c r="BY31" s="115" t="s">
        <v>211</v>
      </c>
      <c r="BZ31" s="115" t="s">
        <v>211</v>
      </c>
      <c r="CA31" s="115" t="s">
        <v>211</v>
      </c>
      <c r="CB31" s="115" t="s">
        <v>211</v>
      </c>
      <c r="CC31" s="115" t="s">
        <v>211</v>
      </c>
      <c r="CD31" s="115" t="s">
        <v>211</v>
      </c>
      <c r="CE31" s="115" t="s">
        <v>211</v>
      </c>
      <c r="CF31" s="115" t="s">
        <v>211</v>
      </c>
      <c r="CG31" s="115" t="s">
        <v>44</v>
      </c>
      <c r="CH31" s="115" t="s">
        <v>44</v>
      </c>
      <c r="CI31" s="115" t="s">
        <v>44</v>
      </c>
      <c r="CJ31" s="115" t="s">
        <v>44</v>
      </c>
      <c r="CK31" s="115" t="s">
        <v>44</v>
      </c>
      <c r="CL31" s="115" t="s">
        <v>44</v>
      </c>
      <c r="CM31" s="115" t="s">
        <v>44</v>
      </c>
      <c r="CN31" s="115" t="s">
        <v>44</v>
      </c>
      <c r="CO31" s="115" t="s">
        <v>44</v>
      </c>
      <c r="CP31" s="115" t="s">
        <v>44</v>
      </c>
      <c r="CQ31" s="74" t="s">
        <v>72</v>
      </c>
      <c r="CR31" s="74" t="s">
        <v>72</v>
      </c>
      <c r="CS31" s="74" t="s">
        <v>72</v>
      </c>
      <c r="CT31" s="74" t="s">
        <v>72</v>
      </c>
      <c r="CU31" s="74" t="s">
        <v>72</v>
      </c>
      <c r="CV31" s="74" t="s">
        <v>72</v>
      </c>
      <c r="CW31" s="74" t="s">
        <v>72</v>
      </c>
      <c r="CX31" s="74" t="s">
        <v>72</v>
      </c>
      <c r="CY31" s="74" t="s">
        <v>72</v>
      </c>
      <c r="CZ31" s="74" t="s">
        <v>72</v>
      </c>
    </row>
    <row r="33" spans="1:1">
      <c r="A33" s="89" t="s">
        <v>52</v>
      </c>
    </row>
    <row r="34" spans="1:1">
      <c r="A34" s="26" t="s">
        <v>56</v>
      </c>
    </row>
    <row r="35" spans="1:1">
      <c r="A35" s="26"/>
    </row>
  </sheetData>
  <mergeCells count="3">
    <mergeCell ref="A29:B29"/>
    <mergeCell ref="A30:B30"/>
    <mergeCell ref="A31:B31"/>
  </mergeCells>
  <conditionalFormatting sqref="E7:CZ16">
    <cfRule type="cellIs" dxfId="13" priority="1" stopIfTrue="1" operator="lessThan">
      <formula>#REF!</formula>
    </cfRule>
    <cfRule type="cellIs" dxfId="12" priority="3" operator="lessThan">
      <formula>#REF!</formula>
    </cfRule>
  </conditionalFormatting>
  <pageMargins left="0.7" right="0.7" top="0.75" bottom="0.75" header="0.3" footer="0.3"/>
  <pageSetup paperSize="9" orientation="portrait" r:id="rId1"/>
  <ignoredErrors>
    <ignoredError sqref="E31:CZ31" numberStoredAsText="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0BA1-342C-497C-8A42-E85A689565AE}">
  <dimension ref="A1:CZ35"/>
  <sheetViews>
    <sheetView showGridLines="0" workbookViewId="0">
      <pane xSplit="4" ySplit="6" topLeftCell="E7" activePane="bottomRight" state="frozen"/>
      <selection pane="bottomRight" activeCell="E7" sqref="E7"/>
      <selection pane="bottomLeft" activeCell="E1" sqref="E1:MB1048576"/>
      <selection pane="topRight" activeCell="E1" sqref="E1:MB1048576"/>
    </sheetView>
  </sheetViews>
  <sheetFormatPr defaultRowHeight="15"/>
  <cols>
    <col min="1" max="4" width="11.7109375" style="1" customWidth="1"/>
    <col min="5" max="5" width="10.5703125" style="3" customWidth="1"/>
    <col min="6" max="340" width="10.5703125" customWidth="1"/>
  </cols>
  <sheetData>
    <row r="1" spans="1:104" ht="15" customHeight="1"/>
    <row r="2" spans="1:104" ht="15" customHeight="1">
      <c r="A2" s="9"/>
      <c r="B2" s="7"/>
      <c r="C2" s="7"/>
      <c r="D2" s="7"/>
      <c r="E2" s="7"/>
    </row>
    <row r="3" spans="1:104" ht="20.45" customHeight="1">
      <c r="A3" s="9" t="str">
        <f>Voorblad!A5</f>
        <v>Team Freight Forwarding Logistics</v>
      </c>
      <c r="B3" s="8"/>
      <c r="C3" s="8"/>
      <c r="D3" s="8"/>
      <c r="E3" s="48"/>
    </row>
    <row r="4" spans="1:104" s="51" customFormat="1" ht="15.75">
      <c r="A4" s="62" t="s">
        <v>212</v>
      </c>
      <c r="B4" s="49"/>
      <c r="C4" s="50"/>
      <c r="D4" s="50"/>
      <c r="E4" s="50"/>
    </row>
    <row r="5" spans="1:104" ht="15" customHeight="1">
      <c r="A5" s="7"/>
      <c r="B5" s="7"/>
      <c r="C5" s="7"/>
      <c r="D5" s="7"/>
      <c r="E5" s="26"/>
    </row>
    <row r="6" spans="1:104" ht="15" customHeight="1">
      <c r="A6" s="63" t="s">
        <v>20</v>
      </c>
      <c r="B6" s="63" t="s">
        <v>21</v>
      </c>
      <c r="C6" s="64" t="s">
        <v>22</v>
      </c>
      <c r="D6" s="64" t="s">
        <v>23</v>
      </c>
      <c r="E6" s="94" t="s">
        <v>62</v>
      </c>
      <c r="F6" s="119">
        <v>1</v>
      </c>
      <c r="G6" s="120">
        <v>2</v>
      </c>
      <c r="H6" s="119">
        <v>3</v>
      </c>
      <c r="I6" s="119">
        <v>4</v>
      </c>
      <c r="J6" s="119">
        <v>5</v>
      </c>
      <c r="K6" s="119">
        <v>6</v>
      </c>
      <c r="L6" s="119">
        <v>7</v>
      </c>
      <c r="M6" s="120">
        <v>8</v>
      </c>
      <c r="N6" s="119">
        <v>9</v>
      </c>
      <c r="O6" s="2">
        <v>10</v>
      </c>
      <c r="P6" s="2">
        <v>11</v>
      </c>
      <c r="Q6" s="2">
        <v>12</v>
      </c>
      <c r="R6" s="2">
        <v>13</v>
      </c>
      <c r="S6" s="2">
        <v>14</v>
      </c>
      <c r="T6" s="2">
        <v>15</v>
      </c>
      <c r="U6" s="2">
        <v>16</v>
      </c>
      <c r="V6" s="2">
        <v>17</v>
      </c>
      <c r="W6" s="2">
        <v>18</v>
      </c>
      <c r="X6" s="2">
        <v>19</v>
      </c>
      <c r="Y6" s="2">
        <v>20</v>
      </c>
      <c r="Z6" s="2">
        <v>21</v>
      </c>
      <c r="AA6" s="2">
        <v>22</v>
      </c>
      <c r="AB6" s="2">
        <v>23</v>
      </c>
      <c r="AC6" s="2">
        <v>24</v>
      </c>
      <c r="AD6" s="2">
        <v>25</v>
      </c>
      <c r="AE6" s="2">
        <v>26</v>
      </c>
      <c r="AF6" s="2">
        <v>27</v>
      </c>
      <c r="AG6" s="2">
        <v>28</v>
      </c>
      <c r="AH6" s="2">
        <v>29</v>
      </c>
      <c r="AI6" s="2">
        <v>30</v>
      </c>
      <c r="AJ6" s="2">
        <v>31</v>
      </c>
      <c r="AK6" s="2">
        <v>32</v>
      </c>
      <c r="AL6" s="2">
        <v>33</v>
      </c>
      <c r="AM6" s="2">
        <v>34</v>
      </c>
      <c r="AN6" s="2">
        <v>35</v>
      </c>
      <c r="AO6" s="2">
        <v>36</v>
      </c>
      <c r="AP6" s="2">
        <v>37</v>
      </c>
      <c r="AQ6" s="2">
        <v>38</v>
      </c>
      <c r="AR6" s="2">
        <v>39</v>
      </c>
      <c r="AS6" s="2">
        <v>40</v>
      </c>
      <c r="AT6" s="2">
        <v>41</v>
      </c>
      <c r="AU6" s="2">
        <v>42</v>
      </c>
      <c r="AV6" s="2">
        <v>43</v>
      </c>
      <c r="AW6" s="2">
        <v>44</v>
      </c>
      <c r="AX6" s="2">
        <v>45</v>
      </c>
      <c r="AY6" s="2">
        <v>46</v>
      </c>
      <c r="AZ6" s="2">
        <v>47</v>
      </c>
      <c r="BA6" s="2">
        <v>48</v>
      </c>
      <c r="BB6" s="2">
        <v>49</v>
      </c>
      <c r="BC6" s="2">
        <v>50</v>
      </c>
      <c r="BD6" s="2">
        <v>51</v>
      </c>
      <c r="BE6" s="2">
        <v>52</v>
      </c>
      <c r="BF6" s="2">
        <v>53</v>
      </c>
      <c r="BG6" s="2">
        <v>54</v>
      </c>
      <c r="BH6" s="2">
        <v>55</v>
      </c>
      <c r="BI6" s="2">
        <v>56</v>
      </c>
      <c r="BJ6" s="2">
        <v>57</v>
      </c>
      <c r="BK6" s="2">
        <v>58</v>
      </c>
      <c r="BL6" s="2">
        <v>59</v>
      </c>
      <c r="BM6" s="2">
        <v>60</v>
      </c>
      <c r="BN6" s="2">
        <v>61</v>
      </c>
      <c r="BO6" s="2">
        <v>62</v>
      </c>
      <c r="BP6" s="2">
        <v>63</v>
      </c>
      <c r="BQ6" s="2">
        <v>64</v>
      </c>
      <c r="BR6" s="2">
        <v>65</v>
      </c>
      <c r="BS6" s="2">
        <v>66</v>
      </c>
      <c r="BT6" s="2">
        <v>67</v>
      </c>
      <c r="BU6" s="2">
        <v>68</v>
      </c>
      <c r="BV6" s="2">
        <v>69</v>
      </c>
      <c r="BW6" s="2">
        <v>70</v>
      </c>
      <c r="BX6" s="2">
        <v>71</v>
      </c>
      <c r="BY6" s="2">
        <v>72</v>
      </c>
      <c r="BZ6" s="2">
        <v>73</v>
      </c>
      <c r="CA6" s="2">
        <v>74</v>
      </c>
      <c r="CB6" s="2">
        <v>75</v>
      </c>
      <c r="CC6" s="2">
        <v>76</v>
      </c>
      <c r="CD6" s="2">
        <v>77</v>
      </c>
      <c r="CE6" s="2">
        <v>78</v>
      </c>
      <c r="CF6" s="2">
        <v>79</v>
      </c>
      <c r="CG6" s="2">
        <v>80</v>
      </c>
      <c r="CH6" s="2">
        <v>81</v>
      </c>
      <c r="CI6" s="2">
        <v>82</v>
      </c>
      <c r="CJ6" s="2">
        <v>83</v>
      </c>
      <c r="CK6" s="2">
        <v>84</v>
      </c>
      <c r="CL6" s="2">
        <v>85</v>
      </c>
      <c r="CM6" s="2">
        <v>86</v>
      </c>
      <c r="CN6" s="2">
        <v>87</v>
      </c>
      <c r="CO6" s="2">
        <v>88</v>
      </c>
      <c r="CP6" s="2">
        <v>89</v>
      </c>
      <c r="CQ6" s="2">
        <v>90</v>
      </c>
      <c r="CR6" s="2">
        <v>91</v>
      </c>
      <c r="CS6" s="2">
        <v>92</v>
      </c>
      <c r="CT6" s="2">
        <v>93</v>
      </c>
      <c r="CU6" s="2">
        <v>94</v>
      </c>
      <c r="CV6" s="2">
        <v>95</v>
      </c>
      <c r="CW6" s="2">
        <v>96</v>
      </c>
      <c r="CX6" s="2">
        <v>97</v>
      </c>
      <c r="CY6" s="2">
        <v>98</v>
      </c>
      <c r="CZ6" s="2">
        <v>99</v>
      </c>
    </row>
    <row r="7" spans="1:104" ht="15" customHeight="1">
      <c r="A7" s="64">
        <v>300</v>
      </c>
      <c r="B7" s="64">
        <v>0.2</v>
      </c>
      <c r="C7" s="64">
        <v>0.5</v>
      </c>
      <c r="D7" s="64"/>
      <c r="E7" s="90">
        <v>103</v>
      </c>
      <c r="F7" s="90">
        <v>103</v>
      </c>
      <c r="G7" s="90">
        <v>103</v>
      </c>
      <c r="H7" s="90">
        <v>103</v>
      </c>
      <c r="I7" s="90">
        <v>103</v>
      </c>
      <c r="J7" s="90">
        <v>103</v>
      </c>
      <c r="K7" s="90">
        <v>110</v>
      </c>
      <c r="L7" s="90">
        <v>110</v>
      </c>
      <c r="M7" s="90">
        <v>110</v>
      </c>
      <c r="N7" s="90">
        <v>110</v>
      </c>
      <c r="O7" s="90">
        <v>110</v>
      </c>
      <c r="P7" s="90">
        <v>110</v>
      </c>
      <c r="Q7" s="90">
        <v>110</v>
      </c>
      <c r="R7" s="90">
        <v>110</v>
      </c>
      <c r="S7" s="90">
        <v>110</v>
      </c>
      <c r="T7" s="90">
        <v>110</v>
      </c>
      <c r="U7" s="90">
        <v>110</v>
      </c>
      <c r="V7" s="90">
        <v>110</v>
      </c>
      <c r="W7" s="90">
        <v>110</v>
      </c>
      <c r="X7" s="90">
        <v>110</v>
      </c>
      <c r="Y7" s="90">
        <v>110</v>
      </c>
      <c r="Z7" s="90">
        <v>110</v>
      </c>
      <c r="AA7" s="90">
        <v>110</v>
      </c>
      <c r="AB7" s="90">
        <v>110</v>
      </c>
      <c r="AC7" s="90">
        <v>110</v>
      </c>
      <c r="AD7" s="90">
        <v>110</v>
      </c>
      <c r="AE7" s="90">
        <v>110</v>
      </c>
      <c r="AF7" s="90">
        <v>110</v>
      </c>
      <c r="AG7" s="90">
        <v>110</v>
      </c>
      <c r="AH7" s="90">
        <v>110</v>
      </c>
      <c r="AI7" s="90">
        <v>110</v>
      </c>
      <c r="AJ7" s="90">
        <v>110</v>
      </c>
      <c r="AK7" s="90">
        <v>110</v>
      </c>
      <c r="AL7" s="90">
        <v>110</v>
      </c>
      <c r="AM7" s="90">
        <v>110</v>
      </c>
      <c r="AN7" s="90">
        <v>110</v>
      </c>
      <c r="AO7" s="90">
        <v>110</v>
      </c>
      <c r="AP7" s="90">
        <v>110</v>
      </c>
      <c r="AQ7" s="90">
        <v>110</v>
      </c>
      <c r="AR7" s="90">
        <v>110</v>
      </c>
      <c r="AS7" s="90">
        <v>108</v>
      </c>
      <c r="AT7" s="90">
        <v>108</v>
      </c>
      <c r="AU7" s="90">
        <v>108</v>
      </c>
      <c r="AV7" s="90">
        <v>108</v>
      </c>
      <c r="AW7" s="90">
        <v>108</v>
      </c>
      <c r="AX7" s="90">
        <v>108</v>
      </c>
      <c r="AY7" s="90">
        <v>108</v>
      </c>
      <c r="AZ7" s="90">
        <v>108</v>
      </c>
      <c r="BA7" s="90">
        <v>108</v>
      </c>
      <c r="BB7" s="90">
        <v>108</v>
      </c>
      <c r="BC7" s="90">
        <v>105</v>
      </c>
      <c r="BD7" s="90">
        <v>105</v>
      </c>
      <c r="BE7" s="90">
        <v>105</v>
      </c>
      <c r="BF7" s="90">
        <v>105</v>
      </c>
      <c r="BG7" s="90">
        <v>105</v>
      </c>
      <c r="BH7" s="90">
        <v>105</v>
      </c>
      <c r="BI7" s="90">
        <v>105</v>
      </c>
      <c r="BJ7" s="90">
        <v>105</v>
      </c>
      <c r="BK7" s="90">
        <v>105</v>
      </c>
      <c r="BL7" s="90">
        <v>105</v>
      </c>
      <c r="BM7" s="90">
        <v>98</v>
      </c>
      <c r="BN7" s="90">
        <v>98</v>
      </c>
      <c r="BO7" s="90">
        <v>98</v>
      </c>
      <c r="BP7" s="90">
        <v>98</v>
      </c>
      <c r="BQ7" s="90">
        <v>98</v>
      </c>
      <c r="BR7" s="90">
        <v>98</v>
      </c>
      <c r="BS7" s="90">
        <v>98</v>
      </c>
      <c r="BT7" s="90">
        <v>98</v>
      </c>
      <c r="BU7" s="90">
        <v>98</v>
      </c>
      <c r="BV7" s="90">
        <v>98</v>
      </c>
      <c r="BW7" s="90">
        <v>103</v>
      </c>
      <c r="BX7" s="90">
        <v>103</v>
      </c>
      <c r="BY7" s="90">
        <v>103</v>
      </c>
      <c r="BZ7" s="90">
        <v>103</v>
      </c>
      <c r="CA7" s="90">
        <v>103</v>
      </c>
      <c r="CB7" s="90">
        <v>103</v>
      </c>
      <c r="CC7" s="90">
        <v>103</v>
      </c>
      <c r="CD7" s="90">
        <v>103</v>
      </c>
      <c r="CE7" s="90">
        <v>103</v>
      </c>
      <c r="CF7" s="90">
        <v>103</v>
      </c>
      <c r="CG7" s="90">
        <v>106</v>
      </c>
      <c r="CH7" s="90">
        <v>106</v>
      </c>
      <c r="CI7" s="90">
        <v>106</v>
      </c>
      <c r="CJ7" s="90">
        <v>106</v>
      </c>
      <c r="CK7" s="90">
        <v>106</v>
      </c>
      <c r="CL7" s="90">
        <v>106</v>
      </c>
      <c r="CM7" s="90">
        <v>106</v>
      </c>
      <c r="CN7" s="90">
        <v>106</v>
      </c>
      <c r="CO7" s="90">
        <v>106</v>
      </c>
      <c r="CP7" s="90">
        <v>106</v>
      </c>
      <c r="CQ7" s="90">
        <v>103</v>
      </c>
      <c r="CR7" s="90">
        <v>103</v>
      </c>
      <c r="CS7" s="90">
        <v>103</v>
      </c>
      <c r="CT7" s="90">
        <v>103</v>
      </c>
      <c r="CU7" s="90">
        <v>103</v>
      </c>
      <c r="CV7" s="90">
        <v>103</v>
      </c>
      <c r="CW7" s="90">
        <v>103</v>
      </c>
      <c r="CX7" s="90">
        <v>103</v>
      </c>
      <c r="CY7" s="90">
        <v>103</v>
      </c>
      <c r="CZ7" s="90">
        <v>103</v>
      </c>
    </row>
    <row r="8" spans="1:104" ht="15" customHeight="1">
      <c r="A8" s="64">
        <v>700</v>
      </c>
      <c r="B8" s="64">
        <v>0.4</v>
      </c>
      <c r="C8" s="64">
        <v>1</v>
      </c>
      <c r="D8" s="64"/>
      <c r="E8" s="90">
        <v>150</v>
      </c>
      <c r="F8" s="90">
        <v>150</v>
      </c>
      <c r="G8" s="90">
        <v>150</v>
      </c>
      <c r="H8" s="90">
        <v>150</v>
      </c>
      <c r="I8" s="90">
        <v>150</v>
      </c>
      <c r="J8" s="90">
        <v>150</v>
      </c>
      <c r="K8" s="90">
        <v>158</v>
      </c>
      <c r="L8" s="90">
        <v>158</v>
      </c>
      <c r="M8" s="90">
        <v>158</v>
      </c>
      <c r="N8" s="90">
        <v>158</v>
      </c>
      <c r="O8" s="90">
        <v>158</v>
      </c>
      <c r="P8" s="90">
        <v>158</v>
      </c>
      <c r="Q8" s="90">
        <v>158</v>
      </c>
      <c r="R8" s="90">
        <v>158</v>
      </c>
      <c r="S8" s="90">
        <v>158</v>
      </c>
      <c r="T8" s="90">
        <v>158</v>
      </c>
      <c r="U8" s="90">
        <v>158</v>
      </c>
      <c r="V8" s="90">
        <v>158</v>
      </c>
      <c r="W8" s="90">
        <v>158</v>
      </c>
      <c r="X8" s="90">
        <v>158</v>
      </c>
      <c r="Y8" s="90">
        <v>158</v>
      </c>
      <c r="Z8" s="90">
        <v>158</v>
      </c>
      <c r="AA8" s="90">
        <v>158</v>
      </c>
      <c r="AB8" s="90">
        <v>158</v>
      </c>
      <c r="AC8" s="90">
        <v>158</v>
      </c>
      <c r="AD8" s="90">
        <v>158</v>
      </c>
      <c r="AE8" s="90">
        <v>158</v>
      </c>
      <c r="AF8" s="90">
        <v>158</v>
      </c>
      <c r="AG8" s="90">
        <v>158</v>
      </c>
      <c r="AH8" s="90">
        <v>158</v>
      </c>
      <c r="AI8" s="90">
        <v>157</v>
      </c>
      <c r="AJ8" s="90">
        <v>157</v>
      </c>
      <c r="AK8" s="90">
        <v>157</v>
      </c>
      <c r="AL8" s="90">
        <v>157</v>
      </c>
      <c r="AM8" s="90">
        <v>157</v>
      </c>
      <c r="AN8" s="90">
        <v>157</v>
      </c>
      <c r="AO8" s="90">
        <v>157</v>
      </c>
      <c r="AP8" s="90">
        <v>157</v>
      </c>
      <c r="AQ8" s="90">
        <v>157</v>
      </c>
      <c r="AR8" s="90">
        <v>157</v>
      </c>
      <c r="AS8" s="90">
        <v>156</v>
      </c>
      <c r="AT8" s="90">
        <v>156</v>
      </c>
      <c r="AU8" s="90">
        <v>156</v>
      </c>
      <c r="AV8" s="90">
        <v>156</v>
      </c>
      <c r="AW8" s="90">
        <v>156</v>
      </c>
      <c r="AX8" s="90">
        <v>156</v>
      </c>
      <c r="AY8" s="90">
        <v>156</v>
      </c>
      <c r="AZ8" s="90">
        <v>156</v>
      </c>
      <c r="BA8" s="90">
        <v>156</v>
      </c>
      <c r="BB8" s="90">
        <v>156</v>
      </c>
      <c r="BC8" s="90">
        <v>153</v>
      </c>
      <c r="BD8" s="90">
        <v>153</v>
      </c>
      <c r="BE8" s="90">
        <v>153</v>
      </c>
      <c r="BF8" s="90">
        <v>153</v>
      </c>
      <c r="BG8" s="90">
        <v>153</v>
      </c>
      <c r="BH8" s="90">
        <v>153</v>
      </c>
      <c r="BI8" s="90">
        <v>153</v>
      </c>
      <c r="BJ8" s="90">
        <v>153</v>
      </c>
      <c r="BK8" s="90">
        <v>153</v>
      </c>
      <c r="BL8" s="90">
        <v>153</v>
      </c>
      <c r="BM8" s="90">
        <v>145</v>
      </c>
      <c r="BN8" s="90">
        <v>145</v>
      </c>
      <c r="BO8" s="90">
        <v>145</v>
      </c>
      <c r="BP8" s="90">
        <v>145</v>
      </c>
      <c r="BQ8" s="90">
        <v>145</v>
      </c>
      <c r="BR8" s="90">
        <v>145</v>
      </c>
      <c r="BS8" s="90">
        <v>145</v>
      </c>
      <c r="BT8" s="90">
        <v>145</v>
      </c>
      <c r="BU8" s="90">
        <v>145</v>
      </c>
      <c r="BV8" s="90">
        <v>145</v>
      </c>
      <c r="BW8" s="90">
        <v>150</v>
      </c>
      <c r="BX8" s="90">
        <v>150</v>
      </c>
      <c r="BY8" s="90">
        <v>150</v>
      </c>
      <c r="BZ8" s="90">
        <v>150</v>
      </c>
      <c r="CA8" s="90">
        <v>150</v>
      </c>
      <c r="CB8" s="90">
        <v>150</v>
      </c>
      <c r="CC8" s="90">
        <v>150</v>
      </c>
      <c r="CD8" s="90">
        <v>150</v>
      </c>
      <c r="CE8" s="90">
        <v>150</v>
      </c>
      <c r="CF8" s="90">
        <v>150</v>
      </c>
      <c r="CG8" s="90">
        <v>153</v>
      </c>
      <c r="CH8" s="90">
        <v>153</v>
      </c>
      <c r="CI8" s="90">
        <v>153</v>
      </c>
      <c r="CJ8" s="90">
        <v>153</v>
      </c>
      <c r="CK8" s="90">
        <v>153</v>
      </c>
      <c r="CL8" s="90">
        <v>153</v>
      </c>
      <c r="CM8" s="90">
        <v>153</v>
      </c>
      <c r="CN8" s="90">
        <v>153</v>
      </c>
      <c r="CO8" s="90">
        <v>153</v>
      </c>
      <c r="CP8" s="90">
        <v>153</v>
      </c>
      <c r="CQ8" s="90">
        <v>150</v>
      </c>
      <c r="CR8" s="90">
        <v>150</v>
      </c>
      <c r="CS8" s="90">
        <v>150</v>
      </c>
      <c r="CT8" s="90">
        <v>150</v>
      </c>
      <c r="CU8" s="90">
        <v>150</v>
      </c>
      <c r="CV8" s="90">
        <v>150</v>
      </c>
      <c r="CW8" s="90">
        <v>150</v>
      </c>
      <c r="CX8" s="90">
        <v>150</v>
      </c>
      <c r="CY8" s="90">
        <v>150</v>
      </c>
      <c r="CZ8" s="90">
        <v>150</v>
      </c>
    </row>
    <row r="9" spans="1:104" ht="15" customHeight="1">
      <c r="A9" s="64">
        <v>875</v>
      </c>
      <c r="B9" s="64">
        <v>0.5</v>
      </c>
      <c r="C9" s="64"/>
      <c r="D9" s="64">
        <v>1</v>
      </c>
      <c r="E9" s="90">
        <v>180</v>
      </c>
      <c r="F9" s="90">
        <v>180</v>
      </c>
      <c r="G9" s="90">
        <v>180</v>
      </c>
      <c r="H9" s="90">
        <v>180</v>
      </c>
      <c r="I9" s="90">
        <v>180</v>
      </c>
      <c r="J9" s="90">
        <v>180</v>
      </c>
      <c r="K9" s="90">
        <v>191</v>
      </c>
      <c r="L9" s="90">
        <v>191</v>
      </c>
      <c r="M9" s="90">
        <v>191</v>
      </c>
      <c r="N9" s="90">
        <v>191</v>
      </c>
      <c r="O9" s="90">
        <v>191</v>
      </c>
      <c r="P9" s="90">
        <v>191</v>
      </c>
      <c r="Q9" s="90">
        <v>191</v>
      </c>
      <c r="R9" s="90">
        <v>191</v>
      </c>
      <c r="S9" s="90">
        <v>191</v>
      </c>
      <c r="T9" s="90">
        <v>191</v>
      </c>
      <c r="U9" s="90">
        <v>191</v>
      </c>
      <c r="V9" s="90">
        <v>191</v>
      </c>
      <c r="W9" s="90">
        <v>191</v>
      </c>
      <c r="X9" s="90">
        <v>191</v>
      </c>
      <c r="Y9" s="90">
        <v>190</v>
      </c>
      <c r="Z9" s="90">
        <v>190</v>
      </c>
      <c r="AA9" s="90">
        <v>190</v>
      </c>
      <c r="AB9" s="90">
        <v>190</v>
      </c>
      <c r="AC9" s="90">
        <v>190</v>
      </c>
      <c r="AD9" s="90">
        <v>190</v>
      </c>
      <c r="AE9" s="90">
        <v>190</v>
      </c>
      <c r="AF9" s="90">
        <v>190</v>
      </c>
      <c r="AG9" s="90">
        <v>190</v>
      </c>
      <c r="AH9" s="90">
        <v>190</v>
      </c>
      <c r="AI9" s="90">
        <v>190</v>
      </c>
      <c r="AJ9" s="90">
        <v>190</v>
      </c>
      <c r="AK9" s="90">
        <v>190</v>
      </c>
      <c r="AL9" s="90">
        <v>190</v>
      </c>
      <c r="AM9" s="90">
        <v>190</v>
      </c>
      <c r="AN9" s="90">
        <v>190</v>
      </c>
      <c r="AO9" s="90">
        <v>190</v>
      </c>
      <c r="AP9" s="90">
        <v>190</v>
      </c>
      <c r="AQ9" s="90">
        <v>190</v>
      </c>
      <c r="AR9" s="90">
        <v>190</v>
      </c>
      <c r="AS9" s="90">
        <v>188</v>
      </c>
      <c r="AT9" s="90">
        <v>188</v>
      </c>
      <c r="AU9" s="90">
        <v>188</v>
      </c>
      <c r="AV9" s="90">
        <v>188</v>
      </c>
      <c r="AW9" s="90">
        <v>188</v>
      </c>
      <c r="AX9" s="90">
        <v>188</v>
      </c>
      <c r="AY9" s="90">
        <v>188</v>
      </c>
      <c r="AZ9" s="90">
        <v>188</v>
      </c>
      <c r="BA9" s="90">
        <v>188</v>
      </c>
      <c r="BB9" s="90">
        <v>188</v>
      </c>
      <c r="BC9" s="90">
        <v>183</v>
      </c>
      <c r="BD9" s="90">
        <v>183</v>
      </c>
      <c r="BE9" s="90">
        <v>183</v>
      </c>
      <c r="BF9" s="90">
        <v>183</v>
      </c>
      <c r="BG9" s="90">
        <v>183</v>
      </c>
      <c r="BH9" s="90">
        <v>183</v>
      </c>
      <c r="BI9" s="90">
        <v>183</v>
      </c>
      <c r="BJ9" s="90">
        <v>183</v>
      </c>
      <c r="BK9" s="90">
        <v>183</v>
      </c>
      <c r="BL9" s="90">
        <v>183</v>
      </c>
      <c r="BM9" s="90">
        <v>171</v>
      </c>
      <c r="BN9" s="90">
        <v>171</v>
      </c>
      <c r="BO9" s="90">
        <v>171</v>
      </c>
      <c r="BP9" s="90">
        <v>171</v>
      </c>
      <c r="BQ9" s="90">
        <v>171</v>
      </c>
      <c r="BR9" s="90">
        <v>171</v>
      </c>
      <c r="BS9" s="90">
        <v>171</v>
      </c>
      <c r="BT9" s="90">
        <v>171</v>
      </c>
      <c r="BU9" s="90">
        <v>171</v>
      </c>
      <c r="BV9" s="90">
        <v>171</v>
      </c>
      <c r="BW9" s="90">
        <v>180</v>
      </c>
      <c r="BX9" s="90">
        <v>180</v>
      </c>
      <c r="BY9" s="90">
        <v>180</v>
      </c>
      <c r="BZ9" s="90">
        <v>180</v>
      </c>
      <c r="CA9" s="90">
        <v>180</v>
      </c>
      <c r="CB9" s="90">
        <v>180</v>
      </c>
      <c r="CC9" s="90">
        <v>180</v>
      </c>
      <c r="CD9" s="90">
        <v>180</v>
      </c>
      <c r="CE9" s="90">
        <v>180</v>
      </c>
      <c r="CF9" s="90">
        <v>180</v>
      </c>
      <c r="CG9" s="90">
        <v>183</v>
      </c>
      <c r="CH9" s="90">
        <v>183</v>
      </c>
      <c r="CI9" s="90">
        <v>183</v>
      </c>
      <c r="CJ9" s="90">
        <v>183</v>
      </c>
      <c r="CK9" s="90">
        <v>183</v>
      </c>
      <c r="CL9" s="90">
        <v>183</v>
      </c>
      <c r="CM9" s="90">
        <v>183</v>
      </c>
      <c r="CN9" s="90">
        <v>183</v>
      </c>
      <c r="CO9" s="90">
        <v>183</v>
      </c>
      <c r="CP9" s="90">
        <v>183</v>
      </c>
      <c r="CQ9" s="90">
        <v>180</v>
      </c>
      <c r="CR9" s="90">
        <v>180</v>
      </c>
      <c r="CS9" s="90">
        <v>180</v>
      </c>
      <c r="CT9" s="90">
        <v>180</v>
      </c>
      <c r="CU9" s="90">
        <v>180</v>
      </c>
      <c r="CV9" s="90">
        <v>180</v>
      </c>
      <c r="CW9" s="90">
        <v>180</v>
      </c>
      <c r="CX9" s="90">
        <v>180</v>
      </c>
      <c r="CY9" s="90">
        <v>180</v>
      </c>
      <c r="CZ9" s="90">
        <v>180</v>
      </c>
    </row>
    <row r="10" spans="1:104" ht="15" customHeight="1">
      <c r="A10" s="64">
        <v>1050</v>
      </c>
      <c r="B10" s="64">
        <v>0.6</v>
      </c>
      <c r="C10" s="64"/>
      <c r="D10" s="64"/>
      <c r="E10" s="90">
        <v>218</v>
      </c>
      <c r="F10" s="90">
        <v>218</v>
      </c>
      <c r="G10" s="90">
        <v>218</v>
      </c>
      <c r="H10" s="90">
        <v>218</v>
      </c>
      <c r="I10" s="90">
        <v>218</v>
      </c>
      <c r="J10" s="90">
        <v>218</v>
      </c>
      <c r="K10" s="90">
        <v>230</v>
      </c>
      <c r="L10" s="90">
        <v>230</v>
      </c>
      <c r="M10" s="90">
        <v>230</v>
      </c>
      <c r="N10" s="90">
        <v>230</v>
      </c>
      <c r="O10" s="90">
        <v>230</v>
      </c>
      <c r="P10" s="90">
        <v>230</v>
      </c>
      <c r="Q10" s="90">
        <v>230</v>
      </c>
      <c r="R10" s="90">
        <v>230</v>
      </c>
      <c r="S10" s="90">
        <v>230</v>
      </c>
      <c r="T10" s="90">
        <v>230</v>
      </c>
      <c r="U10" s="90">
        <v>230</v>
      </c>
      <c r="V10" s="90">
        <v>230</v>
      </c>
      <c r="W10" s="90">
        <v>230</v>
      </c>
      <c r="X10" s="90">
        <v>230</v>
      </c>
      <c r="Y10" s="90">
        <v>229</v>
      </c>
      <c r="Z10" s="90">
        <v>229</v>
      </c>
      <c r="AA10" s="90">
        <v>229</v>
      </c>
      <c r="AB10" s="90">
        <v>229</v>
      </c>
      <c r="AC10" s="90">
        <v>229</v>
      </c>
      <c r="AD10" s="90">
        <v>229</v>
      </c>
      <c r="AE10" s="90">
        <v>229</v>
      </c>
      <c r="AF10" s="90">
        <v>229</v>
      </c>
      <c r="AG10" s="90">
        <v>229</v>
      </c>
      <c r="AH10" s="90">
        <v>229</v>
      </c>
      <c r="AI10" s="90">
        <v>229</v>
      </c>
      <c r="AJ10" s="90">
        <v>229</v>
      </c>
      <c r="AK10" s="90">
        <v>229</v>
      </c>
      <c r="AL10" s="90">
        <v>229</v>
      </c>
      <c r="AM10" s="90">
        <v>229</v>
      </c>
      <c r="AN10" s="90">
        <v>229</v>
      </c>
      <c r="AO10" s="90">
        <v>229</v>
      </c>
      <c r="AP10" s="90">
        <v>229</v>
      </c>
      <c r="AQ10" s="90">
        <v>229</v>
      </c>
      <c r="AR10" s="90">
        <v>229</v>
      </c>
      <c r="AS10" s="90">
        <v>226</v>
      </c>
      <c r="AT10" s="90">
        <v>226</v>
      </c>
      <c r="AU10" s="90">
        <v>226</v>
      </c>
      <c r="AV10" s="90">
        <v>226</v>
      </c>
      <c r="AW10" s="90">
        <v>226</v>
      </c>
      <c r="AX10" s="90">
        <v>226</v>
      </c>
      <c r="AY10" s="90">
        <v>226</v>
      </c>
      <c r="AZ10" s="90">
        <v>226</v>
      </c>
      <c r="BA10" s="90">
        <v>226</v>
      </c>
      <c r="BB10" s="90">
        <v>226</v>
      </c>
      <c r="BC10" s="90">
        <v>221</v>
      </c>
      <c r="BD10" s="90">
        <v>221</v>
      </c>
      <c r="BE10" s="90">
        <v>221</v>
      </c>
      <c r="BF10" s="90">
        <v>221</v>
      </c>
      <c r="BG10" s="90">
        <v>221</v>
      </c>
      <c r="BH10" s="90">
        <v>221</v>
      </c>
      <c r="BI10" s="90">
        <v>221</v>
      </c>
      <c r="BJ10" s="90">
        <v>221</v>
      </c>
      <c r="BK10" s="90">
        <v>221</v>
      </c>
      <c r="BL10" s="90">
        <v>221</v>
      </c>
      <c r="BM10" s="90">
        <v>207</v>
      </c>
      <c r="BN10" s="90">
        <v>207</v>
      </c>
      <c r="BO10" s="90">
        <v>207</v>
      </c>
      <c r="BP10" s="90">
        <v>207</v>
      </c>
      <c r="BQ10" s="90">
        <v>207</v>
      </c>
      <c r="BR10" s="90">
        <v>207</v>
      </c>
      <c r="BS10" s="90">
        <v>207</v>
      </c>
      <c r="BT10" s="90">
        <v>207</v>
      </c>
      <c r="BU10" s="90">
        <v>207</v>
      </c>
      <c r="BV10" s="90">
        <v>207</v>
      </c>
      <c r="BW10" s="90">
        <v>218</v>
      </c>
      <c r="BX10" s="90">
        <v>218</v>
      </c>
      <c r="BY10" s="90">
        <v>218</v>
      </c>
      <c r="BZ10" s="90">
        <v>218</v>
      </c>
      <c r="CA10" s="90">
        <v>218</v>
      </c>
      <c r="CB10" s="90">
        <v>218</v>
      </c>
      <c r="CC10" s="90">
        <v>218</v>
      </c>
      <c r="CD10" s="90">
        <v>218</v>
      </c>
      <c r="CE10" s="90">
        <v>218</v>
      </c>
      <c r="CF10" s="90">
        <v>218</v>
      </c>
      <c r="CG10" s="90">
        <v>222</v>
      </c>
      <c r="CH10" s="90">
        <v>222</v>
      </c>
      <c r="CI10" s="90">
        <v>222</v>
      </c>
      <c r="CJ10" s="90">
        <v>222</v>
      </c>
      <c r="CK10" s="90">
        <v>222</v>
      </c>
      <c r="CL10" s="90">
        <v>222</v>
      </c>
      <c r="CM10" s="90">
        <v>222</v>
      </c>
      <c r="CN10" s="90">
        <v>222</v>
      </c>
      <c r="CO10" s="90">
        <v>222</v>
      </c>
      <c r="CP10" s="90">
        <v>222</v>
      </c>
      <c r="CQ10" s="90">
        <v>222</v>
      </c>
      <c r="CR10" s="90">
        <v>222</v>
      </c>
      <c r="CS10" s="90">
        <v>222</v>
      </c>
      <c r="CT10" s="90">
        <v>222</v>
      </c>
      <c r="CU10" s="90">
        <v>222</v>
      </c>
      <c r="CV10" s="90">
        <v>222</v>
      </c>
      <c r="CW10" s="90">
        <v>222</v>
      </c>
      <c r="CX10" s="90">
        <v>222</v>
      </c>
      <c r="CY10" s="90">
        <v>222</v>
      </c>
      <c r="CZ10" s="90">
        <v>222</v>
      </c>
    </row>
    <row r="11" spans="1:104" ht="15" customHeight="1">
      <c r="A11" s="64">
        <v>1400</v>
      </c>
      <c r="B11" s="64">
        <v>0.8</v>
      </c>
      <c r="C11" s="64">
        <v>2</v>
      </c>
      <c r="D11" s="64"/>
      <c r="E11" s="90">
        <v>277</v>
      </c>
      <c r="F11" s="90">
        <v>277</v>
      </c>
      <c r="G11" s="90">
        <v>277</v>
      </c>
      <c r="H11" s="90">
        <v>277</v>
      </c>
      <c r="I11" s="90">
        <v>277</v>
      </c>
      <c r="J11" s="90">
        <v>277</v>
      </c>
      <c r="K11" s="90">
        <v>292</v>
      </c>
      <c r="L11" s="90">
        <v>292</v>
      </c>
      <c r="M11" s="90">
        <v>292</v>
      </c>
      <c r="N11" s="90">
        <v>292</v>
      </c>
      <c r="O11" s="90">
        <v>292</v>
      </c>
      <c r="P11" s="90">
        <v>292</v>
      </c>
      <c r="Q11" s="90">
        <v>292</v>
      </c>
      <c r="R11" s="90">
        <v>292</v>
      </c>
      <c r="S11" s="90">
        <v>292</v>
      </c>
      <c r="T11" s="90">
        <v>292</v>
      </c>
      <c r="U11" s="90">
        <v>292</v>
      </c>
      <c r="V11" s="90">
        <v>292</v>
      </c>
      <c r="W11" s="90">
        <v>292</v>
      </c>
      <c r="X11" s="90">
        <v>292</v>
      </c>
      <c r="Y11" s="90">
        <v>292</v>
      </c>
      <c r="Z11" s="90">
        <v>292</v>
      </c>
      <c r="AA11" s="90">
        <v>292</v>
      </c>
      <c r="AB11" s="90">
        <v>292</v>
      </c>
      <c r="AC11" s="90">
        <v>292</v>
      </c>
      <c r="AD11" s="90">
        <v>292</v>
      </c>
      <c r="AE11" s="90">
        <v>292</v>
      </c>
      <c r="AF11" s="90">
        <v>292</v>
      </c>
      <c r="AG11" s="90">
        <v>292</v>
      </c>
      <c r="AH11" s="90">
        <v>292</v>
      </c>
      <c r="AI11" s="90">
        <v>291</v>
      </c>
      <c r="AJ11" s="90">
        <v>291</v>
      </c>
      <c r="AK11" s="90">
        <v>291</v>
      </c>
      <c r="AL11" s="90">
        <v>291</v>
      </c>
      <c r="AM11" s="90">
        <v>291</v>
      </c>
      <c r="AN11" s="90">
        <v>291</v>
      </c>
      <c r="AO11" s="90">
        <v>291</v>
      </c>
      <c r="AP11" s="90">
        <v>291</v>
      </c>
      <c r="AQ11" s="90">
        <v>291</v>
      </c>
      <c r="AR11" s="90">
        <v>291</v>
      </c>
      <c r="AS11" s="90">
        <v>288</v>
      </c>
      <c r="AT11" s="90">
        <v>288</v>
      </c>
      <c r="AU11" s="90">
        <v>288</v>
      </c>
      <c r="AV11" s="90">
        <v>288</v>
      </c>
      <c r="AW11" s="90">
        <v>288</v>
      </c>
      <c r="AX11" s="90">
        <v>288</v>
      </c>
      <c r="AY11" s="90">
        <v>288</v>
      </c>
      <c r="AZ11" s="90">
        <v>288</v>
      </c>
      <c r="BA11" s="90">
        <v>288</v>
      </c>
      <c r="BB11" s="90">
        <v>288</v>
      </c>
      <c r="BC11" s="90">
        <v>282</v>
      </c>
      <c r="BD11" s="90">
        <v>282</v>
      </c>
      <c r="BE11" s="90">
        <v>282</v>
      </c>
      <c r="BF11" s="90">
        <v>282</v>
      </c>
      <c r="BG11" s="90">
        <v>282</v>
      </c>
      <c r="BH11" s="90">
        <v>282</v>
      </c>
      <c r="BI11" s="90">
        <v>282</v>
      </c>
      <c r="BJ11" s="90">
        <v>282</v>
      </c>
      <c r="BK11" s="90">
        <v>282</v>
      </c>
      <c r="BL11" s="90">
        <v>282</v>
      </c>
      <c r="BM11" s="90">
        <v>267</v>
      </c>
      <c r="BN11" s="90">
        <v>267</v>
      </c>
      <c r="BO11" s="90">
        <v>267</v>
      </c>
      <c r="BP11" s="90">
        <v>267</v>
      </c>
      <c r="BQ11" s="90">
        <v>267</v>
      </c>
      <c r="BR11" s="90">
        <v>267</v>
      </c>
      <c r="BS11" s="90">
        <v>267</v>
      </c>
      <c r="BT11" s="90">
        <v>267</v>
      </c>
      <c r="BU11" s="90">
        <v>267</v>
      </c>
      <c r="BV11" s="90">
        <v>267</v>
      </c>
      <c r="BW11" s="90">
        <v>277</v>
      </c>
      <c r="BX11" s="90">
        <v>277</v>
      </c>
      <c r="BY11" s="90">
        <v>277</v>
      </c>
      <c r="BZ11" s="90">
        <v>277</v>
      </c>
      <c r="CA11" s="90">
        <v>277</v>
      </c>
      <c r="CB11" s="90">
        <v>277</v>
      </c>
      <c r="CC11" s="90">
        <v>277</v>
      </c>
      <c r="CD11" s="90">
        <v>277</v>
      </c>
      <c r="CE11" s="90">
        <v>277</v>
      </c>
      <c r="CF11" s="90">
        <v>277</v>
      </c>
      <c r="CG11" s="90">
        <v>284</v>
      </c>
      <c r="CH11" s="90">
        <v>284</v>
      </c>
      <c r="CI11" s="90">
        <v>284</v>
      </c>
      <c r="CJ11" s="90">
        <v>284</v>
      </c>
      <c r="CK11" s="90">
        <v>284</v>
      </c>
      <c r="CL11" s="90">
        <v>284</v>
      </c>
      <c r="CM11" s="90">
        <v>284</v>
      </c>
      <c r="CN11" s="90">
        <v>284</v>
      </c>
      <c r="CO11" s="90">
        <v>284</v>
      </c>
      <c r="CP11" s="90">
        <v>284</v>
      </c>
      <c r="CQ11" s="90">
        <v>277</v>
      </c>
      <c r="CR11" s="90">
        <v>277</v>
      </c>
      <c r="CS11" s="90">
        <v>277</v>
      </c>
      <c r="CT11" s="90">
        <v>277</v>
      </c>
      <c r="CU11" s="90">
        <v>277</v>
      </c>
      <c r="CV11" s="90">
        <v>277</v>
      </c>
      <c r="CW11" s="90">
        <v>277</v>
      </c>
      <c r="CX11" s="90">
        <v>277</v>
      </c>
      <c r="CY11" s="90">
        <v>277</v>
      </c>
      <c r="CZ11" s="90">
        <v>277</v>
      </c>
    </row>
    <row r="12" spans="1:104" ht="15" customHeight="1">
      <c r="A12" s="64">
        <v>1750</v>
      </c>
      <c r="B12" s="64">
        <v>1</v>
      </c>
      <c r="C12" s="64"/>
      <c r="D12" s="64">
        <v>2</v>
      </c>
      <c r="E12" s="90">
        <v>327</v>
      </c>
      <c r="F12" s="90">
        <v>327</v>
      </c>
      <c r="G12" s="90">
        <v>327</v>
      </c>
      <c r="H12" s="90">
        <v>327</v>
      </c>
      <c r="I12" s="90">
        <v>327</v>
      </c>
      <c r="J12" s="90">
        <v>327</v>
      </c>
      <c r="K12" s="90">
        <v>346</v>
      </c>
      <c r="L12" s="90">
        <v>346</v>
      </c>
      <c r="M12" s="90">
        <v>346</v>
      </c>
      <c r="N12" s="90">
        <v>346</v>
      </c>
      <c r="O12" s="90">
        <v>346</v>
      </c>
      <c r="P12" s="90">
        <v>346</v>
      </c>
      <c r="Q12" s="90">
        <v>346</v>
      </c>
      <c r="R12" s="90">
        <v>346</v>
      </c>
      <c r="S12" s="90">
        <v>346</v>
      </c>
      <c r="T12" s="90">
        <v>346</v>
      </c>
      <c r="U12" s="90">
        <v>346</v>
      </c>
      <c r="V12" s="90">
        <v>346</v>
      </c>
      <c r="W12" s="90">
        <v>346</v>
      </c>
      <c r="X12" s="90">
        <v>346</v>
      </c>
      <c r="Y12" s="90">
        <v>345</v>
      </c>
      <c r="Z12" s="90">
        <v>345</v>
      </c>
      <c r="AA12" s="90">
        <v>345</v>
      </c>
      <c r="AB12" s="90">
        <v>345</v>
      </c>
      <c r="AC12" s="90">
        <v>345</v>
      </c>
      <c r="AD12" s="90">
        <v>345</v>
      </c>
      <c r="AE12" s="90">
        <v>345</v>
      </c>
      <c r="AF12" s="90">
        <v>345</v>
      </c>
      <c r="AG12" s="90">
        <v>345</v>
      </c>
      <c r="AH12" s="90">
        <v>345</v>
      </c>
      <c r="AI12" s="90">
        <v>345</v>
      </c>
      <c r="AJ12" s="90">
        <v>345</v>
      </c>
      <c r="AK12" s="90">
        <v>345</v>
      </c>
      <c r="AL12" s="90">
        <v>345</v>
      </c>
      <c r="AM12" s="90">
        <v>345</v>
      </c>
      <c r="AN12" s="90">
        <v>345</v>
      </c>
      <c r="AO12" s="90">
        <v>345</v>
      </c>
      <c r="AP12" s="90">
        <v>345</v>
      </c>
      <c r="AQ12" s="90">
        <v>345</v>
      </c>
      <c r="AR12" s="90">
        <v>345</v>
      </c>
      <c r="AS12" s="90">
        <v>340</v>
      </c>
      <c r="AT12" s="90">
        <v>340</v>
      </c>
      <c r="AU12" s="90">
        <v>340</v>
      </c>
      <c r="AV12" s="90">
        <v>340</v>
      </c>
      <c r="AW12" s="90">
        <v>340</v>
      </c>
      <c r="AX12" s="90">
        <v>340</v>
      </c>
      <c r="AY12" s="90">
        <v>340</v>
      </c>
      <c r="AZ12" s="90">
        <v>340</v>
      </c>
      <c r="BA12" s="90">
        <v>340</v>
      </c>
      <c r="BB12" s="90">
        <v>340</v>
      </c>
      <c r="BC12" s="90">
        <v>332</v>
      </c>
      <c r="BD12" s="90">
        <v>332</v>
      </c>
      <c r="BE12" s="90">
        <v>332</v>
      </c>
      <c r="BF12" s="90">
        <v>332</v>
      </c>
      <c r="BG12" s="90">
        <v>332</v>
      </c>
      <c r="BH12" s="90">
        <v>332</v>
      </c>
      <c r="BI12" s="90">
        <v>332</v>
      </c>
      <c r="BJ12" s="90">
        <v>332</v>
      </c>
      <c r="BK12" s="90">
        <v>332</v>
      </c>
      <c r="BL12" s="90">
        <v>332</v>
      </c>
      <c r="BM12" s="90">
        <v>313</v>
      </c>
      <c r="BN12" s="90">
        <v>313</v>
      </c>
      <c r="BO12" s="90">
        <v>313</v>
      </c>
      <c r="BP12" s="90">
        <v>313</v>
      </c>
      <c r="BQ12" s="90">
        <v>313</v>
      </c>
      <c r="BR12" s="90">
        <v>313</v>
      </c>
      <c r="BS12" s="90">
        <v>313</v>
      </c>
      <c r="BT12" s="90">
        <v>313</v>
      </c>
      <c r="BU12" s="90">
        <v>313</v>
      </c>
      <c r="BV12" s="90">
        <v>313</v>
      </c>
      <c r="BW12" s="90">
        <v>327</v>
      </c>
      <c r="BX12" s="90">
        <v>327</v>
      </c>
      <c r="BY12" s="90">
        <v>327</v>
      </c>
      <c r="BZ12" s="90">
        <v>327</v>
      </c>
      <c r="CA12" s="90">
        <v>327</v>
      </c>
      <c r="CB12" s="90">
        <v>327</v>
      </c>
      <c r="CC12" s="90">
        <v>327</v>
      </c>
      <c r="CD12" s="90">
        <v>327</v>
      </c>
      <c r="CE12" s="90">
        <v>327</v>
      </c>
      <c r="CF12" s="90">
        <v>327</v>
      </c>
      <c r="CG12" s="90">
        <v>334</v>
      </c>
      <c r="CH12" s="90">
        <v>334</v>
      </c>
      <c r="CI12" s="90">
        <v>334</v>
      </c>
      <c r="CJ12" s="90">
        <v>334</v>
      </c>
      <c r="CK12" s="90">
        <v>334</v>
      </c>
      <c r="CL12" s="90">
        <v>334</v>
      </c>
      <c r="CM12" s="90">
        <v>334</v>
      </c>
      <c r="CN12" s="90">
        <v>334</v>
      </c>
      <c r="CO12" s="90">
        <v>334</v>
      </c>
      <c r="CP12" s="90">
        <v>334</v>
      </c>
      <c r="CQ12" s="90">
        <v>327</v>
      </c>
      <c r="CR12" s="90">
        <v>327</v>
      </c>
      <c r="CS12" s="90">
        <v>327</v>
      </c>
      <c r="CT12" s="90">
        <v>327</v>
      </c>
      <c r="CU12" s="90">
        <v>327</v>
      </c>
      <c r="CV12" s="90">
        <v>327</v>
      </c>
      <c r="CW12" s="90">
        <v>327</v>
      </c>
      <c r="CX12" s="90">
        <v>327</v>
      </c>
      <c r="CY12" s="90">
        <v>327</v>
      </c>
      <c r="CZ12" s="90">
        <v>327</v>
      </c>
    </row>
    <row r="13" spans="1:104" ht="15" customHeight="1">
      <c r="A13" s="64">
        <v>2100</v>
      </c>
      <c r="B13" s="64">
        <v>1.2</v>
      </c>
      <c r="C13" s="64">
        <v>3</v>
      </c>
      <c r="D13" s="64"/>
      <c r="E13" s="90">
        <v>393</v>
      </c>
      <c r="F13" s="90">
        <v>393</v>
      </c>
      <c r="G13" s="90">
        <v>393</v>
      </c>
      <c r="H13" s="90">
        <v>393</v>
      </c>
      <c r="I13" s="90">
        <v>393</v>
      </c>
      <c r="J13" s="90">
        <v>393</v>
      </c>
      <c r="K13" s="90">
        <v>415</v>
      </c>
      <c r="L13" s="90">
        <v>415</v>
      </c>
      <c r="M13" s="90">
        <v>415</v>
      </c>
      <c r="N13" s="90">
        <v>415</v>
      </c>
      <c r="O13" s="90">
        <v>415</v>
      </c>
      <c r="P13" s="90">
        <v>415</v>
      </c>
      <c r="Q13" s="90">
        <v>415</v>
      </c>
      <c r="R13" s="90">
        <v>415</v>
      </c>
      <c r="S13" s="90">
        <v>415</v>
      </c>
      <c r="T13" s="90">
        <v>415</v>
      </c>
      <c r="U13" s="90">
        <v>415</v>
      </c>
      <c r="V13" s="90">
        <v>415</v>
      </c>
      <c r="W13" s="90">
        <v>415</v>
      </c>
      <c r="X13" s="90">
        <v>415</v>
      </c>
      <c r="Y13" s="90">
        <v>414</v>
      </c>
      <c r="Z13" s="90">
        <v>414</v>
      </c>
      <c r="AA13" s="90">
        <v>414</v>
      </c>
      <c r="AB13" s="90">
        <v>414</v>
      </c>
      <c r="AC13" s="90">
        <v>414</v>
      </c>
      <c r="AD13" s="90">
        <v>414</v>
      </c>
      <c r="AE13" s="90">
        <v>414</v>
      </c>
      <c r="AF13" s="90">
        <v>414</v>
      </c>
      <c r="AG13" s="90">
        <v>414</v>
      </c>
      <c r="AH13" s="90">
        <v>414</v>
      </c>
      <c r="AI13" s="90">
        <v>413</v>
      </c>
      <c r="AJ13" s="90">
        <v>413</v>
      </c>
      <c r="AK13" s="90">
        <v>413</v>
      </c>
      <c r="AL13" s="90">
        <v>413</v>
      </c>
      <c r="AM13" s="90">
        <v>413</v>
      </c>
      <c r="AN13" s="90">
        <v>413</v>
      </c>
      <c r="AO13" s="90">
        <v>413</v>
      </c>
      <c r="AP13" s="90">
        <v>413</v>
      </c>
      <c r="AQ13" s="90">
        <v>413</v>
      </c>
      <c r="AR13" s="90">
        <v>413</v>
      </c>
      <c r="AS13" s="90">
        <v>409</v>
      </c>
      <c r="AT13" s="90">
        <v>409</v>
      </c>
      <c r="AU13" s="90">
        <v>409</v>
      </c>
      <c r="AV13" s="90">
        <v>409</v>
      </c>
      <c r="AW13" s="90">
        <v>409</v>
      </c>
      <c r="AX13" s="90">
        <v>409</v>
      </c>
      <c r="AY13" s="90">
        <v>409</v>
      </c>
      <c r="AZ13" s="90">
        <v>409</v>
      </c>
      <c r="BA13" s="90">
        <v>409</v>
      </c>
      <c r="BB13" s="90">
        <v>409</v>
      </c>
      <c r="BC13" s="90">
        <v>400</v>
      </c>
      <c r="BD13" s="90">
        <v>400</v>
      </c>
      <c r="BE13" s="90">
        <v>400</v>
      </c>
      <c r="BF13" s="90">
        <v>400</v>
      </c>
      <c r="BG13" s="90">
        <v>400</v>
      </c>
      <c r="BH13" s="90">
        <v>400</v>
      </c>
      <c r="BI13" s="90">
        <v>400</v>
      </c>
      <c r="BJ13" s="90">
        <v>400</v>
      </c>
      <c r="BK13" s="90">
        <v>400</v>
      </c>
      <c r="BL13" s="90">
        <v>400</v>
      </c>
      <c r="BM13" s="90">
        <v>377</v>
      </c>
      <c r="BN13" s="90">
        <v>377</v>
      </c>
      <c r="BO13" s="90">
        <v>377</v>
      </c>
      <c r="BP13" s="90">
        <v>377</v>
      </c>
      <c r="BQ13" s="90">
        <v>377</v>
      </c>
      <c r="BR13" s="90">
        <v>377</v>
      </c>
      <c r="BS13" s="90">
        <v>377</v>
      </c>
      <c r="BT13" s="90">
        <v>377</v>
      </c>
      <c r="BU13" s="90">
        <v>377</v>
      </c>
      <c r="BV13" s="90">
        <v>377</v>
      </c>
      <c r="BW13" s="90">
        <v>393</v>
      </c>
      <c r="BX13" s="90">
        <v>393</v>
      </c>
      <c r="BY13" s="90">
        <v>393</v>
      </c>
      <c r="BZ13" s="90">
        <v>393</v>
      </c>
      <c r="CA13" s="90">
        <v>393</v>
      </c>
      <c r="CB13" s="90">
        <v>393</v>
      </c>
      <c r="CC13" s="90">
        <v>393</v>
      </c>
      <c r="CD13" s="90">
        <v>393</v>
      </c>
      <c r="CE13" s="90">
        <v>393</v>
      </c>
      <c r="CF13" s="90">
        <v>393</v>
      </c>
      <c r="CG13" s="90">
        <v>402</v>
      </c>
      <c r="CH13" s="90">
        <v>402</v>
      </c>
      <c r="CI13" s="90">
        <v>402</v>
      </c>
      <c r="CJ13" s="90">
        <v>402</v>
      </c>
      <c r="CK13" s="90">
        <v>402</v>
      </c>
      <c r="CL13" s="90">
        <v>402</v>
      </c>
      <c r="CM13" s="90">
        <v>402</v>
      </c>
      <c r="CN13" s="90">
        <v>402</v>
      </c>
      <c r="CO13" s="90">
        <v>402</v>
      </c>
      <c r="CP13" s="90">
        <v>402</v>
      </c>
      <c r="CQ13" s="90">
        <v>393</v>
      </c>
      <c r="CR13" s="90">
        <v>393</v>
      </c>
      <c r="CS13" s="90">
        <v>393</v>
      </c>
      <c r="CT13" s="90">
        <v>393</v>
      </c>
      <c r="CU13" s="90">
        <v>393</v>
      </c>
      <c r="CV13" s="90">
        <v>393</v>
      </c>
      <c r="CW13" s="90">
        <v>393</v>
      </c>
      <c r="CX13" s="90">
        <v>393</v>
      </c>
      <c r="CY13" s="90">
        <v>393</v>
      </c>
      <c r="CZ13" s="90">
        <v>393</v>
      </c>
    </row>
    <row r="14" spans="1:104" ht="15" customHeight="1">
      <c r="A14" s="64">
        <v>2625</v>
      </c>
      <c r="B14" s="2">
        <v>1.5</v>
      </c>
      <c r="C14" s="82"/>
      <c r="D14" s="64">
        <v>3</v>
      </c>
      <c r="E14" s="90">
        <v>451</v>
      </c>
      <c r="F14" s="90">
        <v>451</v>
      </c>
      <c r="G14" s="90">
        <v>451</v>
      </c>
      <c r="H14" s="90">
        <v>451</v>
      </c>
      <c r="I14" s="90">
        <v>451</v>
      </c>
      <c r="J14" s="90">
        <v>451</v>
      </c>
      <c r="K14" s="90">
        <v>477</v>
      </c>
      <c r="L14" s="90">
        <v>477</v>
      </c>
      <c r="M14" s="90">
        <v>477</v>
      </c>
      <c r="N14" s="90">
        <v>477</v>
      </c>
      <c r="O14" s="90">
        <v>477</v>
      </c>
      <c r="P14" s="90">
        <v>477</v>
      </c>
      <c r="Q14" s="90">
        <v>477</v>
      </c>
      <c r="R14" s="90">
        <v>477</v>
      </c>
      <c r="S14" s="90">
        <v>477</v>
      </c>
      <c r="T14" s="90">
        <v>477</v>
      </c>
      <c r="U14" s="90">
        <v>477</v>
      </c>
      <c r="V14" s="90">
        <v>477</v>
      </c>
      <c r="W14" s="90">
        <v>477</v>
      </c>
      <c r="X14" s="90">
        <v>477</v>
      </c>
      <c r="Y14" s="90">
        <v>476</v>
      </c>
      <c r="Z14" s="90">
        <v>476</v>
      </c>
      <c r="AA14" s="90">
        <v>476</v>
      </c>
      <c r="AB14" s="90">
        <v>476</v>
      </c>
      <c r="AC14" s="90">
        <v>476</v>
      </c>
      <c r="AD14" s="90">
        <v>476</v>
      </c>
      <c r="AE14" s="90">
        <v>476</v>
      </c>
      <c r="AF14" s="90">
        <v>476</v>
      </c>
      <c r="AG14" s="90">
        <v>476</v>
      </c>
      <c r="AH14" s="90">
        <v>476</v>
      </c>
      <c r="AI14" s="90">
        <v>475</v>
      </c>
      <c r="AJ14" s="90">
        <v>475</v>
      </c>
      <c r="AK14" s="90">
        <v>475</v>
      </c>
      <c r="AL14" s="90">
        <v>475</v>
      </c>
      <c r="AM14" s="90">
        <v>475</v>
      </c>
      <c r="AN14" s="90">
        <v>475</v>
      </c>
      <c r="AO14" s="90">
        <v>475</v>
      </c>
      <c r="AP14" s="90">
        <v>475</v>
      </c>
      <c r="AQ14" s="90">
        <v>475</v>
      </c>
      <c r="AR14" s="90">
        <v>475</v>
      </c>
      <c r="AS14" s="90">
        <v>469</v>
      </c>
      <c r="AT14" s="90">
        <v>469</v>
      </c>
      <c r="AU14" s="90">
        <v>469</v>
      </c>
      <c r="AV14" s="90">
        <v>469</v>
      </c>
      <c r="AW14" s="90">
        <v>469</v>
      </c>
      <c r="AX14" s="90">
        <v>469</v>
      </c>
      <c r="AY14" s="90">
        <v>469</v>
      </c>
      <c r="AZ14" s="90">
        <v>469</v>
      </c>
      <c r="BA14" s="90">
        <v>469</v>
      </c>
      <c r="BB14" s="90">
        <v>469</v>
      </c>
      <c r="BC14" s="90">
        <v>458</v>
      </c>
      <c r="BD14" s="90">
        <v>458</v>
      </c>
      <c r="BE14" s="90">
        <v>458</v>
      </c>
      <c r="BF14" s="90">
        <v>458</v>
      </c>
      <c r="BG14" s="90">
        <v>458</v>
      </c>
      <c r="BH14" s="90">
        <v>458</v>
      </c>
      <c r="BI14" s="90">
        <v>458</v>
      </c>
      <c r="BJ14" s="90">
        <v>458</v>
      </c>
      <c r="BK14" s="90">
        <v>458</v>
      </c>
      <c r="BL14" s="90">
        <v>458</v>
      </c>
      <c r="BM14" s="90">
        <v>433</v>
      </c>
      <c r="BN14" s="90">
        <v>433</v>
      </c>
      <c r="BO14" s="90">
        <v>433</v>
      </c>
      <c r="BP14" s="90">
        <v>433</v>
      </c>
      <c r="BQ14" s="90">
        <v>433</v>
      </c>
      <c r="BR14" s="90">
        <v>433</v>
      </c>
      <c r="BS14" s="90">
        <v>433</v>
      </c>
      <c r="BT14" s="90">
        <v>433</v>
      </c>
      <c r="BU14" s="90">
        <v>433</v>
      </c>
      <c r="BV14" s="90">
        <v>433</v>
      </c>
      <c r="BW14" s="90">
        <v>451</v>
      </c>
      <c r="BX14" s="90">
        <v>451</v>
      </c>
      <c r="BY14" s="90">
        <v>451</v>
      </c>
      <c r="BZ14" s="90">
        <v>451</v>
      </c>
      <c r="CA14" s="90">
        <v>451</v>
      </c>
      <c r="CB14" s="90">
        <v>451</v>
      </c>
      <c r="CC14" s="90">
        <v>451</v>
      </c>
      <c r="CD14" s="90">
        <v>451</v>
      </c>
      <c r="CE14" s="90">
        <v>451</v>
      </c>
      <c r="CF14" s="90">
        <v>451</v>
      </c>
      <c r="CG14" s="90">
        <v>460</v>
      </c>
      <c r="CH14" s="90">
        <v>460</v>
      </c>
      <c r="CI14" s="90">
        <v>460</v>
      </c>
      <c r="CJ14" s="90">
        <v>460</v>
      </c>
      <c r="CK14" s="90">
        <v>460</v>
      </c>
      <c r="CL14" s="90">
        <v>460</v>
      </c>
      <c r="CM14" s="90">
        <v>460</v>
      </c>
      <c r="CN14" s="90">
        <v>460</v>
      </c>
      <c r="CO14" s="90">
        <v>460</v>
      </c>
      <c r="CP14" s="90">
        <v>460</v>
      </c>
      <c r="CQ14" s="90">
        <v>451</v>
      </c>
      <c r="CR14" s="90">
        <v>451</v>
      </c>
      <c r="CS14" s="90">
        <v>451</v>
      </c>
      <c r="CT14" s="90">
        <v>451</v>
      </c>
      <c r="CU14" s="90">
        <v>451</v>
      </c>
      <c r="CV14" s="90">
        <v>451</v>
      </c>
      <c r="CW14" s="90">
        <v>451</v>
      </c>
      <c r="CX14" s="90">
        <v>451</v>
      </c>
      <c r="CY14" s="90">
        <v>451</v>
      </c>
      <c r="CZ14" s="90">
        <v>451</v>
      </c>
    </row>
    <row r="15" spans="1:104" ht="15" customHeight="1">
      <c r="A15" s="64">
        <v>2800</v>
      </c>
      <c r="B15" s="64">
        <v>1.6</v>
      </c>
      <c r="C15" s="64">
        <v>4</v>
      </c>
      <c r="D15" s="64"/>
      <c r="E15" s="90">
        <v>466</v>
      </c>
      <c r="F15" s="90">
        <v>466</v>
      </c>
      <c r="G15" s="90">
        <v>466</v>
      </c>
      <c r="H15" s="90">
        <v>466</v>
      </c>
      <c r="I15" s="90">
        <v>466</v>
      </c>
      <c r="J15" s="90">
        <v>466</v>
      </c>
      <c r="K15" s="90">
        <v>490</v>
      </c>
      <c r="L15" s="90">
        <v>493</v>
      </c>
      <c r="M15" s="90">
        <v>492</v>
      </c>
      <c r="N15" s="90">
        <v>489</v>
      </c>
      <c r="O15" s="90">
        <v>491</v>
      </c>
      <c r="P15" s="90">
        <v>491</v>
      </c>
      <c r="Q15" s="90">
        <v>491</v>
      </c>
      <c r="R15" s="90">
        <v>490</v>
      </c>
      <c r="S15" s="90">
        <v>490</v>
      </c>
      <c r="T15" s="90">
        <v>495</v>
      </c>
      <c r="U15" s="90">
        <v>494</v>
      </c>
      <c r="V15" s="90">
        <v>494</v>
      </c>
      <c r="W15" s="90">
        <v>494</v>
      </c>
      <c r="X15" s="90">
        <v>496</v>
      </c>
      <c r="Y15" s="90">
        <v>493</v>
      </c>
      <c r="Z15" s="90">
        <v>493</v>
      </c>
      <c r="AA15" s="90">
        <v>495</v>
      </c>
      <c r="AB15" s="90">
        <v>495</v>
      </c>
      <c r="AC15" s="90">
        <v>493</v>
      </c>
      <c r="AD15" s="90">
        <v>490</v>
      </c>
      <c r="AE15" s="90">
        <v>491</v>
      </c>
      <c r="AF15" s="90">
        <v>491</v>
      </c>
      <c r="AG15" s="90">
        <v>492</v>
      </c>
      <c r="AH15" s="90">
        <v>490</v>
      </c>
      <c r="AI15" s="90">
        <v>490</v>
      </c>
      <c r="AJ15" s="90">
        <v>490</v>
      </c>
      <c r="AK15" s="90">
        <v>491</v>
      </c>
      <c r="AL15" s="90">
        <v>493</v>
      </c>
      <c r="AM15" s="90">
        <v>490</v>
      </c>
      <c r="AN15" s="90">
        <v>494</v>
      </c>
      <c r="AO15" s="90">
        <v>494</v>
      </c>
      <c r="AP15" s="90">
        <v>495</v>
      </c>
      <c r="AQ15" s="90">
        <v>493</v>
      </c>
      <c r="AR15" s="90">
        <v>493</v>
      </c>
      <c r="AS15" s="90">
        <v>482</v>
      </c>
      <c r="AT15" s="90">
        <v>483</v>
      </c>
      <c r="AU15" s="90">
        <v>483</v>
      </c>
      <c r="AV15" s="90">
        <v>483</v>
      </c>
      <c r="AW15" s="90">
        <v>482</v>
      </c>
      <c r="AX15" s="90">
        <v>479</v>
      </c>
      <c r="AY15" s="90">
        <v>479</v>
      </c>
      <c r="AZ15" s="90">
        <v>480</v>
      </c>
      <c r="BA15" s="90">
        <v>479</v>
      </c>
      <c r="BB15" s="90">
        <v>479</v>
      </c>
      <c r="BC15" s="90">
        <v>472</v>
      </c>
      <c r="BD15" s="90">
        <v>474</v>
      </c>
      <c r="BE15" s="90">
        <v>472</v>
      </c>
      <c r="BF15" s="90">
        <v>472</v>
      </c>
      <c r="BG15" s="90">
        <v>472</v>
      </c>
      <c r="BH15" s="90">
        <v>471</v>
      </c>
      <c r="BI15" s="90">
        <v>471</v>
      </c>
      <c r="BJ15" s="90">
        <v>474</v>
      </c>
      <c r="BK15" s="90">
        <v>472</v>
      </c>
      <c r="BL15" s="90">
        <v>470</v>
      </c>
      <c r="BM15" s="90">
        <v>446</v>
      </c>
      <c r="BN15" s="90">
        <v>447</v>
      </c>
      <c r="BO15" s="90">
        <v>449</v>
      </c>
      <c r="BP15" s="90">
        <v>447</v>
      </c>
      <c r="BQ15" s="90">
        <v>448</v>
      </c>
      <c r="BR15" s="90">
        <v>445</v>
      </c>
      <c r="BS15" s="90">
        <v>444</v>
      </c>
      <c r="BT15" s="90">
        <v>445</v>
      </c>
      <c r="BU15" s="90">
        <v>443</v>
      </c>
      <c r="BV15" s="90">
        <v>440</v>
      </c>
      <c r="BW15" s="90">
        <v>464</v>
      </c>
      <c r="BX15" s="90">
        <v>463</v>
      </c>
      <c r="BY15" s="90">
        <v>464</v>
      </c>
      <c r="BZ15" s="90">
        <v>466</v>
      </c>
      <c r="CA15" s="90">
        <v>463</v>
      </c>
      <c r="CB15" s="90">
        <v>471</v>
      </c>
      <c r="CC15" s="90">
        <v>471</v>
      </c>
      <c r="CD15" s="90">
        <v>475</v>
      </c>
      <c r="CE15" s="90">
        <v>469</v>
      </c>
      <c r="CF15" s="90">
        <v>464</v>
      </c>
      <c r="CG15" s="90">
        <v>476</v>
      </c>
      <c r="CH15" s="90">
        <v>477</v>
      </c>
      <c r="CI15" s="90">
        <v>478</v>
      </c>
      <c r="CJ15" s="90">
        <v>475</v>
      </c>
      <c r="CK15" s="90">
        <v>475</v>
      </c>
      <c r="CL15" s="90">
        <v>471</v>
      </c>
      <c r="CM15" s="90">
        <v>471</v>
      </c>
      <c r="CN15" s="90">
        <v>475</v>
      </c>
      <c r="CO15" s="90">
        <v>470</v>
      </c>
      <c r="CP15" s="90">
        <v>470</v>
      </c>
      <c r="CQ15" s="90">
        <v>466</v>
      </c>
      <c r="CR15" s="90">
        <v>466</v>
      </c>
      <c r="CS15" s="90">
        <v>466</v>
      </c>
      <c r="CT15" s="90">
        <v>466</v>
      </c>
      <c r="CU15" s="90">
        <v>466</v>
      </c>
      <c r="CV15" s="90">
        <v>464</v>
      </c>
      <c r="CW15" s="90">
        <v>467</v>
      </c>
      <c r="CX15" s="90">
        <v>467</v>
      </c>
      <c r="CY15" s="90">
        <v>467</v>
      </c>
      <c r="CZ15" s="90">
        <v>464</v>
      </c>
    </row>
    <row r="16" spans="1:104" ht="15" customHeight="1">
      <c r="A16" s="64">
        <v>3500</v>
      </c>
      <c r="B16" s="64">
        <v>2</v>
      </c>
      <c r="C16" s="64">
        <v>5</v>
      </c>
      <c r="D16" s="64">
        <v>4</v>
      </c>
      <c r="E16" s="90">
        <v>480</v>
      </c>
      <c r="F16" s="90">
        <v>480</v>
      </c>
      <c r="G16" s="90">
        <v>480</v>
      </c>
      <c r="H16" s="90">
        <v>481</v>
      </c>
      <c r="I16" s="90">
        <v>481</v>
      </c>
      <c r="J16" s="90">
        <v>482</v>
      </c>
      <c r="K16" s="90">
        <v>503</v>
      </c>
      <c r="L16" s="90">
        <v>509</v>
      </c>
      <c r="M16" s="90">
        <v>507</v>
      </c>
      <c r="N16" s="90">
        <v>500</v>
      </c>
      <c r="O16" s="90">
        <v>505</v>
      </c>
      <c r="P16" s="90">
        <v>505</v>
      </c>
      <c r="Q16" s="90">
        <v>505</v>
      </c>
      <c r="R16" s="90">
        <v>503</v>
      </c>
      <c r="S16" s="90">
        <v>502</v>
      </c>
      <c r="T16" s="90">
        <v>512</v>
      </c>
      <c r="U16" s="90">
        <v>512</v>
      </c>
      <c r="V16" s="90">
        <v>510</v>
      </c>
      <c r="W16" s="90">
        <v>509</v>
      </c>
      <c r="X16" s="90">
        <v>514</v>
      </c>
      <c r="Y16" s="90">
        <v>510</v>
      </c>
      <c r="Z16" s="90">
        <v>509</v>
      </c>
      <c r="AA16" s="90">
        <v>515</v>
      </c>
      <c r="AB16" s="90">
        <v>514</v>
      </c>
      <c r="AC16" s="90">
        <v>510</v>
      </c>
      <c r="AD16" s="90">
        <v>504</v>
      </c>
      <c r="AE16" s="90">
        <v>504</v>
      </c>
      <c r="AF16" s="90">
        <v>506</v>
      </c>
      <c r="AG16" s="90">
        <v>507</v>
      </c>
      <c r="AH16" s="90">
        <v>503</v>
      </c>
      <c r="AI16" s="90">
        <v>504</v>
      </c>
      <c r="AJ16" s="90">
        <v>504</v>
      </c>
      <c r="AK16" s="90">
        <v>505</v>
      </c>
      <c r="AL16" s="90">
        <v>509</v>
      </c>
      <c r="AM16" s="90">
        <v>503</v>
      </c>
      <c r="AN16" s="90">
        <v>513</v>
      </c>
      <c r="AO16" s="90">
        <v>513</v>
      </c>
      <c r="AP16" s="90">
        <v>515</v>
      </c>
      <c r="AQ16" s="90">
        <v>510</v>
      </c>
      <c r="AR16" s="90">
        <v>510</v>
      </c>
      <c r="AS16" s="90">
        <v>495</v>
      </c>
      <c r="AT16" s="90">
        <v>496</v>
      </c>
      <c r="AU16" s="90">
        <v>497</v>
      </c>
      <c r="AV16" s="90">
        <v>497</v>
      </c>
      <c r="AW16" s="90">
        <v>496</v>
      </c>
      <c r="AX16" s="90">
        <v>490</v>
      </c>
      <c r="AY16" s="90">
        <v>490</v>
      </c>
      <c r="AZ16" s="90">
        <v>491</v>
      </c>
      <c r="BA16" s="90">
        <v>490</v>
      </c>
      <c r="BB16" s="90">
        <v>487</v>
      </c>
      <c r="BC16" s="90">
        <v>486</v>
      </c>
      <c r="BD16" s="90">
        <v>487</v>
      </c>
      <c r="BE16" s="90">
        <v>486</v>
      </c>
      <c r="BF16" s="90">
        <v>486</v>
      </c>
      <c r="BG16" s="90">
        <v>486</v>
      </c>
      <c r="BH16" s="90">
        <v>485</v>
      </c>
      <c r="BI16" s="90">
        <v>484</v>
      </c>
      <c r="BJ16" s="90">
        <v>489</v>
      </c>
      <c r="BK16" s="90">
        <v>485</v>
      </c>
      <c r="BL16" s="90">
        <v>481</v>
      </c>
      <c r="BM16" s="90">
        <v>458</v>
      </c>
      <c r="BN16" s="90">
        <v>459</v>
      </c>
      <c r="BO16" s="90">
        <v>464</v>
      </c>
      <c r="BP16" s="90">
        <v>460</v>
      </c>
      <c r="BQ16" s="90">
        <v>462</v>
      </c>
      <c r="BR16" s="90">
        <v>455</v>
      </c>
      <c r="BS16" s="90">
        <v>454</v>
      </c>
      <c r="BT16" s="90">
        <v>456</v>
      </c>
      <c r="BU16" s="90">
        <v>452</v>
      </c>
      <c r="BV16" s="90">
        <v>448</v>
      </c>
      <c r="BW16" s="90">
        <v>478</v>
      </c>
      <c r="BX16" s="90">
        <v>478</v>
      </c>
      <c r="BY16" s="90">
        <v>479</v>
      </c>
      <c r="BZ16" s="90">
        <v>480</v>
      </c>
      <c r="CA16" s="90">
        <v>476</v>
      </c>
      <c r="CB16" s="90">
        <v>491</v>
      </c>
      <c r="CC16" s="90">
        <v>492</v>
      </c>
      <c r="CD16" s="90">
        <v>499</v>
      </c>
      <c r="CE16" s="90">
        <v>487</v>
      </c>
      <c r="CF16" s="90">
        <v>478</v>
      </c>
      <c r="CG16" s="90">
        <v>491</v>
      </c>
      <c r="CH16" s="90">
        <v>492</v>
      </c>
      <c r="CI16" s="90">
        <v>494</v>
      </c>
      <c r="CJ16" s="90">
        <v>490</v>
      </c>
      <c r="CK16" s="90">
        <v>489</v>
      </c>
      <c r="CL16" s="90">
        <v>481</v>
      </c>
      <c r="CM16" s="90">
        <v>481</v>
      </c>
      <c r="CN16" s="90">
        <v>487</v>
      </c>
      <c r="CO16" s="90">
        <v>479</v>
      </c>
      <c r="CP16" s="90">
        <v>480</v>
      </c>
      <c r="CQ16" s="90">
        <v>482</v>
      </c>
      <c r="CR16" s="90">
        <v>480</v>
      </c>
      <c r="CS16" s="90">
        <v>481</v>
      </c>
      <c r="CT16" s="90">
        <v>482</v>
      </c>
      <c r="CU16" s="90">
        <v>481</v>
      </c>
      <c r="CV16" s="90">
        <v>480</v>
      </c>
      <c r="CW16" s="90">
        <v>484</v>
      </c>
      <c r="CX16" s="90">
        <v>483</v>
      </c>
      <c r="CY16" s="90">
        <v>483</v>
      </c>
      <c r="CZ16" s="90">
        <v>479</v>
      </c>
    </row>
    <row r="17" spans="1:104" ht="15" customHeight="1">
      <c r="A17" s="2">
        <v>4200</v>
      </c>
      <c r="B17" s="2">
        <v>2.4</v>
      </c>
      <c r="C17" s="2">
        <v>6</v>
      </c>
      <c r="D17" s="2"/>
      <c r="E17" s="90">
        <v>495</v>
      </c>
      <c r="F17" s="90">
        <v>495</v>
      </c>
      <c r="G17" s="90">
        <v>495</v>
      </c>
      <c r="H17" s="90">
        <v>496</v>
      </c>
      <c r="I17" s="90">
        <v>495</v>
      </c>
      <c r="J17" s="90">
        <v>497</v>
      </c>
      <c r="K17" s="90">
        <v>517</v>
      </c>
      <c r="L17" s="90">
        <v>526</v>
      </c>
      <c r="M17" s="90">
        <v>523</v>
      </c>
      <c r="N17" s="90">
        <v>512</v>
      </c>
      <c r="O17" s="90">
        <v>520</v>
      </c>
      <c r="P17" s="90">
        <v>520</v>
      </c>
      <c r="Q17" s="90">
        <v>520</v>
      </c>
      <c r="R17" s="90">
        <v>517</v>
      </c>
      <c r="S17" s="90">
        <v>515</v>
      </c>
      <c r="T17" s="90">
        <v>530</v>
      </c>
      <c r="U17" s="90">
        <v>529</v>
      </c>
      <c r="V17" s="90">
        <v>528</v>
      </c>
      <c r="W17" s="90">
        <v>527</v>
      </c>
      <c r="X17" s="90">
        <v>533</v>
      </c>
      <c r="Y17" s="90">
        <v>528</v>
      </c>
      <c r="Z17" s="90">
        <v>528</v>
      </c>
      <c r="AA17" s="90">
        <v>534</v>
      </c>
      <c r="AB17" s="90">
        <v>533</v>
      </c>
      <c r="AC17" s="90">
        <v>529</v>
      </c>
      <c r="AD17" s="90">
        <v>520</v>
      </c>
      <c r="AE17" s="90">
        <v>520</v>
      </c>
      <c r="AF17" s="90">
        <v>523</v>
      </c>
      <c r="AG17" s="90">
        <v>524</v>
      </c>
      <c r="AH17" s="90">
        <v>518</v>
      </c>
      <c r="AI17" s="90">
        <v>519</v>
      </c>
      <c r="AJ17" s="90">
        <v>520</v>
      </c>
      <c r="AK17" s="90">
        <v>521</v>
      </c>
      <c r="AL17" s="90">
        <v>527</v>
      </c>
      <c r="AM17" s="90">
        <v>519</v>
      </c>
      <c r="AN17" s="90">
        <v>532</v>
      </c>
      <c r="AO17" s="90">
        <v>532</v>
      </c>
      <c r="AP17" s="90">
        <v>534</v>
      </c>
      <c r="AQ17" s="90">
        <v>529</v>
      </c>
      <c r="AR17" s="90">
        <v>529</v>
      </c>
      <c r="AS17" s="90">
        <v>507</v>
      </c>
      <c r="AT17" s="90">
        <v>509</v>
      </c>
      <c r="AU17" s="90">
        <v>510</v>
      </c>
      <c r="AV17" s="90">
        <v>510</v>
      </c>
      <c r="AW17" s="90">
        <v>508</v>
      </c>
      <c r="AX17" s="90">
        <v>499</v>
      </c>
      <c r="AY17" s="90">
        <v>499</v>
      </c>
      <c r="AZ17" s="90">
        <v>501</v>
      </c>
      <c r="BA17" s="90">
        <v>499</v>
      </c>
      <c r="BB17" s="90">
        <v>497</v>
      </c>
      <c r="BC17" s="90">
        <v>500</v>
      </c>
      <c r="BD17" s="90">
        <v>502</v>
      </c>
      <c r="BE17" s="90">
        <v>499</v>
      </c>
      <c r="BF17" s="90">
        <v>500</v>
      </c>
      <c r="BG17" s="90">
        <v>500</v>
      </c>
      <c r="BH17" s="90">
        <v>498</v>
      </c>
      <c r="BI17" s="90">
        <v>497</v>
      </c>
      <c r="BJ17" s="90">
        <v>502</v>
      </c>
      <c r="BK17" s="90">
        <v>499</v>
      </c>
      <c r="BL17" s="90">
        <v>492</v>
      </c>
      <c r="BM17" s="90">
        <v>471</v>
      </c>
      <c r="BN17" s="90">
        <v>472</v>
      </c>
      <c r="BO17" s="90">
        <v>481</v>
      </c>
      <c r="BP17" s="90">
        <v>475</v>
      </c>
      <c r="BQ17" s="90">
        <v>477</v>
      </c>
      <c r="BR17" s="90">
        <v>467</v>
      </c>
      <c r="BS17" s="90">
        <v>466</v>
      </c>
      <c r="BT17" s="90">
        <v>467</v>
      </c>
      <c r="BU17" s="90">
        <v>462</v>
      </c>
      <c r="BV17" s="90">
        <v>455</v>
      </c>
      <c r="BW17" s="90">
        <v>491</v>
      </c>
      <c r="BX17" s="90">
        <v>491</v>
      </c>
      <c r="BY17" s="90">
        <v>492</v>
      </c>
      <c r="BZ17" s="90">
        <v>495</v>
      </c>
      <c r="CA17" s="90">
        <v>489</v>
      </c>
      <c r="CB17" s="90">
        <v>509</v>
      </c>
      <c r="CC17" s="90">
        <v>510</v>
      </c>
      <c r="CD17" s="90">
        <v>523</v>
      </c>
      <c r="CE17" s="90">
        <v>505</v>
      </c>
      <c r="CF17" s="90">
        <v>491</v>
      </c>
      <c r="CG17" s="90">
        <v>505</v>
      </c>
      <c r="CH17" s="90">
        <v>507</v>
      </c>
      <c r="CI17" s="90">
        <v>509</v>
      </c>
      <c r="CJ17" s="90">
        <v>503</v>
      </c>
      <c r="CK17" s="90">
        <v>501</v>
      </c>
      <c r="CL17" s="90">
        <v>492</v>
      </c>
      <c r="CM17" s="90">
        <v>491</v>
      </c>
      <c r="CN17" s="90">
        <v>501</v>
      </c>
      <c r="CO17" s="90">
        <v>487</v>
      </c>
      <c r="CP17" s="90">
        <v>490</v>
      </c>
      <c r="CQ17" s="90">
        <v>497</v>
      </c>
      <c r="CR17" s="90">
        <v>495</v>
      </c>
      <c r="CS17" s="90">
        <v>496</v>
      </c>
      <c r="CT17" s="90">
        <v>497</v>
      </c>
      <c r="CU17" s="90">
        <v>496</v>
      </c>
      <c r="CV17" s="90">
        <v>494</v>
      </c>
      <c r="CW17" s="90">
        <v>500</v>
      </c>
      <c r="CX17" s="90">
        <v>499</v>
      </c>
      <c r="CY17" s="90">
        <v>499</v>
      </c>
      <c r="CZ17" s="90">
        <v>493</v>
      </c>
    </row>
    <row r="18" spans="1:104" ht="15" customHeight="1">
      <c r="A18" s="2">
        <v>4375</v>
      </c>
      <c r="B18" s="2">
        <v>2.5</v>
      </c>
      <c r="C18" s="2"/>
      <c r="D18" s="2">
        <v>5</v>
      </c>
      <c r="E18" s="90">
        <v>508</v>
      </c>
      <c r="F18" s="90">
        <v>508</v>
      </c>
      <c r="G18" s="90">
        <v>508</v>
      </c>
      <c r="H18" s="90">
        <v>512</v>
      </c>
      <c r="I18" s="90">
        <v>509</v>
      </c>
      <c r="J18" s="90">
        <v>512</v>
      </c>
      <c r="K18" s="90">
        <v>530</v>
      </c>
      <c r="L18" s="90">
        <v>543</v>
      </c>
      <c r="M18" s="90">
        <v>538</v>
      </c>
      <c r="N18" s="90">
        <v>524</v>
      </c>
      <c r="O18" s="90">
        <v>533</v>
      </c>
      <c r="P18" s="90">
        <v>534</v>
      </c>
      <c r="Q18" s="90">
        <v>534</v>
      </c>
      <c r="R18" s="90">
        <v>530</v>
      </c>
      <c r="S18" s="90">
        <v>529</v>
      </c>
      <c r="T18" s="90">
        <v>548</v>
      </c>
      <c r="U18" s="90">
        <v>546</v>
      </c>
      <c r="V18" s="90">
        <v>545</v>
      </c>
      <c r="W18" s="90">
        <v>543</v>
      </c>
      <c r="X18" s="90">
        <v>551</v>
      </c>
      <c r="Y18" s="90">
        <v>546</v>
      </c>
      <c r="Z18" s="90">
        <v>545</v>
      </c>
      <c r="AA18" s="90">
        <v>553</v>
      </c>
      <c r="AB18" s="90">
        <v>553</v>
      </c>
      <c r="AC18" s="90">
        <v>547</v>
      </c>
      <c r="AD18" s="90">
        <v>534</v>
      </c>
      <c r="AE18" s="90">
        <v>534</v>
      </c>
      <c r="AF18" s="90">
        <v>538</v>
      </c>
      <c r="AG18" s="90">
        <v>540</v>
      </c>
      <c r="AH18" s="90">
        <v>531</v>
      </c>
      <c r="AI18" s="90">
        <v>533</v>
      </c>
      <c r="AJ18" s="90">
        <v>533</v>
      </c>
      <c r="AK18" s="90">
        <v>536</v>
      </c>
      <c r="AL18" s="90">
        <v>545</v>
      </c>
      <c r="AM18" s="90">
        <v>532</v>
      </c>
      <c r="AN18" s="90">
        <v>551</v>
      </c>
      <c r="AO18" s="90">
        <v>550</v>
      </c>
      <c r="AP18" s="90">
        <v>554</v>
      </c>
      <c r="AQ18" s="90">
        <v>546</v>
      </c>
      <c r="AR18" s="90">
        <v>547</v>
      </c>
      <c r="AS18" s="90">
        <v>521</v>
      </c>
      <c r="AT18" s="90">
        <v>523</v>
      </c>
      <c r="AU18" s="90">
        <v>524</v>
      </c>
      <c r="AV18" s="90">
        <v>525</v>
      </c>
      <c r="AW18" s="90">
        <v>523</v>
      </c>
      <c r="AX18" s="90">
        <v>509</v>
      </c>
      <c r="AY18" s="90">
        <v>508</v>
      </c>
      <c r="AZ18" s="90">
        <v>512</v>
      </c>
      <c r="BA18" s="90">
        <v>508</v>
      </c>
      <c r="BB18" s="90">
        <v>506</v>
      </c>
      <c r="BC18" s="90">
        <v>514</v>
      </c>
      <c r="BD18" s="90">
        <v>517</v>
      </c>
      <c r="BE18" s="90">
        <v>513</v>
      </c>
      <c r="BF18" s="90">
        <v>514</v>
      </c>
      <c r="BG18" s="90">
        <v>515</v>
      </c>
      <c r="BH18" s="90">
        <v>510</v>
      </c>
      <c r="BI18" s="90">
        <v>508</v>
      </c>
      <c r="BJ18" s="90">
        <v>518</v>
      </c>
      <c r="BK18" s="90">
        <v>512</v>
      </c>
      <c r="BL18" s="90">
        <v>503</v>
      </c>
      <c r="BM18" s="90">
        <v>483</v>
      </c>
      <c r="BN18" s="90">
        <v>486</v>
      </c>
      <c r="BO18" s="90">
        <v>498</v>
      </c>
      <c r="BP18" s="90">
        <v>490</v>
      </c>
      <c r="BQ18" s="90">
        <v>492</v>
      </c>
      <c r="BR18" s="90">
        <v>478</v>
      </c>
      <c r="BS18" s="90">
        <v>477</v>
      </c>
      <c r="BT18" s="90">
        <v>479</v>
      </c>
      <c r="BU18" s="90">
        <v>472</v>
      </c>
      <c r="BV18" s="90">
        <v>462</v>
      </c>
      <c r="BW18" s="90">
        <v>503</v>
      </c>
      <c r="BX18" s="90">
        <v>503</v>
      </c>
      <c r="BY18" s="90">
        <v>505</v>
      </c>
      <c r="BZ18" s="90">
        <v>509</v>
      </c>
      <c r="CA18" s="90">
        <v>501</v>
      </c>
      <c r="CB18" s="90">
        <v>529</v>
      </c>
      <c r="CC18" s="90">
        <v>531</v>
      </c>
      <c r="CD18" s="90">
        <v>546</v>
      </c>
      <c r="CE18" s="90">
        <v>523</v>
      </c>
      <c r="CF18" s="90">
        <v>504</v>
      </c>
      <c r="CG18" s="90">
        <v>521</v>
      </c>
      <c r="CH18" s="90">
        <v>523</v>
      </c>
      <c r="CI18" s="90">
        <v>527</v>
      </c>
      <c r="CJ18" s="90">
        <v>518</v>
      </c>
      <c r="CK18" s="90">
        <v>515</v>
      </c>
      <c r="CL18" s="90">
        <v>501</v>
      </c>
      <c r="CM18" s="90">
        <v>501</v>
      </c>
      <c r="CN18" s="90">
        <v>514</v>
      </c>
      <c r="CO18" s="90">
        <v>496</v>
      </c>
      <c r="CP18" s="90">
        <v>498</v>
      </c>
      <c r="CQ18" s="90">
        <v>512</v>
      </c>
      <c r="CR18" s="90">
        <v>509</v>
      </c>
      <c r="CS18" s="90">
        <v>510</v>
      </c>
      <c r="CT18" s="90">
        <v>512</v>
      </c>
      <c r="CU18" s="90">
        <v>510</v>
      </c>
      <c r="CV18" s="90">
        <v>507</v>
      </c>
      <c r="CW18" s="90">
        <v>517</v>
      </c>
      <c r="CX18" s="90">
        <v>515</v>
      </c>
      <c r="CY18" s="90">
        <v>515</v>
      </c>
      <c r="CZ18" s="90">
        <v>506</v>
      </c>
    </row>
    <row r="19" spans="1:104" ht="15" customHeight="1">
      <c r="A19" s="2">
        <v>4900</v>
      </c>
      <c r="B19" s="2">
        <v>2.8</v>
      </c>
      <c r="C19" s="2">
        <v>7</v>
      </c>
      <c r="D19" s="2"/>
      <c r="E19" s="90">
        <v>524</v>
      </c>
      <c r="F19" s="90">
        <v>523</v>
      </c>
      <c r="G19" s="90">
        <v>523</v>
      </c>
      <c r="H19" s="90">
        <v>527</v>
      </c>
      <c r="I19" s="90">
        <v>525</v>
      </c>
      <c r="J19" s="90">
        <v>527</v>
      </c>
      <c r="K19" s="90">
        <v>543</v>
      </c>
      <c r="L19" s="90">
        <v>560</v>
      </c>
      <c r="M19" s="90">
        <v>553</v>
      </c>
      <c r="N19" s="90">
        <v>534</v>
      </c>
      <c r="O19" s="90">
        <v>547</v>
      </c>
      <c r="P19" s="90">
        <v>548</v>
      </c>
      <c r="Q19" s="90">
        <v>548</v>
      </c>
      <c r="R19" s="90">
        <v>543</v>
      </c>
      <c r="S19" s="90">
        <v>542</v>
      </c>
      <c r="T19" s="90">
        <v>566</v>
      </c>
      <c r="U19" s="90">
        <v>565</v>
      </c>
      <c r="V19" s="90">
        <v>563</v>
      </c>
      <c r="W19" s="90">
        <v>561</v>
      </c>
      <c r="X19" s="90">
        <v>571</v>
      </c>
      <c r="Y19" s="90">
        <v>564</v>
      </c>
      <c r="Z19" s="90">
        <v>564</v>
      </c>
      <c r="AA19" s="90">
        <v>574</v>
      </c>
      <c r="AB19" s="90">
        <v>573</v>
      </c>
      <c r="AC19" s="90">
        <v>566</v>
      </c>
      <c r="AD19" s="90">
        <v>548</v>
      </c>
      <c r="AE19" s="90">
        <v>549</v>
      </c>
      <c r="AF19" s="90">
        <v>553</v>
      </c>
      <c r="AG19" s="90">
        <v>555</v>
      </c>
      <c r="AH19" s="90">
        <v>545</v>
      </c>
      <c r="AI19" s="90">
        <v>548</v>
      </c>
      <c r="AJ19" s="90">
        <v>548</v>
      </c>
      <c r="AK19" s="90">
        <v>551</v>
      </c>
      <c r="AL19" s="90">
        <v>563</v>
      </c>
      <c r="AM19" s="90">
        <v>547</v>
      </c>
      <c r="AN19" s="90">
        <v>570</v>
      </c>
      <c r="AO19" s="90">
        <v>570</v>
      </c>
      <c r="AP19" s="90">
        <v>575</v>
      </c>
      <c r="AQ19" s="90">
        <v>565</v>
      </c>
      <c r="AR19" s="90">
        <v>566</v>
      </c>
      <c r="AS19" s="90">
        <v>533</v>
      </c>
      <c r="AT19" s="90">
        <v>537</v>
      </c>
      <c r="AU19" s="90">
        <v>538</v>
      </c>
      <c r="AV19" s="90">
        <v>539</v>
      </c>
      <c r="AW19" s="90">
        <v>536</v>
      </c>
      <c r="AX19" s="90">
        <v>520</v>
      </c>
      <c r="AY19" s="90">
        <v>520</v>
      </c>
      <c r="AZ19" s="90">
        <v>522</v>
      </c>
      <c r="BA19" s="90">
        <v>520</v>
      </c>
      <c r="BB19" s="90">
        <v>515</v>
      </c>
      <c r="BC19" s="90">
        <v>528</v>
      </c>
      <c r="BD19" s="90">
        <v>531</v>
      </c>
      <c r="BE19" s="90">
        <v>527</v>
      </c>
      <c r="BF19" s="90">
        <v>527</v>
      </c>
      <c r="BG19" s="90">
        <v>529</v>
      </c>
      <c r="BH19" s="90">
        <v>525</v>
      </c>
      <c r="BI19" s="90">
        <v>522</v>
      </c>
      <c r="BJ19" s="90">
        <v>532</v>
      </c>
      <c r="BK19" s="90">
        <v>526</v>
      </c>
      <c r="BL19" s="90">
        <v>514</v>
      </c>
      <c r="BM19" s="90">
        <v>496</v>
      </c>
      <c r="BN19" s="90">
        <v>499</v>
      </c>
      <c r="BO19" s="90">
        <v>514</v>
      </c>
      <c r="BP19" s="90">
        <v>503</v>
      </c>
      <c r="BQ19" s="90">
        <v>506</v>
      </c>
      <c r="BR19" s="90">
        <v>490</v>
      </c>
      <c r="BS19" s="90">
        <v>487</v>
      </c>
      <c r="BT19" s="90">
        <v>491</v>
      </c>
      <c r="BU19" s="90">
        <v>482</v>
      </c>
      <c r="BV19" s="90">
        <v>470</v>
      </c>
      <c r="BW19" s="90">
        <v>518</v>
      </c>
      <c r="BX19" s="90">
        <v>517</v>
      </c>
      <c r="BY19" s="90">
        <v>520</v>
      </c>
      <c r="BZ19" s="90">
        <v>524</v>
      </c>
      <c r="CA19" s="90">
        <v>513</v>
      </c>
      <c r="CB19" s="90">
        <v>549</v>
      </c>
      <c r="CC19" s="90">
        <v>551</v>
      </c>
      <c r="CD19" s="90">
        <v>570</v>
      </c>
      <c r="CE19" s="90">
        <v>541</v>
      </c>
      <c r="CF19" s="90">
        <v>518</v>
      </c>
      <c r="CG19" s="90">
        <v>536</v>
      </c>
      <c r="CH19" s="90">
        <v>539</v>
      </c>
      <c r="CI19" s="90">
        <v>543</v>
      </c>
      <c r="CJ19" s="90">
        <v>531</v>
      </c>
      <c r="CK19" s="90">
        <v>529</v>
      </c>
      <c r="CL19" s="90">
        <v>512</v>
      </c>
      <c r="CM19" s="90">
        <v>510</v>
      </c>
      <c r="CN19" s="90">
        <v>528</v>
      </c>
      <c r="CO19" s="90">
        <v>505</v>
      </c>
      <c r="CP19" s="90">
        <v>507</v>
      </c>
      <c r="CQ19" s="90">
        <v>527</v>
      </c>
      <c r="CR19" s="90">
        <v>524</v>
      </c>
      <c r="CS19" s="90">
        <v>526</v>
      </c>
      <c r="CT19" s="90">
        <v>527</v>
      </c>
      <c r="CU19" s="90">
        <v>526</v>
      </c>
      <c r="CV19" s="90">
        <v>523</v>
      </c>
      <c r="CW19" s="90">
        <v>532</v>
      </c>
      <c r="CX19" s="90">
        <v>531</v>
      </c>
      <c r="CY19" s="90">
        <v>531</v>
      </c>
      <c r="CZ19" s="90">
        <v>521</v>
      </c>
    </row>
    <row r="20" spans="1:104" ht="15" customHeight="1">
      <c r="A20" s="2">
        <v>5250</v>
      </c>
      <c r="B20" s="2">
        <v>3</v>
      </c>
      <c r="C20" s="2"/>
      <c r="D20" s="2">
        <v>6</v>
      </c>
      <c r="E20" s="90">
        <v>538</v>
      </c>
      <c r="F20" s="90">
        <v>538</v>
      </c>
      <c r="G20" s="90">
        <v>538</v>
      </c>
      <c r="H20" s="90">
        <v>542</v>
      </c>
      <c r="I20" s="90">
        <v>539</v>
      </c>
      <c r="J20" s="90">
        <v>542</v>
      </c>
      <c r="K20" s="90">
        <v>556</v>
      </c>
      <c r="L20" s="90">
        <v>576</v>
      </c>
      <c r="M20" s="90">
        <v>569</v>
      </c>
      <c r="N20" s="90">
        <v>546</v>
      </c>
      <c r="O20" s="90">
        <v>563</v>
      </c>
      <c r="P20" s="90">
        <v>564</v>
      </c>
      <c r="Q20" s="90">
        <v>564</v>
      </c>
      <c r="R20" s="90">
        <v>556</v>
      </c>
      <c r="S20" s="90">
        <v>554</v>
      </c>
      <c r="T20" s="90">
        <v>584</v>
      </c>
      <c r="U20" s="90">
        <v>582</v>
      </c>
      <c r="V20" s="90">
        <v>579</v>
      </c>
      <c r="W20" s="90">
        <v>576</v>
      </c>
      <c r="X20" s="90">
        <v>590</v>
      </c>
      <c r="Y20" s="90">
        <v>582</v>
      </c>
      <c r="Z20" s="90">
        <v>580</v>
      </c>
      <c r="AA20" s="90">
        <v>593</v>
      </c>
      <c r="AB20" s="90">
        <v>592</v>
      </c>
      <c r="AC20" s="90">
        <v>583</v>
      </c>
      <c r="AD20" s="90">
        <v>564</v>
      </c>
      <c r="AE20" s="90">
        <v>565</v>
      </c>
      <c r="AF20" s="90">
        <v>570</v>
      </c>
      <c r="AG20" s="90">
        <v>572</v>
      </c>
      <c r="AH20" s="90">
        <v>560</v>
      </c>
      <c r="AI20" s="90">
        <v>563</v>
      </c>
      <c r="AJ20" s="90">
        <v>564</v>
      </c>
      <c r="AK20" s="90">
        <v>567</v>
      </c>
      <c r="AL20" s="90">
        <v>580</v>
      </c>
      <c r="AM20" s="90">
        <v>563</v>
      </c>
      <c r="AN20" s="90">
        <v>589</v>
      </c>
      <c r="AO20" s="90">
        <v>589</v>
      </c>
      <c r="AP20" s="90">
        <v>595</v>
      </c>
      <c r="AQ20" s="90">
        <v>583</v>
      </c>
      <c r="AR20" s="90">
        <v>584</v>
      </c>
      <c r="AS20" s="90">
        <v>546</v>
      </c>
      <c r="AT20" s="90">
        <v>550</v>
      </c>
      <c r="AU20" s="90">
        <v>551</v>
      </c>
      <c r="AV20" s="90">
        <v>553</v>
      </c>
      <c r="AW20" s="90">
        <v>548</v>
      </c>
      <c r="AX20" s="90">
        <v>530</v>
      </c>
      <c r="AY20" s="90">
        <v>529</v>
      </c>
      <c r="AZ20" s="90">
        <v>532</v>
      </c>
      <c r="BA20" s="90">
        <v>529</v>
      </c>
      <c r="BB20" s="90">
        <v>525</v>
      </c>
      <c r="BC20" s="90">
        <v>542</v>
      </c>
      <c r="BD20" s="90">
        <v>545</v>
      </c>
      <c r="BE20" s="90">
        <v>541</v>
      </c>
      <c r="BF20" s="90">
        <v>541</v>
      </c>
      <c r="BG20" s="90">
        <v>543</v>
      </c>
      <c r="BH20" s="90">
        <v>538</v>
      </c>
      <c r="BI20" s="90">
        <v>534</v>
      </c>
      <c r="BJ20" s="90">
        <v>547</v>
      </c>
      <c r="BK20" s="90">
        <v>539</v>
      </c>
      <c r="BL20" s="90">
        <v>525</v>
      </c>
      <c r="BM20" s="90">
        <v>508</v>
      </c>
      <c r="BN20" s="90">
        <v>512</v>
      </c>
      <c r="BO20" s="90">
        <v>530</v>
      </c>
      <c r="BP20" s="90">
        <v>518</v>
      </c>
      <c r="BQ20" s="90">
        <v>521</v>
      </c>
      <c r="BR20" s="90">
        <v>500</v>
      </c>
      <c r="BS20" s="90">
        <v>498</v>
      </c>
      <c r="BT20" s="90">
        <v>501</v>
      </c>
      <c r="BU20" s="90">
        <v>492</v>
      </c>
      <c r="BV20" s="90">
        <v>478</v>
      </c>
      <c r="BW20" s="90">
        <v>530</v>
      </c>
      <c r="BX20" s="90">
        <v>529</v>
      </c>
      <c r="BY20" s="90">
        <v>532</v>
      </c>
      <c r="BZ20" s="90">
        <v>539</v>
      </c>
      <c r="CA20" s="90">
        <v>526</v>
      </c>
      <c r="CB20" s="90">
        <v>569</v>
      </c>
      <c r="CC20" s="90">
        <v>571</v>
      </c>
      <c r="CD20" s="90">
        <v>593</v>
      </c>
      <c r="CE20" s="90">
        <v>560</v>
      </c>
      <c r="CF20" s="90">
        <v>530</v>
      </c>
      <c r="CG20" s="90">
        <v>549</v>
      </c>
      <c r="CH20" s="90">
        <v>553</v>
      </c>
      <c r="CI20" s="90">
        <v>560</v>
      </c>
      <c r="CJ20" s="90">
        <v>545</v>
      </c>
      <c r="CK20" s="90">
        <v>542</v>
      </c>
      <c r="CL20" s="90">
        <v>522</v>
      </c>
      <c r="CM20" s="90">
        <v>521</v>
      </c>
      <c r="CN20" s="90">
        <v>541</v>
      </c>
      <c r="CO20" s="90">
        <v>514</v>
      </c>
      <c r="CP20" s="90">
        <v>518</v>
      </c>
      <c r="CQ20" s="90">
        <v>542</v>
      </c>
      <c r="CR20" s="90">
        <v>539</v>
      </c>
      <c r="CS20" s="90">
        <v>541</v>
      </c>
      <c r="CT20" s="90">
        <v>542</v>
      </c>
      <c r="CU20" s="90">
        <v>541</v>
      </c>
      <c r="CV20" s="90">
        <v>537</v>
      </c>
      <c r="CW20" s="90">
        <v>548</v>
      </c>
      <c r="CX20" s="90">
        <v>547</v>
      </c>
      <c r="CY20" s="90">
        <v>547</v>
      </c>
      <c r="CZ20" s="90">
        <v>534</v>
      </c>
    </row>
    <row r="21" spans="1:104" ht="15" customHeight="1">
      <c r="A21" s="2">
        <v>5600</v>
      </c>
      <c r="B21" s="2">
        <v>3.2</v>
      </c>
      <c r="C21" s="2">
        <v>8</v>
      </c>
      <c r="D21" s="2"/>
      <c r="E21" s="90">
        <v>552</v>
      </c>
      <c r="F21" s="90">
        <v>551</v>
      </c>
      <c r="G21" s="90">
        <v>551</v>
      </c>
      <c r="H21" s="90">
        <v>556</v>
      </c>
      <c r="I21" s="90">
        <v>553</v>
      </c>
      <c r="J21" s="90">
        <v>556</v>
      </c>
      <c r="K21" s="90">
        <v>570</v>
      </c>
      <c r="L21" s="90">
        <v>592</v>
      </c>
      <c r="M21" s="90">
        <v>584</v>
      </c>
      <c r="N21" s="90">
        <v>557</v>
      </c>
      <c r="O21" s="90">
        <v>576</v>
      </c>
      <c r="P21" s="90">
        <v>577</v>
      </c>
      <c r="Q21" s="90">
        <v>577</v>
      </c>
      <c r="R21" s="90">
        <v>570</v>
      </c>
      <c r="S21" s="90">
        <v>568</v>
      </c>
      <c r="T21" s="90">
        <v>602</v>
      </c>
      <c r="U21" s="90">
        <v>598</v>
      </c>
      <c r="V21" s="90">
        <v>596</v>
      </c>
      <c r="W21" s="90">
        <v>593</v>
      </c>
      <c r="X21" s="90">
        <v>609</v>
      </c>
      <c r="Y21" s="90">
        <v>598</v>
      </c>
      <c r="Z21" s="90">
        <v>597</v>
      </c>
      <c r="AA21" s="90">
        <v>614</v>
      </c>
      <c r="AB21" s="90">
        <v>612</v>
      </c>
      <c r="AC21" s="90">
        <v>600</v>
      </c>
      <c r="AD21" s="90">
        <v>578</v>
      </c>
      <c r="AE21" s="90">
        <v>579</v>
      </c>
      <c r="AF21" s="90">
        <v>585</v>
      </c>
      <c r="AG21" s="90">
        <v>588</v>
      </c>
      <c r="AH21" s="90">
        <v>573</v>
      </c>
      <c r="AI21" s="90">
        <v>577</v>
      </c>
      <c r="AJ21" s="90">
        <v>578</v>
      </c>
      <c r="AK21" s="90">
        <v>582</v>
      </c>
      <c r="AL21" s="90">
        <v>597</v>
      </c>
      <c r="AM21" s="90">
        <v>576</v>
      </c>
      <c r="AN21" s="90">
        <v>609</v>
      </c>
      <c r="AO21" s="90">
        <v>609</v>
      </c>
      <c r="AP21" s="90">
        <v>615</v>
      </c>
      <c r="AQ21" s="90">
        <v>600</v>
      </c>
      <c r="AR21" s="90">
        <v>602</v>
      </c>
      <c r="AS21" s="90">
        <v>560</v>
      </c>
      <c r="AT21" s="90">
        <v>564</v>
      </c>
      <c r="AU21" s="90">
        <v>566</v>
      </c>
      <c r="AV21" s="90">
        <v>568</v>
      </c>
      <c r="AW21" s="90">
        <v>563</v>
      </c>
      <c r="AX21" s="90">
        <v>540</v>
      </c>
      <c r="AY21" s="90">
        <v>539</v>
      </c>
      <c r="AZ21" s="90">
        <v>543</v>
      </c>
      <c r="BA21" s="90">
        <v>540</v>
      </c>
      <c r="BB21" s="90">
        <v>534</v>
      </c>
      <c r="BC21" s="90">
        <v>555</v>
      </c>
      <c r="BD21" s="90">
        <v>561</v>
      </c>
      <c r="BE21" s="90">
        <v>554</v>
      </c>
      <c r="BF21" s="90">
        <v>554</v>
      </c>
      <c r="BG21" s="90">
        <v>556</v>
      </c>
      <c r="BH21" s="90">
        <v>550</v>
      </c>
      <c r="BI21" s="90">
        <v>547</v>
      </c>
      <c r="BJ21" s="90">
        <v>562</v>
      </c>
      <c r="BK21" s="90">
        <v>552</v>
      </c>
      <c r="BL21" s="90">
        <v>537</v>
      </c>
      <c r="BM21" s="90">
        <v>522</v>
      </c>
      <c r="BN21" s="90">
        <v>526</v>
      </c>
      <c r="BO21" s="90">
        <v>546</v>
      </c>
      <c r="BP21" s="90">
        <v>531</v>
      </c>
      <c r="BQ21" s="90">
        <v>536</v>
      </c>
      <c r="BR21" s="90">
        <v>512</v>
      </c>
      <c r="BS21" s="90">
        <v>508</v>
      </c>
      <c r="BT21" s="90">
        <v>513</v>
      </c>
      <c r="BU21" s="90">
        <v>501</v>
      </c>
      <c r="BV21" s="90">
        <v>485</v>
      </c>
      <c r="BW21" s="90">
        <v>543</v>
      </c>
      <c r="BX21" s="90">
        <v>542</v>
      </c>
      <c r="BY21" s="90">
        <v>546</v>
      </c>
      <c r="BZ21" s="90">
        <v>552</v>
      </c>
      <c r="CA21" s="90">
        <v>538</v>
      </c>
      <c r="CB21" s="90">
        <v>588</v>
      </c>
      <c r="CC21" s="90">
        <v>591</v>
      </c>
      <c r="CD21" s="90">
        <v>618</v>
      </c>
      <c r="CE21" s="90">
        <v>577</v>
      </c>
      <c r="CF21" s="90">
        <v>544</v>
      </c>
      <c r="CG21" s="90">
        <v>565</v>
      </c>
      <c r="CH21" s="90">
        <v>570</v>
      </c>
      <c r="CI21" s="90">
        <v>576</v>
      </c>
      <c r="CJ21" s="90">
        <v>560</v>
      </c>
      <c r="CK21" s="90">
        <v>555</v>
      </c>
      <c r="CL21" s="90">
        <v>531</v>
      </c>
      <c r="CM21" s="90">
        <v>530</v>
      </c>
      <c r="CN21" s="90">
        <v>554</v>
      </c>
      <c r="CO21" s="90">
        <v>523</v>
      </c>
      <c r="CP21" s="90">
        <v>527</v>
      </c>
      <c r="CQ21" s="90">
        <v>556</v>
      </c>
      <c r="CR21" s="90">
        <v>553</v>
      </c>
      <c r="CS21" s="90">
        <v>555</v>
      </c>
      <c r="CT21" s="90">
        <v>557</v>
      </c>
      <c r="CU21" s="90">
        <v>555</v>
      </c>
      <c r="CV21" s="90">
        <v>550</v>
      </c>
      <c r="CW21" s="90">
        <v>565</v>
      </c>
      <c r="CX21" s="90">
        <v>564</v>
      </c>
      <c r="CY21" s="90">
        <v>563</v>
      </c>
      <c r="CZ21" s="90">
        <v>548</v>
      </c>
    </row>
    <row r="22" spans="1:104" ht="15" customHeight="1">
      <c r="A22" s="2">
        <v>6125</v>
      </c>
      <c r="B22" s="2">
        <v>3.5</v>
      </c>
      <c r="C22" s="2"/>
      <c r="D22" s="2">
        <v>7</v>
      </c>
      <c r="E22" s="90">
        <v>567</v>
      </c>
      <c r="F22" s="90">
        <v>567</v>
      </c>
      <c r="G22" s="90">
        <v>567</v>
      </c>
      <c r="H22" s="90">
        <v>572</v>
      </c>
      <c r="I22" s="90">
        <v>569</v>
      </c>
      <c r="J22" s="90">
        <v>573</v>
      </c>
      <c r="K22" s="90">
        <v>584</v>
      </c>
      <c r="L22" s="90">
        <v>609</v>
      </c>
      <c r="M22" s="90">
        <v>599</v>
      </c>
      <c r="N22" s="90">
        <v>570</v>
      </c>
      <c r="O22" s="90">
        <v>590</v>
      </c>
      <c r="P22" s="90">
        <v>591</v>
      </c>
      <c r="Q22" s="90">
        <v>592</v>
      </c>
      <c r="R22" s="90">
        <v>584</v>
      </c>
      <c r="S22" s="90">
        <v>580</v>
      </c>
      <c r="T22" s="90">
        <v>620</v>
      </c>
      <c r="U22" s="90">
        <v>617</v>
      </c>
      <c r="V22" s="90">
        <v>614</v>
      </c>
      <c r="W22" s="90">
        <v>610</v>
      </c>
      <c r="X22" s="90">
        <v>627</v>
      </c>
      <c r="Y22" s="90">
        <v>616</v>
      </c>
      <c r="Z22" s="90">
        <v>616</v>
      </c>
      <c r="AA22" s="90">
        <v>633</v>
      </c>
      <c r="AB22" s="90">
        <v>632</v>
      </c>
      <c r="AC22" s="90">
        <v>619</v>
      </c>
      <c r="AD22" s="90">
        <v>592</v>
      </c>
      <c r="AE22" s="90">
        <v>593</v>
      </c>
      <c r="AF22" s="90">
        <v>600</v>
      </c>
      <c r="AG22" s="90">
        <v>605</v>
      </c>
      <c r="AH22" s="90">
        <v>587</v>
      </c>
      <c r="AI22" s="90">
        <v>592</v>
      </c>
      <c r="AJ22" s="90">
        <v>592</v>
      </c>
      <c r="AK22" s="90">
        <v>597</v>
      </c>
      <c r="AL22" s="90">
        <v>616</v>
      </c>
      <c r="AM22" s="90">
        <v>591</v>
      </c>
      <c r="AN22" s="90">
        <v>627</v>
      </c>
      <c r="AO22" s="90">
        <v>627</v>
      </c>
      <c r="AP22" s="90">
        <v>635</v>
      </c>
      <c r="AQ22" s="90">
        <v>618</v>
      </c>
      <c r="AR22" s="90">
        <v>620</v>
      </c>
      <c r="AS22" s="90">
        <v>573</v>
      </c>
      <c r="AT22" s="90">
        <v>577</v>
      </c>
      <c r="AU22" s="90">
        <v>579</v>
      </c>
      <c r="AV22" s="90">
        <v>582</v>
      </c>
      <c r="AW22" s="90">
        <v>575</v>
      </c>
      <c r="AX22" s="90">
        <v>550</v>
      </c>
      <c r="AY22" s="90">
        <v>549</v>
      </c>
      <c r="AZ22" s="90">
        <v>553</v>
      </c>
      <c r="BA22" s="90">
        <v>549</v>
      </c>
      <c r="BB22" s="90">
        <v>544</v>
      </c>
      <c r="BC22" s="90">
        <v>570</v>
      </c>
      <c r="BD22" s="90">
        <v>574</v>
      </c>
      <c r="BE22" s="90">
        <v>568</v>
      </c>
      <c r="BF22" s="90">
        <v>569</v>
      </c>
      <c r="BG22" s="90">
        <v>571</v>
      </c>
      <c r="BH22" s="90">
        <v>564</v>
      </c>
      <c r="BI22" s="90">
        <v>561</v>
      </c>
      <c r="BJ22" s="90">
        <v>576</v>
      </c>
      <c r="BK22" s="90">
        <v>566</v>
      </c>
      <c r="BL22" s="90">
        <v>547</v>
      </c>
      <c r="BM22" s="90">
        <v>533</v>
      </c>
      <c r="BN22" s="90">
        <v>539</v>
      </c>
      <c r="BO22" s="90">
        <v>563</v>
      </c>
      <c r="BP22" s="90">
        <v>545</v>
      </c>
      <c r="BQ22" s="90">
        <v>550</v>
      </c>
      <c r="BR22" s="90">
        <v>523</v>
      </c>
      <c r="BS22" s="90">
        <v>520</v>
      </c>
      <c r="BT22" s="90">
        <v>525</v>
      </c>
      <c r="BU22" s="90">
        <v>510</v>
      </c>
      <c r="BV22" s="90">
        <v>493</v>
      </c>
      <c r="BW22" s="90">
        <v>555</v>
      </c>
      <c r="BX22" s="90">
        <v>555</v>
      </c>
      <c r="BY22" s="90">
        <v>561</v>
      </c>
      <c r="BZ22" s="90">
        <v>568</v>
      </c>
      <c r="CA22" s="90">
        <v>550</v>
      </c>
      <c r="CB22" s="90">
        <v>609</v>
      </c>
      <c r="CC22" s="90">
        <v>611</v>
      </c>
      <c r="CD22" s="90">
        <v>641</v>
      </c>
      <c r="CE22" s="90">
        <v>594</v>
      </c>
      <c r="CF22" s="90">
        <v>556</v>
      </c>
      <c r="CG22" s="90">
        <v>579</v>
      </c>
      <c r="CH22" s="90">
        <v>585</v>
      </c>
      <c r="CI22" s="90">
        <v>592</v>
      </c>
      <c r="CJ22" s="90">
        <v>573</v>
      </c>
      <c r="CK22" s="90">
        <v>570</v>
      </c>
      <c r="CL22" s="90">
        <v>542</v>
      </c>
      <c r="CM22" s="90">
        <v>541</v>
      </c>
      <c r="CN22" s="90">
        <v>568</v>
      </c>
      <c r="CO22" s="90">
        <v>531</v>
      </c>
      <c r="CP22" s="90">
        <v>537</v>
      </c>
      <c r="CQ22" s="90">
        <v>573</v>
      </c>
      <c r="CR22" s="90">
        <v>568</v>
      </c>
      <c r="CS22" s="90">
        <v>571</v>
      </c>
      <c r="CT22" s="90">
        <v>573</v>
      </c>
      <c r="CU22" s="90">
        <v>571</v>
      </c>
      <c r="CV22" s="90">
        <v>565</v>
      </c>
      <c r="CW22" s="90">
        <v>582</v>
      </c>
      <c r="CX22" s="90">
        <v>579</v>
      </c>
      <c r="CY22" s="90">
        <v>578</v>
      </c>
      <c r="CZ22" s="90">
        <v>564</v>
      </c>
    </row>
    <row r="23" spans="1:104" ht="15" customHeight="1">
      <c r="A23" s="2">
        <v>6300</v>
      </c>
      <c r="B23" s="2">
        <v>3.6</v>
      </c>
      <c r="C23" s="2">
        <v>9</v>
      </c>
      <c r="D23" s="2"/>
      <c r="E23" s="90">
        <v>582</v>
      </c>
      <c r="F23" s="90">
        <v>580</v>
      </c>
      <c r="G23" s="90">
        <v>580</v>
      </c>
      <c r="H23" s="90">
        <v>587</v>
      </c>
      <c r="I23" s="90">
        <v>583</v>
      </c>
      <c r="J23" s="90">
        <v>588</v>
      </c>
      <c r="K23" s="90">
        <v>596</v>
      </c>
      <c r="L23" s="90">
        <v>625</v>
      </c>
      <c r="M23" s="90">
        <v>615</v>
      </c>
      <c r="N23" s="90">
        <v>582</v>
      </c>
      <c r="O23" s="90">
        <v>606</v>
      </c>
      <c r="P23" s="90">
        <v>607</v>
      </c>
      <c r="Q23" s="90">
        <v>607</v>
      </c>
      <c r="R23" s="90">
        <v>596</v>
      </c>
      <c r="S23" s="90">
        <v>593</v>
      </c>
      <c r="T23" s="90">
        <v>637</v>
      </c>
      <c r="U23" s="90">
        <v>634</v>
      </c>
      <c r="V23" s="90">
        <v>631</v>
      </c>
      <c r="W23" s="90">
        <v>626</v>
      </c>
      <c r="X23" s="90">
        <v>646</v>
      </c>
      <c r="Y23" s="90">
        <v>634</v>
      </c>
      <c r="Z23" s="90">
        <v>633</v>
      </c>
      <c r="AA23" s="90">
        <v>653</v>
      </c>
      <c r="AB23" s="90">
        <v>652</v>
      </c>
      <c r="AC23" s="90">
        <v>637</v>
      </c>
      <c r="AD23" s="90">
        <v>608</v>
      </c>
      <c r="AE23" s="90">
        <v>609</v>
      </c>
      <c r="AF23" s="90">
        <v>617</v>
      </c>
      <c r="AG23" s="90">
        <v>620</v>
      </c>
      <c r="AH23" s="90">
        <v>602</v>
      </c>
      <c r="AI23" s="90">
        <v>607</v>
      </c>
      <c r="AJ23" s="90">
        <v>608</v>
      </c>
      <c r="AK23" s="90">
        <v>613</v>
      </c>
      <c r="AL23" s="90">
        <v>633</v>
      </c>
      <c r="AM23" s="90">
        <v>606</v>
      </c>
      <c r="AN23" s="90">
        <v>647</v>
      </c>
      <c r="AO23" s="90">
        <v>647</v>
      </c>
      <c r="AP23" s="90">
        <v>656</v>
      </c>
      <c r="AQ23" s="90">
        <v>636</v>
      </c>
      <c r="AR23" s="90">
        <v>638</v>
      </c>
      <c r="AS23" s="90">
        <v>586</v>
      </c>
      <c r="AT23" s="90">
        <v>591</v>
      </c>
      <c r="AU23" s="90">
        <v>593</v>
      </c>
      <c r="AV23" s="90">
        <v>595</v>
      </c>
      <c r="AW23" s="90">
        <v>589</v>
      </c>
      <c r="AX23" s="90">
        <v>561</v>
      </c>
      <c r="AY23" s="90">
        <v>560</v>
      </c>
      <c r="AZ23" s="90">
        <v>565</v>
      </c>
      <c r="BA23" s="90">
        <v>560</v>
      </c>
      <c r="BB23" s="90">
        <v>552</v>
      </c>
      <c r="BC23" s="90">
        <v>584</v>
      </c>
      <c r="BD23" s="90">
        <v>589</v>
      </c>
      <c r="BE23" s="90">
        <v>582</v>
      </c>
      <c r="BF23" s="90">
        <v>583</v>
      </c>
      <c r="BG23" s="90">
        <v>585</v>
      </c>
      <c r="BH23" s="90">
        <v>577</v>
      </c>
      <c r="BI23" s="90">
        <v>572</v>
      </c>
      <c r="BJ23" s="90">
        <v>591</v>
      </c>
      <c r="BK23" s="90">
        <v>578</v>
      </c>
      <c r="BL23" s="90">
        <v>560</v>
      </c>
      <c r="BM23" s="90">
        <v>546</v>
      </c>
      <c r="BN23" s="90">
        <v>551</v>
      </c>
      <c r="BO23" s="90">
        <v>578</v>
      </c>
      <c r="BP23" s="90">
        <v>560</v>
      </c>
      <c r="BQ23" s="90">
        <v>565</v>
      </c>
      <c r="BR23" s="90">
        <v>534</v>
      </c>
      <c r="BS23" s="90">
        <v>530</v>
      </c>
      <c r="BT23" s="90">
        <v>536</v>
      </c>
      <c r="BU23" s="90">
        <v>521</v>
      </c>
      <c r="BV23" s="90">
        <v>499</v>
      </c>
      <c r="BW23" s="90">
        <v>570</v>
      </c>
      <c r="BX23" s="90">
        <v>569</v>
      </c>
      <c r="BY23" s="90">
        <v>573</v>
      </c>
      <c r="BZ23" s="90">
        <v>583</v>
      </c>
      <c r="CA23" s="90">
        <v>564</v>
      </c>
      <c r="CB23" s="90">
        <v>627</v>
      </c>
      <c r="CC23" s="90">
        <v>631</v>
      </c>
      <c r="CD23" s="90">
        <v>665</v>
      </c>
      <c r="CE23" s="90">
        <v>613</v>
      </c>
      <c r="CF23" s="90">
        <v>570</v>
      </c>
      <c r="CG23" s="90">
        <v>594</v>
      </c>
      <c r="CH23" s="90">
        <v>600</v>
      </c>
      <c r="CI23" s="90">
        <v>609</v>
      </c>
      <c r="CJ23" s="90">
        <v>587</v>
      </c>
      <c r="CK23" s="90">
        <v>584</v>
      </c>
      <c r="CL23" s="90">
        <v>551</v>
      </c>
      <c r="CM23" s="90">
        <v>550</v>
      </c>
      <c r="CN23" s="90">
        <v>582</v>
      </c>
      <c r="CO23" s="90">
        <v>540</v>
      </c>
      <c r="CP23" s="90">
        <v>545</v>
      </c>
      <c r="CQ23" s="90">
        <v>588</v>
      </c>
      <c r="CR23" s="90">
        <v>583</v>
      </c>
      <c r="CS23" s="90">
        <v>586</v>
      </c>
      <c r="CT23" s="90">
        <v>588</v>
      </c>
      <c r="CU23" s="90">
        <v>586</v>
      </c>
      <c r="CV23" s="90">
        <v>579</v>
      </c>
      <c r="CW23" s="90">
        <v>597</v>
      </c>
      <c r="CX23" s="90">
        <v>595</v>
      </c>
      <c r="CY23" s="90">
        <v>594</v>
      </c>
      <c r="CZ23" s="90">
        <v>577</v>
      </c>
    </row>
    <row r="24" spans="1:104" ht="15" customHeight="1">
      <c r="A24" s="2">
        <v>7000</v>
      </c>
      <c r="B24" s="2">
        <v>4</v>
      </c>
      <c r="C24" s="2">
        <v>10</v>
      </c>
      <c r="D24" s="2">
        <v>8</v>
      </c>
      <c r="E24" s="90">
        <v>595</v>
      </c>
      <c r="F24" s="90">
        <v>595</v>
      </c>
      <c r="G24" s="90">
        <v>595</v>
      </c>
      <c r="H24" s="90">
        <v>602</v>
      </c>
      <c r="I24" s="90">
        <v>597</v>
      </c>
      <c r="J24" s="90">
        <v>603</v>
      </c>
      <c r="K24" s="90">
        <v>610</v>
      </c>
      <c r="L24" s="90">
        <v>641</v>
      </c>
      <c r="M24" s="90">
        <v>630</v>
      </c>
      <c r="N24" s="90">
        <v>593</v>
      </c>
      <c r="O24" s="90">
        <v>619</v>
      </c>
      <c r="P24" s="90">
        <v>620</v>
      </c>
      <c r="Q24" s="90">
        <v>621</v>
      </c>
      <c r="R24" s="90">
        <v>610</v>
      </c>
      <c r="S24" s="90">
        <v>607</v>
      </c>
      <c r="T24" s="90">
        <v>656</v>
      </c>
      <c r="U24" s="90">
        <v>653</v>
      </c>
      <c r="V24" s="90">
        <v>648</v>
      </c>
      <c r="W24" s="90">
        <v>642</v>
      </c>
      <c r="X24" s="90">
        <v>665</v>
      </c>
      <c r="Y24" s="90">
        <v>652</v>
      </c>
      <c r="Z24" s="90">
        <v>652</v>
      </c>
      <c r="AA24" s="90">
        <v>672</v>
      </c>
      <c r="AB24" s="90">
        <v>670</v>
      </c>
      <c r="AC24" s="90">
        <v>656</v>
      </c>
      <c r="AD24" s="90">
        <v>622</v>
      </c>
      <c r="AE24" s="90">
        <v>623</v>
      </c>
      <c r="AF24" s="90">
        <v>632</v>
      </c>
      <c r="AG24" s="90">
        <v>636</v>
      </c>
      <c r="AH24" s="90">
        <v>616</v>
      </c>
      <c r="AI24" s="90">
        <v>621</v>
      </c>
      <c r="AJ24" s="90">
        <v>622</v>
      </c>
      <c r="AK24" s="90">
        <v>627</v>
      </c>
      <c r="AL24" s="90">
        <v>650</v>
      </c>
      <c r="AM24" s="90">
        <v>620</v>
      </c>
      <c r="AN24" s="90">
        <v>666</v>
      </c>
      <c r="AO24" s="90">
        <v>665</v>
      </c>
      <c r="AP24" s="90">
        <v>676</v>
      </c>
      <c r="AQ24" s="90">
        <v>655</v>
      </c>
      <c r="AR24" s="90">
        <v>657</v>
      </c>
      <c r="AS24" s="90">
        <v>598</v>
      </c>
      <c r="AT24" s="90">
        <v>605</v>
      </c>
      <c r="AU24" s="90">
        <v>608</v>
      </c>
      <c r="AV24" s="90">
        <v>610</v>
      </c>
      <c r="AW24" s="90">
        <v>602</v>
      </c>
      <c r="AX24" s="90">
        <v>570</v>
      </c>
      <c r="AY24" s="90">
        <v>569</v>
      </c>
      <c r="AZ24" s="90">
        <v>575</v>
      </c>
      <c r="BA24" s="90">
        <v>570</v>
      </c>
      <c r="BB24" s="90">
        <v>563</v>
      </c>
      <c r="BC24" s="90">
        <v>597</v>
      </c>
      <c r="BD24" s="90">
        <v>603</v>
      </c>
      <c r="BE24" s="90">
        <v>595</v>
      </c>
      <c r="BF24" s="90">
        <v>596</v>
      </c>
      <c r="BG24" s="90">
        <v>598</v>
      </c>
      <c r="BH24" s="90">
        <v>590</v>
      </c>
      <c r="BI24" s="90">
        <v>585</v>
      </c>
      <c r="BJ24" s="90">
        <v>607</v>
      </c>
      <c r="BK24" s="90">
        <v>592</v>
      </c>
      <c r="BL24" s="90">
        <v>570</v>
      </c>
      <c r="BM24" s="90">
        <v>560</v>
      </c>
      <c r="BN24" s="90">
        <v>566</v>
      </c>
      <c r="BO24" s="90">
        <v>594</v>
      </c>
      <c r="BP24" s="90">
        <v>573</v>
      </c>
      <c r="BQ24" s="90">
        <v>579</v>
      </c>
      <c r="BR24" s="90">
        <v>545</v>
      </c>
      <c r="BS24" s="90">
        <v>542</v>
      </c>
      <c r="BT24" s="90">
        <v>547</v>
      </c>
      <c r="BU24" s="90">
        <v>530</v>
      </c>
      <c r="BV24" s="90">
        <v>506</v>
      </c>
      <c r="BW24" s="90">
        <v>583</v>
      </c>
      <c r="BX24" s="90">
        <v>582</v>
      </c>
      <c r="BY24" s="90">
        <v>587</v>
      </c>
      <c r="BZ24" s="90">
        <v>596</v>
      </c>
      <c r="CA24" s="90">
        <v>575</v>
      </c>
      <c r="CB24" s="90">
        <v>647</v>
      </c>
      <c r="CC24" s="90">
        <v>652</v>
      </c>
      <c r="CD24" s="90">
        <v>689</v>
      </c>
      <c r="CE24" s="90">
        <v>631</v>
      </c>
      <c r="CF24" s="90">
        <v>584</v>
      </c>
      <c r="CG24" s="90">
        <v>610</v>
      </c>
      <c r="CH24" s="90">
        <v>616</v>
      </c>
      <c r="CI24" s="90">
        <v>625</v>
      </c>
      <c r="CJ24" s="90">
        <v>600</v>
      </c>
      <c r="CK24" s="90">
        <v>596</v>
      </c>
      <c r="CL24" s="90">
        <v>563</v>
      </c>
      <c r="CM24" s="90">
        <v>561</v>
      </c>
      <c r="CN24" s="90">
        <v>594</v>
      </c>
      <c r="CO24" s="90">
        <v>549</v>
      </c>
      <c r="CP24" s="90">
        <v>554</v>
      </c>
      <c r="CQ24" s="90">
        <v>603</v>
      </c>
      <c r="CR24" s="90">
        <v>596</v>
      </c>
      <c r="CS24" s="90">
        <v>600</v>
      </c>
      <c r="CT24" s="90">
        <v>603</v>
      </c>
      <c r="CU24" s="90">
        <v>599</v>
      </c>
      <c r="CV24" s="90">
        <v>593</v>
      </c>
      <c r="CW24" s="90">
        <v>614</v>
      </c>
      <c r="CX24" s="90">
        <v>612</v>
      </c>
      <c r="CY24" s="90">
        <v>611</v>
      </c>
      <c r="CZ24" s="90">
        <v>591</v>
      </c>
    </row>
    <row r="25" spans="1:104" ht="15" customHeight="1">
      <c r="A25" s="3"/>
      <c r="B25" s="3"/>
      <c r="C25" s="3"/>
      <c r="D25" s="3"/>
    </row>
    <row r="26" spans="1:104" ht="15" customHeight="1">
      <c r="A26" s="4" t="s">
        <v>24</v>
      </c>
      <c r="B26" s="3"/>
      <c r="C26" s="3"/>
      <c r="D26" s="3"/>
    </row>
    <row r="27" spans="1:104" ht="15" customHeight="1">
      <c r="A27" s="3"/>
      <c r="B27" s="3"/>
      <c r="C27" s="3"/>
      <c r="D27" s="3"/>
    </row>
    <row r="28" spans="1:104" ht="15" customHeight="1">
      <c r="A28" s="6" t="s">
        <v>25</v>
      </c>
      <c r="B28" s="40"/>
      <c r="C28" s="84" t="s">
        <v>26</v>
      </c>
      <c r="D28" s="71"/>
      <c r="E28" s="95"/>
      <c r="F28" s="96"/>
      <c r="G28" s="71" t="s">
        <v>27</v>
      </c>
      <c r="H28" s="96"/>
      <c r="I28" s="96"/>
      <c r="J28" s="96"/>
      <c r="K28" s="96"/>
      <c r="L28" s="96"/>
      <c r="M28" s="96"/>
      <c r="N28" s="96"/>
      <c r="O28" s="96"/>
      <c r="P28" s="96"/>
      <c r="Q28" s="96"/>
      <c r="R28" s="96"/>
      <c r="S28" s="96"/>
      <c r="T28" s="71" t="s">
        <v>27</v>
      </c>
      <c r="U28" s="96"/>
      <c r="V28" s="96"/>
      <c r="W28" s="96"/>
      <c r="X28" s="96"/>
      <c r="Y28" s="96"/>
      <c r="Z28" s="96"/>
      <c r="AA28" s="96"/>
      <c r="AB28" s="96"/>
      <c r="AC28" s="96"/>
      <c r="AD28" s="96"/>
      <c r="AE28" s="96"/>
      <c r="AF28" s="96"/>
      <c r="AG28" s="71" t="s">
        <v>27</v>
      </c>
      <c r="AH28" s="96"/>
      <c r="AI28" s="96"/>
      <c r="AJ28" s="96"/>
      <c r="AK28" s="96"/>
      <c r="AL28" s="96"/>
      <c r="AM28" s="96"/>
      <c r="AN28" s="96"/>
      <c r="AO28" s="96"/>
      <c r="AP28" s="70"/>
      <c r="AQ28" s="96"/>
      <c r="AR28" s="96"/>
      <c r="AS28" s="96"/>
      <c r="AT28" s="71" t="s">
        <v>27</v>
      </c>
      <c r="AU28" s="71"/>
      <c r="AV28" s="96"/>
      <c r="AW28" s="96"/>
      <c r="AX28" s="96"/>
      <c r="AY28" s="96"/>
      <c r="AZ28" s="96"/>
      <c r="BA28" s="96"/>
      <c r="BB28" s="96"/>
      <c r="BC28" s="96"/>
      <c r="BD28" s="96"/>
      <c r="BE28" s="96"/>
      <c r="BF28" s="71"/>
      <c r="BG28" s="71" t="s">
        <v>27</v>
      </c>
      <c r="BH28" s="96"/>
      <c r="BI28" s="96"/>
      <c r="BJ28" s="96"/>
      <c r="BK28" s="96"/>
      <c r="BL28" s="96"/>
      <c r="BM28" s="96"/>
      <c r="BN28" s="96"/>
      <c r="BO28" s="96"/>
      <c r="BP28" s="96"/>
      <c r="BQ28" s="96"/>
      <c r="BR28" s="96"/>
      <c r="BS28" s="96"/>
      <c r="BT28" s="71" t="s">
        <v>27</v>
      </c>
      <c r="BU28" s="71" t="s">
        <v>27</v>
      </c>
      <c r="BV28" s="71" t="s">
        <v>27</v>
      </c>
      <c r="BW28" s="96"/>
      <c r="BX28" s="96"/>
      <c r="BY28" s="96"/>
      <c r="BZ28" s="96"/>
      <c r="CA28" s="96"/>
      <c r="CB28" s="96"/>
      <c r="CC28" s="96"/>
      <c r="CD28" s="96"/>
      <c r="CE28" s="96"/>
      <c r="CF28" s="96"/>
      <c r="CG28" s="96"/>
      <c r="CH28" s="96"/>
      <c r="CI28" s="71" t="s">
        <v>27</v>
      </c>
      <c r="CJ28" s="96"/>
      <c r="CK28" s="96"/>
      <c r="CL28" s="96"/>
      <c r="CM28" s="96"/>
      <c r="CN28" s="96"/>
      <c r="CO28" s="96"/>
      <c r="CP28" s="70"/>
      <c r="CQ28" s="70"/>
      <c r="CR28" s="70"/>
      <c r="CS28" s="70"/>
      <c r="CT28" s="70"/>
      <c r="CU28" s="70"/>
      <c r="CV28" s="71" t="s">
        <v>27</v>
      </c>
      <c r="CW28" s="70"/>
      <c r="CX28" s="70"/>
      <c r="CY28" s="70"/>
      <c r="CZ28" s="72"/>
    </row>
    <row r="29" spans="1:104" ht="15" customHeight="1">
      <c r="A29" s="222" t="s">
        <v>28</v>
      </c>
      <c r="B29" s="223"/>
      <c r="C29" s="104" t="s">
        <v>39</v>
      </c>
      <c r="D29" s="114"/>
      <c r="E29" s="74" t="s">
        <v>31</v>
      </c>
      <c r="F29" s="74" t="s">
        <v>31</v>
      </c>
      <c r="G29" s="74" t="s">
        <v>31</v>
      </c>
      <c r="H29" s="74" t="s">
        <v>31</v>
      </c>
      <c r="I29" s="74" t="s">
        <v>31</v>
      </c>
      <c r="J29" s="74" t="s">
        <v>31</v>
      </c>
      <c r="K29" s="74" t="s">
        <v>31</v>
      </c>
      <c r="L29" s="74" t="s">
        <v>43</v>
      </c>
      <c r="M29" s="74" t="s">
        <v>43</v>
      </c>
      <c r="N29" s="74" t="s">
        <v>31</v>
      </c>
      <c r="O29" s="74" t="s">
        <v>43</v>
      </c>
      <c r="P29" s="74" t="s">
        <v>43</v>
      </c>
      <c r="Q29" s="74" t="s">
        <v>43</v>
      </c>
      <c r="R29" s="74" t="s">
        <v>43</v>
      </c>
      <c r="S29" s="74" t="s">
        <v>43</v>
      </c>
      <c r="T29" s="74" t="s">
        <v>43</v>
      </c>
      <c r="U29" s="74" t="s">
        <v>43</v>
      </c>
      <c r="V29" s="74" t="s">
        <v>43</v>
      </c>
      <c r="W29" s="74" t="s">
        <v>43</v>
      </c>
      <c r="X29" s="74" t="s">
        <v>43</v>
      </c>
      <c r="Y29" s="74" t="s">
        <v>43</v>
      </c>
      <c r="Z29" s="74" t="s">
        <v>43</v>
      </c>
      <c r="AA29" s="74" t="s">
        <v>43</v>
      </c>
      <c r="AB29" s="74" t="s">
        <v>43</v>
      </c>
      <c r="AC29" s="74" t="s">
        <v>43</v>
      </c>
      <c r="AD29" s="74" t="s">
        <v>31</v>
      </c>
      <c r="AE29" s="74" t="s">
        <v>31</v>
      </c>
      <c r="AF29" s="74" t="s">
        <v>31</v>
      </c>
      <c r="AG29" s="74" t="s">
        <v>31</v>
      </c>
      <c r="AH29" s="74" t="s">
        <v>31</v>
      </c>
      <c r="AI29" s="74" t="s">
        <v>31</v>
      </c>
      <c r="AJ29" s="74" t="s">
        <v>31</v>
      </c>
      <c r="AK29" s="74" t="s">
        <v>31</v>
      </c>
      <c r="AL29" s="74" t="s">
        <v>31</v>
      </c>
      <c r="AM29" s="74" t="s">
        <v>31</v>
      </c>
      <c r="AN29" s="74" t="s">
        <v>43</v>
      </c>
      <c r="AO29" s="74" t="s">
        <v>43</v>
      </c>
      <c r="AP29" s="74" t="s">
        <v>43</v>
      </c>
      <c r="AQ29" s="74" t="s">
        <v>43</v>
      </c>
      <c r="AR29" s="74" t="s">
        <v>43</v>
      </c>
      <c r="AS29" s="74" t="s">
        <v>31</v>
      </c>
      <c r="AT29" s="74" t="s">
        <v>31</v>
      </c>
      <c r="AU29" s="74" t="s">
        <v>31</v>
      </c>
      <c r="AV29" s="74" t="s">
        <v>31</v>
      </c>
      <c r="AW29" s="74" t="s">
        <v>31</v>
      </c>
      <c r="AX29" s="74" t="s">
        <v>31</v>
      </c>
      <c r="AY29" s="74" t="s">
        <v>31</v>
      </c>
      <c r="AZ29" s="74" t="s">
        <v>31</v>
      </c>
      <c r="BA29" s="74" t="s">
        <v>31</v>
      </c>
      <c r="BB29" s="74" t="s">
        <v>31</v>
      </c>
      <c r="BC29" s="74" t="s">
        <v>31</v>
      </c>
      <c r="BD29" s="74" t="s">
        <v>31</v>
      </c>
      <c r="BE29" s="74" t="s">
        <v>31</v>
      </c>
      <c r="BF29" s="74" t="s">
        <v>31</v>
      </c>
      <c r="BG29" s="74" t="s">
        <v>31</v>
      </c>
      <c r="BH29" s="74" t="s">
        <v>31</v>
      </c>
      <c r="BI29" s="74" t="s">
        <v>31</v>
      </c>
      <c r="BJ29" s="74" t="s">
        <v>31</v>
      </c>
      <c r="BK29" s="74" t="s">
        <v>31</v>
      </c>
      <c r="BL29" s="74" t="s">
        <v>31</v>
      </c>
      <c r="BM29" s="74" t="s">
        <v>31</v>
      </c>
      <c r="BN29" s="74" t="s">
        <v>31</v>
      </c>
      <c r="BO29" s="74" t="s">
        <v>31</v>
      </c>
      <c r="BP29" s="74" t="s">
        <v>31</v>
      </c>
      <c r="BQ29" s="74" t="s">
        <v>31</v>
      </c>
      <c r="BR29" s="74" t="s">
        <v>31</v>
      </c>
      <c r="BS29" s="74" t="s">
        <v>31</v>
      </c>
      <c r="BT29" s="74" t="s">
        <v>31</v>
      </c>
      <c r="BU29" s="74" t="s">
        <v>31</v>
      </c>
      <c r="BV29" s="74" t="s">
        <v>31</v>
      </c>
      <c r="BW29" s="74" t="s">
        <v>31</v>
      </c>
      <c r="BX29" s="74" t="s">
        <v>31</v>
      </c>
      <c r="BY29" s="74" t="s">
        <v>31</v>
      </c>
      <c r="BZ29" s="74" t="s">
        <v>31</v>
      </c>
      <c r="CA29" s="74" t="s">
        <v>31</v>
      </c>
      <c r="CB29" s="74" t="s">
        <v>31</v>
      </c>
      <c r="CC29" s="74" t="s">
        <v>31</v>
      </c>
      <c r="CD29" s="74" t="s">
        <v>31</v>
      </c>
      <c r="CE29" s="74" t="s">
        <v>31</v>
      </c>
      <c r="CF29" s="74" t="s">
        <v>31</v>
      </c>
      <c r="CG29" s="74" t="s">
        <v>31</v>
      </c>
      <c r="CH29" s="74" t="s">
        <v>31</v>
      </c>
      <c r="CI29" s="74" t="s">
        <v>31</v>
      </c>
      <c r="CJ29" s="74" t="s">
        <v>31</v>
      </c>
      <c r="CK29" s="74" t="s">
        <v>31</v>
      </c>
      <c r="CL29" s="74" t="s">
        <v>31</v>
      </c>
      <c r="CM29" s="74" t="s">
        <v>31</v>
      </c>
      <c r="CN29" s="74" t="s">
        <v>31</v>
      </c>
      <c r="CO29" s="74" t="s">
        <v>31</v>
      </c>
      <c r="CP29" s="74" t="s">
        <v>31</v>
      </c>
      <c r="CQ29" s="74" t="s">
        <v>31</v>
      </c>
      <c r="CR29" s="74" t="s">
        <v>31</v>
      </c>
      <c r="CS29" s="74" t="s">
        <v>31</v>
      </c>
      <c r="CT29" s="74" t="s">
        <v>31</v>
      </c>
      <c r="CU29" s="74" t="s">
        <v>31</v>
      </c>
      <c r="CV29" s="74" t="s">
        <v>31</v>
      </c>
      <c r="CW29" s="74" t="s">
        <v>31</v>
      </c>
      <c r="CX29" s="74" t="s">
        <v>31</v>
      </c>
      <c r="CY29" s="74" t="s">
        <v>31</v>
      </c>
      <c r="CZ29" s="74" t="s">
        <v>31</v>
      </c>
    </row>
    <row r="30" spans="1:104" ht="15" customHeight="1">
      <c r="A30" s="222" t="s">
        <v>32</v>
      </c>
      <c r="B30" s="223"/>
      <c r="C30" s="104" t="s">
        <v>39</v>
      </c>
      <c r="D30" s="73"/>
      <c r="E30" s="74" t="s">
        <v>31</v>
      </c>
      <c r="F30" s="74" t="s">
        <v>31</v>
      </c>
      <c r="G30" s="74" t="s">
        <v>31</v>
      </c>
      <c r="H30" s="74" t="s">
        <v>31</v>
      </c>
      <c r="I30" s="74" t="s">
        <v>31</v>
      </c>
      <c r="J30" s="74" t="s">
        <v>31</v>
      </c>
      <c r="K30" s="74" t="s">
        <v>31</v>
      </c>
      <c r="L30" s="74" t="s">
        <v>31</v>
      </c>
      <c r="M30" s="74" t="s">
        <v>31</v>
      </c>
      <c r="N30" s="74" t="s">
        <v>31</v>
      </c>
      <c r="O30" s="74" t="s">
        <v>31</v>
      </c>
      <c r="P30" s="74" t="s">
        <v>31</v>
      </c>
      <c r="Q30" s="74" t="s">
        <v>31</v>
      </c>
      <c r="R30" s="74" t="s">
        <v>31</v>
      </c>
      <c r="S30" s="74" t="s">
        <v>31</v>
      </c>
      <c r="T30" s="74" t="s">
        <v>31</v>
      </c>
      <c r="U30" s="74" t="s">
        <v>31</v>
      </c>
      <c r="V30" s="74" t="s">
        <v>31</v>
      </c>
      <c r="W30" s="74" t="s">
        <v>31</v>
      </c>
      <c r="X30" s="74" t="s">
        <v>31</v>
      </c>
      <c r="Y30" s="74" t="s">
        <v>31</v>
      </c>
      <c r="Z30" s="74" t="s">
        <v>31</v>
      </c>
      <c r="AA30" s="74" t="s">
        <v>31</v>
      </c>
      <c r="AB30" s="74" t="s">
        <v>31</v>
      </c>
      <c r="AC30" s="74" t="s">
        <v>31</v>
      </c>
      <c r="AD30" s="74" t="s">
        <v>31</v>
      </c>
      <c r="AE30" s="74" t="s">
        <v>31</v>
      </c>
      <c r="AF30" s="74" t="s">
        <v>31</v>
      </c>
      <c r="AG30" s="74" t="s">
        <v>31</v>
      </c>
      <c r="AH30" s="74" t="s">
        <v>31</v>
      </c>
      <c r="AI30" s="74" t="s">
        <v>31</v>
      </c>
      <c r="AJ30" s="74" t="s">
        <v>31</v>
      </c>
      <c r="AK30" s="74" t="s">
        <v>31</v>
      </c>
      <c r="AL30" s="74" t="s">
        <v>31</v>
      </c>
      <c r="AM30" s="74" t="s">
        <v>31</v>
      </c>
      <c r="AN30" s="74" t="s">
        <v>31</v>
      </c>
      <c r="AO30" s="74" t="s">
        <v>31</v>
      </c>
      <c r="AP30" s="74" t="s">
        <v>31</v>
      </c>
      <c r="AQ30" s="74" t="s">
        <v>31</v>
      </c>
      <c r="AR30" s="74" t="s">
        <v>31</v>
      </c>
      <c r="AS30" s="74" t="s">
        <v>31</v>
      </c>
      <c r="AT30" s="74" t="s">
        <v>31</v>
      </c>
      <c r="AU30" s="74" t="s">
        <v>31</v>
      </c>
      <c r="AV30" s="74" t="s">
        <v>31</v>
      </c>
      <c r="AW30" s="74" t="s">
        <v>31</v>
      </c>
      <c r="AX30" s="74" t="s">
        <v>31</v>
      </c>
      <c r="AY30" s="74" t="s">
        <v>31</v>
      </c>
      <c r="AZ30" s="74" t="s">
        <v>31</v>
      </c>
      <c r="BA30" s="74" t="s">
        <v>31</v>
      </c>
      <c r="BB30" s="74" t="s">
        <v>31</v>
      </c>
      <c r="BC30" s="74" t="s">
        <v>31</v>
      </c>
      <c r="BD30" s="74" t="s">
        <v>31</v>
      </c>
      <c r="BE30" s="74" t="s">
        <v>31</v>
      </c>
      <c r="BF30" s="74" t="s">
        <v>31</v>
      </c>
      <c r="BG30" s="74" t="s">
        <v>31</v>
      </c>
      <c r="BH30" s="74" t="s">
        <v>31</v>
      </c>
      <c r="BI30" s="74" t="s">
        <v>31</v>
      </c>
      <c r="BJ30" s="74" t="s">
        <v>31</v>
      </c>
      <c r="BK30" s="74" t="s">
        <v>31</v>
      </c>
      <c r="BL30" s="74" t="s">
        <v>31</v>
      </c>
      <c r="BM30" s="74" t="s">
        <v>31</v>
      </c>
      <c r="BN30" s="74" t="s">
        <v>31</v>
      </c>
      <c r="BO30" s="74" t="s">
        <v>31</v>
      </c>
      <c r="BP30" s="74" t="s">
        <v>31</v>
      </c>
      <c r="BQ30" s="74" t="s">
        <v>31</v>
      </c>
      <c r="BR30" s="74" t="s">
        <v>31</v>
      </c>
      <c r="BS30" s="74" t="s">
        <v>31</v>
      </c>
      <c r="BT30" s="74" t="s">
        <v>31</v>
      </c>
      <c r="BU30" s="74" t="s">
        <v>31</v>
      </c>
      <c r="BV30" s="74" t="s">
        <v>31</v>
      </c>
      <c r="BW30" s="74" t="s">
        <v>31</v>
      </c>
      <c r="BX30" s="74" t="s">
        <v>31</v>
      </c>
      <c r="BY30" s="74" t="s">
        <v>31</v>
      </c>
      <c r="BZ30" s="74" t="s">
        <v>31</v>
      </c>
      <c r="CA30" s="74" t="s">
        <v>31</v>
      </c>
      <c r="CB30" s="74" t="s">
        <v>31</v>
      </c>
      <c r="CC30" s="74" t="s">
        <v>31</v>
      </c>
      <c r="CD30" s="74" t="s">
        <v>31</v>
      </c>
      <c r="CE30" s="74" t="s">
        <v>31</v>
      </c>
      <c r="CF30" s="74" t="s">
        <v>31</v>
      </c>
      <c r="CG30" s="74" t="s">
        <v>31</v>
      </c>
      <c r="CH30" s="74" t="s">
        <v>31</v>
      </c>
      <c r="CI30" s="74" t="s">
        <v>31</v>
      </c>
      <c r="CJ30" s="74" t="s">
        <v>31</v>
      </c>
      <c r="CK30" s="74" t="s">
        <v>31</v>
      </c>
      <c r="CL30" s="74" t="s">
        <v>31</v>
      </c>
      <c r="CM30" s="74" t="s">
        <v>31</v>
      </c>
      <c r="CN30" s="74" t="s">
        <v>31</v>
      </c>
      <c r="CO30" s="74" t="s">
        <v>31</v>
      </c>
      <c r="CP30" s="74" t="s">
        <v>31</v>
      </c>
      <c r="CQ30" s="74" t="s">
        <v>31</v>
      </c>
      <c r="CR30" s="74" t="s">
        <v>31</v>
      </c>
      <c r="CS30" s="74" t="s">
        <v>31</v>
      </c>
      <c r="CT30" s="74" t="s">
        <v>31</v>
      </c>
      <c r="CU30" s="74" t="s">
        <v>31</v>
      </c>
      <c r="CV30" s="74" t="s">
        <v>31</v>
      </c>
      <c r="CW30" s="74" t="s">
        <v>31</v>
      </c>
      <c r="CX30" s="74" t="s">
        <v>31</v>
      </c>
      <c r="CY30" s="74" t="s">
        <v>31</v>
      </c>
      <c r="CZ30" s="74" t="s">
        <v>31</v>
      </c>
    </row>
    <row r="31" spans="1:104" ht="15" customHeight="1">
      <c r="A31" s="227" t="s">
        <v>33</v>
      </c>
      <c r="B31" s="228"/>
      <c r="C31" s="6" t="s">
        <v>42</v>
      </c>
      <c r="D31" s="76"/>
      <c r="E31" s="74" t="s">
        <v>30</v>
      </c>
      <c r="F31" s="74" t="s">
        <v>30</v>
      </c>
      <c r="G31" s="74" t="s">
        <v>30</v>
      </c>
      <c r="H31" s="74" t="s">
        <v>30</v>
      </c>
      <c r="I31" s="74" t="s">
        <v>30</v>
      </c>
      <c r="J31" s="74" t="s">
        <v>30</v>
      </c>
      <c r="K31" s="74" t="s">
        <v>30</v>
      </c>
      <c r="L31" s="74" t="s">
        <v>30</v>
      </c>
      <c r="M31" s="74" t="s">
        <v>30</v>
      </c>
      <c r="N31" s="74" t="s">
        <v>30</v>
      </c>
      <c r="O31" s="74" t="s">
        <v>30</v>
      </c>
      <c r="P31" s="74" t="s">
        <v>30</v>
      </c>
      <c r="Q31" s="74" t="s">
        <v>30</v>
      </c>
      <c r="R31" s="74" t="s">
        <v>30</v>
      </c>
      <c r="S31" s="74" t="s">
        <v>30</v>
      </c>
      <c r="T31" s="74" t="s">
        <v>30</v>
      </c>
      <c r="U31" s="74" t="s">
        <v>30</v>
      </c>
      <c r="V31" s="74" t="s">
        <v>30</v>
      </c>
      <c r="W31" s="74" t="s">
        <v>30</v>
      </c>
      <c r="X31" s="74" t="s">
        <v>30</v>
      </c>
      <c r="Y31" s="74" t="s">
        <v>30</v>
      </c>
      <c r="Z31" s="74" t="s">
        <v>30</v>
      </c>
      <c r="AA31" s="74" t="s">
        <v>30</v>
      </c>
      <c r="AB31" s="74" t="s">
        <v>30</v>
      </c>
      <c r="AC31" s="74" t="s">
        <v>30</v>
      </c>
      <c r="AD31" s="74" t="s">
        <v>30</v>
      </c>
      <c r="AE31" s="74" t="s">
        <v>30</v>
      </c>
      <c r="AF31" s="74" t="s">
        <v>30</v>
      </c>
      <c r="AG31" s="74" t="s">
        <v>30</v>
      </c>
      <c r="AH31" s="74" t="s">
        <v>30</v>
      </c>
      <c r="AI31" s="74" t="s">
        <v>30</v>
      </c>
      <c r="AJ31" s="74" t="s">
        <v>30</v>
      </c>
      <c r="AK31" s="74" t="s">
        <v>30</v>
      </c>
      <c r="AL31" s="74" t="s">
        <v>30</v>
      </c>
      <c r="AM31" s="74" t="s">
        <v>30</v>
      </c>
      <c r="AN31" s="74" t="s">
        <v>30</v>
      </c>
      <c r="AO31" s="74" t="s">
        <v>30</v>
      </c>
      <c r="AP31" s="74" t="s">
        <v>30</v>
      </c>
      <c r="AQ31" s="74" t="s">
        <v>30</v>
      </c>
      <c r="AR31" s="74" t="s">
        <v>30</v>
      </c>
      <c r="AS31" s="74" t="s">
        <v>30</v>
      </c>
      <c r="AT31" s="74" t="s">
        <v>30</v>
      </c>
      <c r="AU31" s="74" t="s">
        <v>30</v>
      </c>
      <c r="AV31" s="74" t="s">
        <v>30</v>
      </c>
      <c r="AW31" s="74" t="s">
        <v>30</v>
      </c>
      <c r="AX31" s="74" t="s">
        <v>30</v>
      </c>
      <c r="AY31" s="74" t="s">
        <v>30</v>
      </c>
      <c r="AZ31" s="74" t="s">
        <v>30</v>
      </c>
      <c r="BA31" s="74" t="s">
        <v>30</v>
      </c>
      <c r="BB31" s="74" t="s">
        <v>30</v>
      </c>
      <c r="BC31" s="74" t="s">
        <v>30</v>
      </c>
      <c r="BD31" s="74" t="s">
        <v>30</v>
      </c>
      <c r="BE31" s="74" t="s">
        <v>30</v>
      </c>
      <c r="BF31" s="74" t="s">
        <v>30</v>
      </c>
      <c r="BG31" s="74" t="s">
        <v>30</v>
      </c>
      <c r="BH31" s="74" t="s">
        <v>30</v>
      </c>
      <c r="BI31" s="74" t="s">
        <v>30</v>
      </c>
      <c r="BJ31" s="74" t="s">
        <v>30</v>
      </c>
      <c r="BK31" s="74" t="s">
        <v>30</v>
      </c>
      <c r="BL31" s="74" t="s">
        <v>30</v>
      </c>
      <c r="BM31" s="74" t="s">
        <v>30</v>
      </c>
      <c r="BN31" s="74" t="s">
        <v>30</v>
      </c>
      <c r="BO31" s="74" t="s">
        <v>30</v>
      </c>
      <c r="BP31" s="74" t="s">
        <v>30</v>
      </c>
      <c r="BQ31" s="74" t="s">
        <v>30</v>
      </c>
      <c r="BR31" s="74" t="s">
        <v>30</v>
      </c>
      <c r="BS31" s="74" t="s">
        <v>30</v>
      </c>
      <c r="BT31" s="74" t="s">
        <v>30</v>
      </c>
      <c r="BU31" s="74" t="s">
        <v>30</v>
      </c>
      <c r="BV31" s="74" t="s">
        <v>30</v>
      </c>
      <c r="BW31" s="74" t="s">
        <v>30</v>
      </c>
      <c r="BX31" s="74" t="s">
        <v>30</v>
      </c>
      <c r="BY31" s="74" t="s">
        <v>30</v>
      </c>
      <c r="BZ31" s="74" t="s">
        <v>30</v>
      </c>
      <c r="CA31" s="74" t="s">
        <v>30</v>
      </c>
      <c r="CB31" s="74" t="s">
        <v>30</v>
      </c>
      <c r="CC31" s="74" t="s">
        <v>30</v>
      </c>
      <c r="CD31" s="74" t="s">
        <v>30</v>
      </c>
      <c r="CE31" s="74" t="s">
        <v>30</v>
      </c>
      <c r="CF31" s="74" t="s">
        <v>30</v>
      </c>
      <c r="CG31" s="74" t="s">
        <v>30</v>
      </c>
      <c r="CH31" s="74" t="s">
        <v>30</v>
      </c>
      <c r="CI31" s="74" t="s">
        <v>30</v>
      </c>
      <c r="CJ31" s="74" t="s">
        <v>30</v>
      </c>
      <c r="CK31" s="74" t="s">
        <v>30</v>
      </c>
      <c r="CL31" s="74" t="s">
        <v>30</v>
      </c>
      <c r="CM31" s="74" t="s">
        <v>30</v>
      </c>
      <c r="CN31" s="74" t="s">
        <v>30</v>
      </c>
      <c r="CO31" s="74" t="s">
        <v>30</v>
      </c>
      <c r="CP31" s="74" t="s">
        <v>30</v>
      </c>
      <c r="CQ31" s="74" t="s">
        <v>30</v>
      </c>
      <c r="CR31" s="74" t="s">
        <v>30</v>
      </c>
      <c r="CS31" s="74" t="s">
        <v>30</v>
      </c>
      <c r="CT31" s="74" t="s">
        <v>30</v>
      </c>
      <c r="CU31" s="74" t="s">
        <v>30</v>
      </c>
      <c r="CV31" s="74" t="s">
        <v>30</v>
      </c>
      <c r="CW31" s="74" t="s">
        <v>30</v>
      </c>
      <c r="CX31" s="74" t="s">
        <v>30</v>
      </c>
      <c r="CY31" s="74" t="s">
        <v>30</v>
      </c>
      <c r="CZ31" s="74" t="s">
        <v>30</v>
      </c>
    </row>
    <row r="33" spans="1:1">
      <c r="A33" s="89"/>
    </row>
    <row r="34" spans="1:1">
      <c r="A34" s="26"/>
    </row>
    <row r="35" spans="1:1">
      <c r="A35" s="26"/>
    </row>
  </sheetData>
  <mergeCells count="3">
    <mergeCell ref="A29:B29"/>
    <mergeCell ref="A30:B30"/>
    <mergeCell ref="A31:B31"/>
  </mergeCells>
  <conditionalFormatting sqref="E7:CZ24">
    <cfRule type="cellIs" dxfId="11" priority="1" stopIfTrue="1" operator="lessThan">
      <formula>#REF!</formula>
    </cfRule>
    <cfRule type="cellIs" dxfId="10" priority="3" operator="lessThan">
      <formula>#REF!</formula>
    </cfRule>
  </conditionalFormatting>
  <pageMargins left="0.7" right="0.7" top="0.75" bottom="0.75" header="0.3" footer="0.3"/>
  <pageSetup paperSize="9" orientation="portrait" r:id="rId1"/>
  <ignoredErrors>
    <ignoredError sqref="E6" numberStoredAsText="1"/>
  </ignoredError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65402-E257-4C7F-804B-74BC7091D85A}">
  <dimension ref="A1:BU35"/>
  <sheetViews>
    <sheetView showGridLines="0" workbookViewId="0">
      <pane xSplit="4" ySplit="6" topLeftCell="E7" activePane="bottomRight" state="frozen"/>
      <selection pane="bottomRight" activeCell="E7" sqref="E7"/>
      <selection pane="bottomLeft" activeCell="E1" sqref="E1:MB1048576"/>
      <selection pane="topRight" activeCell="E1" sqref="E1:MB1048576"/>
    </sheetView>
  </sheetViews>
  <sheetFormatPr defaultRowHeight="15"/>
  <cols>
    <col min="1" max="4" width="11.7109375" style="1" customWidth="1"/>
    <col min="5" max="5" width="10.5703125" style="3" customWidth="1"/>
    <col min="6" max="340" width="10.5703125" customWidth="1"/>
  </cols>
  <sheetData>
    <row r="1" spans="1:73" ht="15" customHeight="1"/>
    <row r="2" spans="1:73" ht="15" customHeight="1">
      <c r="A2" s="9"/>
      <c r="B2" s="7"/>
      <c r="C2" s="7"/>
      <c r="D2" s="7"/>
      <c r="E2" s="7"/>
    </row>
    <row r="3" spans="1:73" ht="20.45" customHeight="1">
      <c r="A3" s="9" t="str">
        <f>Voorblad!A5</f>
        <v>Team Freight Forwarding Logistics</v>
      </c>
      <c r="B3" s="8"/>
      <c r="C3" s="8"/>
      <c r="D3" s="8"/>
      <c r="E3" s="48"/>
    </row>
    <row r="4" spans="1:73" s="51" customFormat="1" ht="15.75">
      <c r="A4" s="62" t="s">
        <v>213</v>
      </c>
      <c r="B4" s="49"/>
      <c r="C4" s="50"/>
      <c r="D4" s="50"/>
      <c r="E4" s="50"/>
    </row>
    <row r="5" spans="1:73" ht="15" customHeight="1">
      <c r="A5" s="7"/>
      <c r="B5" s="7"/>
      <c r="C5" s="7"/>
      <c r="D5" s="7"/>
      <c r="E5" s="26"/>
    </row>
    <row r="6" spans="1:73" ht="15" customHeight="1">
      <c r="A6" s="63" t="s">
        <v>20</v>
      </c>
      <c r="B6" s="63" t="s">
        <v>21</v>
      </c>
      <c r="C6" s="64" t="s">
        <v>22</v>
      </c>
      <c r="D6" s="64" t="s">
        <v>23</v>
      </c>
      <c r="E6" s="2">
        <v>10</v>
      </c>
      <c r="F6" s="2">
        <v>11</v>
      </c>
      <c r="G6" s="2">
        <v>12</v>
      </c>
      <c r="H6" s="2">
        <v>13</v>
      </c>
      <c r="I6" s="2">
        <v>14</v>
      </c>
      <c r="J6" s="2">
        <v>15</v>
      </c>
      <c r="K6" s="2">
        <v>16</v>
      </c>
      <c r="L6" s="2">
        <v>17</v>
      </c>
      <c r="M6" s="2">
        <v>18</v>
      </c>
      <c r="N6" s="2">
        <v>19</v>
      </c>
      <c r="O6" s="2">
        <v>20</v>
      </c>
      <c r="P6" s="2">
        <v>21</v>
      </c>
      <c r="Q6" s="2">
        <v>22</v>
      </c>
      <c r="R6" s="2">
        <v>23</v>
      </c>
      <c r="S6" s="2">
        <v>24</v>
      </c>
      <c r="T6" s="2">
        <v>25</v>
      </c>
      <c r="U6" s="2">
        <v>26</v>
      </c>
      <c r="V6" s="2">
        <v>27</v>
      </c>
      <c r="W6" s="2">
        <v>28</v>
      </c>
      <c r="X6" s="2">
        <v>29</v>
      </c>
      <c r="Y6" s="2">
        <v>30</v>
      </c>
      <c r="Z6" s="2">
        <v>31</v>
      </c>
      <c r="AA6" s="2">
        <v>32</v>
      </c>
      <c r="AB6" s="2">
        <v>33</v>
      </c>
      <c r="AC6" s="2">
        <v>34</v>
      </c>
      <c r="AD6" s="2">
        <v>35</v>
      </c>
      <c r="AE6" s="2">
        <v>36</v>
      </c>
      <c r="AF6" s="2">
        <v>37</v>
      </c>
      <c r="AG6" s="2">
        <v>38</v>
      </c>
      <c r="AH6" s="2">
        <v>40</v>
      </c>
      <c r="AI6" s="2">
        <v>41</v>
      </c>
      <c r="AJ6" s="2">
        <v>42</v>
      </c>
      <c r="AK6" s="2">
        <v>43</v>
      </c>
      <c r="AL6" s="2">
        <v>44</v>
      </c>
      <c r="AM6" s="2">
        <v>45</v>
      </c>
      <c r="AN6" s="2">
        <v>46</v>
      </c>
      <c r="AO6" s="2">
        <v>47</v>
      </c>
      <c r="AP6" s="2">
        <v>48</v>
      </c>
      <c r="AQ6" s="2">
        <v>49</v>
      </c>
      <c r="AR6" s="2">
        <v>50</v>
      </c>
      <c r="AS6" s="2">
        <v>51</v>
      </c>
      <c r="AT6" s="2">
        <v>52</v>
      </c>
      <c r="AU6" s="2">
        <v>53</v>
      </c>
      <c r="AV6" s="2">
        <v>54</v>
      </c>
      <c r="AW6" s="2">
        <v>60</v>
      </c>
      <c r="AX6" s="2">
        <v>61</v>
      </c>
      <c r="AY6" s="2">
        <v>62</v>
      </c>
      <c r="AZ6" s="2">
        <v>63</v>
      </c>
      <c r="BA6" s="2">
        <v>64</v>
      </c>
      <c r="BB6" s="2">
        <v>70</v>
      </c>
      <c r="BC6" s="2">
        <v>71</v>
      </c>
      <c r="BD6" s="2">
        <v>72</v>
      </c>
      <c r="BE6" s="2">
        <v>73</v>
      </c>
      <c r="BF6" s="2">
        <v>74</v>
      </c>
      <c r="BG6" s="2">
        <v>75</v>
      </c>
      <c r="BH6" s="2">
        <v>76</v>
      </c>
      <c r="BI6" s="2">
        <v>77</v>
      </c>
      <c r="BJ6" s="2">
        <v>78</v>
      </c>
      <c r="BK6" s="2">
        <v>79</v>
      </c>
      <c r="BL6" s="2">
        <v>80</v>
      </c>
      <c r="BM6" s="2">
        <v>81</v>
      </c>
      <c r="BN6" s="2">
        <v>82</v>
      </c>
      <c r="BO6" s="2">
        <v>83</v>
      </c>
      <c r="BP6" s="2">
        <v>84</v>
      </c>
      <c r="BQ6" s="2">
        <v>85</v>
      </c>
      <c r="BR6" s="2">
        <v>86</v>
      </c>
      <c r="BS6" s="2">
        <v>87</v>
      </c>
      <c r="BT6" s="2">
        <v>88</v>
      </c>
      <c r="BU6" s="2">
        <v>89</v>
      </c>
    </row>
    <row r="7" spans="1:73" ht="15" customHeight="1">
      <c r="A7" s="64">
        <v>300</v>
      </c>
      <c r="B7" s="64">
        <v>0.2</v>
      </c>
      <c r="C7" s="64">
        <v>0.5</v>
      </c>
      <c r="D7" s="64"/>
      <c r="E7" s="41">
        <v>152</v>
      </c>
      <c r="F7" s="41">
        <v>152</v>
      </c>
      <c r="G7" s="41">
        <v>152</v>
      </c>
      <c r="H7" s="41">
        <v>152</v>
      </c>
      <c r="I7" s="41">
        <v>152</v>
      </c>
      <c r="J7" s="41">
        <v>152</v>
      </c>
      <c r="K7" s="41">
        <v>152</v>
      </c>
      <c r="L7" s="41">
        <v>152</v>
      </c>
      <c r="M7" s="41">
        <v>152</v>
      </c>
      <c r="N7" s="41">
        <v>152</v>
      </c>
      <c r="O7" s="41">
        <v>152</v>
      </c>
      <c r="P7" s="41">
        <v>152</v>
      </c>
      <c r="Q7" s="41">
        <v>152</v>
      </c>
      <c r="R7" s="41">
        <v>152</v>
      </c>
      <c r="S7" s="41">
        <v>152</v>
      </c>
      <c r="T7" s="41">
        <v>152</v>
      </c>
      <c r="U7" s="41">
        <v>152</v>
      </c>
      <c r="V7" s="41">
        <v>152</v>
      </c>
      <c r="W7" s="41">
        <v>152</v>
      </c>
      <c r="X7" s="41">
        <v>152</v>
      </c>
      <c r="Y7" s="41">
        <v>144</v>
      </c>
      <c r="Z7" s="41">
        <v>144</v>
      </c>
      <c r="AA7" s="41">
        <v>144</v>
      </c>
      <c r="AB7" s="41">
        <v>144</v>
      </c>
      <c r="AC7" s="41">
        <v>144</v>
      </c>
      <c r="AD7" s="41">
        <v>144</v>
      </c>
      <c r="AE7" s="41">
        <v>144</v>
      </c>
      <c r="AF7" s="41">
        <v>144</v>
      </c>
      <c r="AG7" s="41">
        <v>144</v>
      </c>
      <c r="AH7" s="41">
        <v>144</v>
      </c>
      <c r="AI7" s="41">
        <v>144</v>
      </c>
      <c r="AJ7" s="41">
        <v>144</v>
      </c>
      <c r="AK7" s="41">
        <v>144</v>
      </c>
      <c r="AL7" s="41">
        <v>144</v>
      </c>
      <c r="AM7" s="41">
        <v>144</v>
      </c>
      <c r="AN7" s="41">
        <v>144</v>
      </c>
      <c r="AO7" s="41">
        <v>144</v>
      </c>
      <c r="AP7" s="41">
        <v>144</v>
      </c>
      <c r="AQ7" s="41">
        <v>144</v>
      </c>
      <c r="AR7" s="41">
        <v>149</v>
      </c>
      <c r="AS7" s="41">
        <v>149</v>
      </c>
      <c r="AT7" s="41">
        <v>149</v>
      </c>
      <c r="AU7" s="41">
        <v>144</v>
      </c>
      <c r="AV7" s="41">
        <v>144</v>
      </c>
      <c r="AW7" s="41">
        <v>144</v>
      </c>
      <c r="AX7" s="41">
        <v>144</v>
      </c>
      <c r="AY7" s="41">
        <v>144</v>
      </c>
      <c r="AZ7" s="41">
        <v>144</v>
      </c>
      <c r="BA7" s="41">
        <v>144</v>
      </c>
      <c r="BB7" s="41">
        <v>159</v>
      </c>
      <c r="BC7" s="41">
        <v>159</v>
      </c>
      <c r="BD7" s="41">
        <v>159</v>
      </c>
      <c r="BE7" s="41">
        <v>159</v>
      </c>
      <c r="BF7" s="41">
        <v>159</v>
      </c>
      <c r="BG7" s="41">
        <v>159</v>
      </c>
      <c r="BH7" s="41">
        <v>159</v>
      </c>
      <c r="BI7" s="41">
        <v>159</v>
      </c>
      <c r="BJ7" s="41">
        <v>159</v>
      </c>
      <c r="BK7" s="41">
        <v>159</v>
      </c>
      <c r="BL7" s="41">
        <v>159</v>
      </c>
      <c r="BM7" s="41">
        <v>159</v>
      </c>
      <c r="BN7" s="41">
        <v>159</v>
      </c>
      <c r="BO7" s="41">
        <v>159</v>
      </c>
      <c r="BP7" s="41">
        <v>159</v>
      </c>
      <c r="BQ7" s="41">
        <v>159</v>
      </c>
      <c r="BR7" s="41">
        <v>159</v>
      </c>
      <c r="BS7" s="41">
        <v>159</v>
      </c>
      <c r="BT7" s="41">
        <v>159</v>
      </c>
      <c r="BU7" s="41">
        <v>159</v>
      </c>
    </row>
    <row r="8" spans="1:73" ht="15" customHeight="1">
      <c r="A8" s="64">
        <v>700</v>
      </c>
      <c r="B8" s="64">
        <v>0.4</v>
      </c>
      <c r="C8" s="64">
        <v>1</v>
      </c>
      <c r="D8" s="64"/>
      <c r="E8" s="41">
        <v>205</v>
      </c>
      <c r="F8" s="41">
        <v>205</v>
      </c>
      <c r="G8" s="41">
        <v>205</v>
      </c>
      <c r="H8" s="41">
        <v>205</v>
      </c>
      <c r="I8" s="41">
        <v>205</v>
      </c>
      <c r="J8" s="41">
        <v>205</v>
      </c>
      <c r="K8" s="41">
        <v>205</v>
      </c>
      <c r="L8" s="41">
        <v>205</v>
      </c>
      <c r="M8" s="41">
        <v>205</v>
      </c>
      <c r="N8" s="41">
        <v>205</v>
      </c>
      <c r="O8" s="41">
        <v>205</v>
      </c>
      <c r="P8" s="41">
        <v>205</v>
      </c>
      <c r="Q8" s="41">
        <v>205</v>
      </c>
      <c r="R8" s="41">
        <v>205</v>
      </c>
      <c r="S8" s="41">
        <v>205</v>
      </c>
      <c r="T8" s="41">
        <v>205</v>
      </c>
      <c r="U8" s="41">
        <v>205</v>
      </c>
      <c r="V8" s="41">
        <v>205</v>
      </c>
      <c r="W8" s="41">
        <v>205</v>
      </c>
      <c r="X8" s="41">
        <v>205</v>
      </c>
      <c r="Y8" s="41">
        <v>195</v>
      </c>
      <c r="Z8" s="41">
        <v>195</v>
      </c>
      <c r="AA8" s="41">
        <v>195</v>
      </c>
      <c r="AB8" s="41">
        <v>195</v>
      </c>
      <c r="AC8" s="41">
        <v>195</v>
      </c>
      <c r="AD8" s="41">
        <v>195</v>
      </c>
      <c r="AE8" s="41">
        <v>195</v>
      </c>
      <c r="AF8" s="41">
        <v>195</v>
      </c>
      <c r="AG8" s="41">
        <v>195</v>
      </c>
      <c r="AH8" s="41">
        <v>195</v>
      </c>
      <c r="AI8" s="41">
        <v>195</v>
      </c>
      <c r="AJ8" s="41">
        <v>195</v>
      </c>
      <c r="AK8" s="41">
        <v>195</v>
      </c>
      <c r="AL8" s="41">
        <v>195</v>
      </c>
      <c r="AM8" s="41">
        <v>195</v>
      </c>
      <c r="AN8" s="41">
        <v>195</v>
      </c>
      <c r="AO8" s="41">
        <v>195</v>
      </c>
      <c r="AP8" s="41">
        <v>195</v>
      </c>
      <c r="AQ8" s="41">
        <v>195</v>
      </c>
      <c r="AR8" s="41">
        <v>201</v>
      </c>
      <c r="AS8" s="41">
        <v>201</v>
      </c>
      <c r="AT8" s="41">
        <v>201</v>
      </c>
      <c r="AU8" s="41">
        <v>195</v>
      </c>
      <c r="AV8" s="41">
        <v>195</v>
      </c>
      <c r="AW8" s="41">
        <v>195</v>
      </c>
      <c r="AX8" s="41">
        <v>195</v>
      </c>
      <c r="AY8" s="41">
        <v>195</v>
      </c>
      <c r="AZ8" s="41">
        <v>195</v>
      </c>
      <c r="BA8" s="41">
        <v>195</v>
      </c>
      <c r="BB8" s="41">
        <v>213</v>
      </c>
      <c r="BC8" s="41">
        <v>213</v>
      </c>
      <c r="BD8" s="41">
        <v>213</v>
      </c>
      <c r="BE8" s="41">
        <v>213</v>
      </c>
      <c r="BF8" s="41">
        <v>213</v>
      </c>
      <c r="BG8" s="41">
        <v>213</v>
      </c>
      <c r="BH8" s="41">
        <v>213</v>
      </c>
      <c r="BI8" s="41">
        <v>213</v>
      </c>
      <c r="BJ8" s="41">
        <v>213</v>
      </c>
      <c r="BK8" s="41">
        <v>213</v>
      </c>
      <c r="BL8" s="41">
        <v>213</v>
      </c>
      <c r="BM8" s="41">
        <v>213</v>
      </c>
      <c r="BN8" s="41">
        <v>213</v>
      </c>
      <c r="BO8" s="41">
        <v>213</v>
      </c>
      <c r="BP8" s="41">
        <v>213</v>
      </c>
      <c r="BQ8" s="41">
        <v>213</v>
      </c>
      <c r="BR8" s="41">
        <v>213</v>
      </c>
      <c r="BS8" s="41">
        <v>213</v>
      </c>
      <c r="BT8" s="41">
        <v>213</v>
      </c>
      <c r="BU8" s="41">
        <v>213</v>
      </c>
    </row>
    <row r="9" spans="1:73" ht="15" customHeight="1">
      <c r="A9" s="64">
        <v>875</v>
      </c>
      <c r="B9" s="64">
        <v>0.5</v>
      </c>
      <c r="C9" s="64"/>
      <c r="D9" s="64">
        <v>1</v>
      </c>
      <c r="E9" s="41">
        <v>222</v>
      </c>
      <c r="F9" s="41">
        <v>222</v>
      </c>
      <c r="G9" s="41">
        <v>222</v>
      </c>
      <c r="H9" s="41">
        <v>222</v>
      </c>
      <c r="I9" s="41">
        <v>222</v>
      </c>
      <c r="J9" s="41">
        <v>222</v>
      </c>
      <c r="K9" s="41">
        <v>222</v>
      </c>
      <c r="L9" s="41">
        <v>222</v>
      </c>
      <c r="M9" s="41">
        <v>222</v>
      </c>
      <c r="N9" s="41">
        <v>222</v>
      </c>
      <c r="O9" s="41">
        <v>222</v>
      </c>
      <c r="P9" s="41">
        <v>222</v>
      </c>
      <c r="Q9" s="41">
        <v>222</v>
      </c>
      <c r="R9" s="41">
        <v>222</v>
      </c>
      <c r="S9" s="41">
        <v>222</v>
      </c>
      <c r="T9" s="41">
        <v>222</v>
      </c>
      <c r="U9" s="41">
        <v>222</v>
      </c>
      <c r="V9" s="41">
        <v>222</v>
      </c>
      <c r="W9" s="41">
        <v>222</v>
      </c>
      <c r="X9" s="41">
        <v>222</v>
      </c>
      <c r="Y9" s="41">
        <v>211</v>
      </c>
      <c r="Z9" s="41">
        <v>211</v>
      </c>
      <c r="AA9" s="41">
        <v>211</v>
      </c>
      <c r="AB9" s="41">
        <v>211</v>
      </c>
      <c r="AC9" s="41">
        <v>211</v>
      </c>
      <c r="AD9" s="41">
        <v>211</v>
      </c>
      <c r="AE9" s="41">
        <v>211</v>
      </c>
      <c r="AF9" s="41">
        <v>211</v>
      </c>
      <c r="AG9" s="41">
        <v>211</v>
      </c>
      <c r="AH9" s="41">
        <v>211</v>
      </c>
      <c r="AI9" s="41">
        <v>211</v>
      </c>
      <c r="AJ9" s="41">
        <v>211</v>
      </c>
      <c r="AK9" s="41">
        <v>211</v>
      </c>
      <c r="AL9" s="41">
        <v>211</v>
      </c>
      <c r="AM9" s="41">
        <v>211</v>
      </c>
      <c r="AN9" s="41">
        <v>211</v>
      </c>
      <c r="AO9" s="41">
        <v>211</v>
      </c>
      <c r="AP9" s="41">
        <v>211</v>
      </c>
      <c r="AQ9" s="41">
        <v>211</v>
      </c>
      <c r="AR9" s="41">
        <v>218</v>
      </c>
      <c r="AS9" s="41">
        <v>218</v>
      </c>
      <c r="AT9" s="41">
        <v>218</v>
      </c>
      <c r="AU9" s="41">
        <v>211</v>
      </c>
      <c r="AV9" s="41">
        <v>211</v>
      </c>
      <c r="AW9" s="41">
        <v>211</v>
      </c>
      <c r="AX9" s="41">
        <v>211</v>
      </c>
      <c r="AY9" s="41">
        <v>211</v>
      </c>
      <c r="AZ9" s="41">
        <v>211</v>
      </c>
      <c r="BA9" s="41">
        <v>211</v>
      </c>
      <c r="BB9" s="41">
        <v>229</v>
      </c>
      <c r="BC9" s="41">
        <v>229</v>
      </c>
      <c r="BD9" s="41">
        <v>229</v>
      </c>
      <c r="BE9" s="41">
        <v>229</v>
      </c>
      <c r="BF9" s="41">
        <v>229</v>
      </c>
      <c r="BG9" s="41">
        <v>229</v>
      </c>
      <c r="BH9" s="41">
        <v>229</v>
      </c>
      <c r="BI9" s="41">
        <v>229</v>
      </c>
      <c r="BJ9" s="41">
        <v>229</v>
      </c>
      <c r="BK9" s="41">
        <v>229</v>
      </c>
      <c r="BL9" s="41">
        <v>229</v>
      </c>
      <c r="BM9" s="41">
        <v>229</v>
      </c>
      <c r="BN9" s="41">
        <v>229</v>
      </c>
      <c r="BO9" s="41">
        <v>229</v>
      </c>
      <c r="BP9" s="41">
        <v>229</v>
      </c>
      <c r="BQ9" s="41">
        <v>229</v>
      </c>
      <c r="BR9" s="41">
        <v>229</v>
      </c>
      <c r="BS9" s="41">
        <v>229</v>
      </c>
      <c r="BT9" s="41">
        <v>229</v>
      </c>
      <c r="BU9" s="41">
        <v>229</v>
      </c>
    </row>
    <row r="10" spans="1:73" ht="15" customHeight="1">
      <c r="A10" s="64">
        <v>1050</v>
      </c>
      <c r="B10" s="64">
        <v>0.6</v>
      </c>
      <c r="C10" s="64"/>
      <c r="D10" s="64"/>
      <c r="E10" s="41">
        <v>248</v>
      </c>
      <c r="F10" s="41">
        <v>248</v>
      </c>
      <c r="G10" s="41">
        <v>248</v>
      </c>
      <c r="H10" s="41">
        <v>248</v>
      </c>
      <c r="I10" s="41">
        <v>248</v>
      </c>
      <c r="J10" s="41">
        <v>248</v>
      </c>
      <c r="K10" s="41">
        <v>248</v>
      </c>
      <c r="L10" s="41">
        <v>248</v>
      </c>
      <c r="M10" s="41">
        <v>248</v>
      </c>
      <c r="N10" s="41">
        <v>248</v>
      </c>
      <c r="O10" s="41">
        <v>248</v>
      </c>
      <c r="P10" s="41">
        <v>248</v>
      </c>
      <c r="Q10" s="41">
        <v>248</v>
      </c>
      <c r="R10" s="41">
        <v>248</v>
      </c>
      <c r="S10" s="41">
        <v>248</v>
      </c>
      <c r="T10" s="41">
        <v>248</v>
      </c>
      <c r="U10" s="41">
        <v>248</v>
      </c>
      <c r="V10" s="41">
        <v>248</v>
      </c>
      <c r="W10" s="41">
        <v>248</v>
      </c>
      <c r="X10" s="41">
        <v>248</v>
      </c>
      <c r="Y10" s="41">
        <v>242</v>
      </c>
      <c r="Z10" s="41">
        <v>242</v>
      </c>
      <c r="AA10" s="41">
        <v>242</v>
      </c>
      <c r="AB10" s="41">
        <v>242</v>
      </c>
      <c r="AC10" s="41">
        <v>242</v>
      </c>
      <c r="AD10" s="41">
        <v>242</v>
      </c>
      <c r="AE10" s="41">
        <v>242</v>
      </c>
      <c r="AF10" s="41">
        <v>242</v>
      </c>
      <c r="AG10" s="41">
        <v>242</v>
      </c>
      <c r="AH10" s="41">
        <v>242</v>
      </c>
      <c r="AI10" s="41">
        <v>242</v>
      </c>
      <c r="AJ10" s="41">
        <v>242</v>
      </c>
      <c r="AK10" s="41">
        <v>242</v>
      </c>
      <c r="AL10" s="41">
        <v>242</v>
      </c>
      <c r="AM10" s="41">
        <v>242</v>
      </c>
      <c r="AN10" s="41">
        <v>242</v>
      </c>
      <c r="AO10" s="41">
        <v>242</v>
      </c>
      <c r="AP10" s="41">
        <v>242</v>
      </c>
      <c r="AQ10" s="41">
        <v>242</v>
      </c>
      <c r="AR10" s="41">
        <v>266</v>
      </c>
      <c r="AS10" s="41">
        <v>266</v>
      </c>
      <c r="AT10" s="41">
        <v>266</v>
      </c>
      <c r="AU10" s="41">
        <v>257</v>
      </c>
      <c r="AV10" s="41">
        <v>257</v>
      </c>
      <c r="AW10" s="41">
        <v>257</v>
      </c>
      <c r="AX10" s="41">
        <v>257</v>
      </c>
      <c r="AY10" s="41">
        <v>257</v>
      </c>
      <c r="AZ10" s="41">
        <v>257</v>
      </c>
      <c r="BA10" s="41">
        <v>257</v>
      </c>
      <c r="BB10" s="41">
        <v>283</v>
      </c>
      <c r="BC10" s="41">
        <v>283</v>
      </c>
      <c r="BD10" s="41">
        <v>283</v>
      </c>
      <c r="BE10" s="41">
        <v>283</v>
      </c>
      <c r="BF10" s="41">
        <v>283</v>
      </c>
      <c r="BG10" s="41">
        <v>283</v>
      </c>
      <c r="BH10" s="41">
        <v>283</v>
      </c>
      <c r="BI10" s="41">
        <v>283</v>
      </c>
      <c r="BJ10" s="41">
        <v>283</v>
      </c>
      <c r="BK10" s="41">
        <v>283</v>
      </c>
      <c r="BL10" s="41">
        <v>283</v>
      </c>
      <c r="BM10" s="41">
        <v>283</v>
      </c>
      <c r="BN10" s="41">
        <v>283</v>
      </c>
      <c r="BO10" s="41">
        <v>283</v>
      </c>
      <c r="BP10" s="41">
        <v>283</v>
      </c>
      <c r="BQ10" s="41">
        <v>283</v>
      </c>
      <c r="BR10" s="41">
        <v>283</v>
      </c>
      <c r="BS10" s="41">
        <v>283</v>
      </c>
      <c r="BT10" s="41">
        <v>283</v>
      </c>
      <c r="BU10" s="41">
        <v>283</v>
      </c>
    </row>
    <row r="11" spans="1:73" ht="15" customHeight="1">
      <c r="A11" s="64">
        <v>1400</v>
      </c>
      <c r="B11" s="64">
        <v>0.8</v>
      </c>
      <c r="C11" s="64">
        <v>2</v>
      </c>
      <c r="D11" s="64"/>
      <c r="E11" s="41">
        <v>303</v>
      </c>
      <c r="F11" s="41">
        <v>303</v>
      </c>
      <c r="G11" s="41">
        <v>303</v>
      </c>
      <c r="H11" s="41">
        <v>303</v>
      </c>
      <c r="I11" s="41">
        <v>303</v>
      </c>
      <c r="J11" s="41">
        <v>303</v>
      </c>
      <c r="K11" s="41">
        <v>303</v>
      </c>
      <c r="L11" s="41">
        <v>303</v>
      </c>
      <c r="M11" s="41">
        <v>303</v>
      </c>
      <c r="N11" s="41">
        <v>303</v>
      </c>
      <c r="O11" s="41">
        <v>303</v>
      </c>
      <c r="P11" s="41">
        <v>303</v>
      </c>
      <c r="Q11" s="41">
        <v>303</v>
      </c>
      <c r="R11" s="41">
        <v>303</v>
      </c>
      <c r="S11" s="41">
        <v>303</v>
      </c>
      <c r="T11" s="41">
        <v>303</v>
      </c>
      <c r="U11" s="41">
        <v>303</v>
      </c>
      <c r="V11" s="41">
        <v>303</v>
      </c>
      <c r="W11" s="41">
        <v>303</v>
      </c>
      <c r="X11" s="41">
        <v>303</v>
      </c>
      <c r="Y11" s="41">
        <v>303</v>
      </c>
      <c r="Z11" s="41">
        <v>303</v>
      </c>
      <c r="AA11" s="41">
        <v>303</v>
      </c>
      <c r="AB11" s="41">
        <v>303</v>
      </c>
      <c r="AC11" s="41">
        <v>303</v>
      </c>
      <c r="AD11" s="41">
        <v>303</v>
      </c>
      <c r="AE11" s="41">
        <v>303</v>
      </c>
      <c r="AF11" s="41">
        <v>303</v>
      </c>
      <c r="AG11" s="41">
        <v>303</v>
      </c>
      <c r="AH11" s="41">
        <v>303</v>
      </c>
      <c r="AI11" s="41">
        <v>303</v>
      </c>
      <c r="AJ11" s="41">
        <v>303</v>
      </c>
      <c r="AK11" s="41">
        <v>303</v>
      </c>
      <c r="AL11" s="41">
        <v>303</v>
      </c>
      <c r="AM11" s="41">
        <v>303</v>
      </c>
      <c r="AN11" s="41">
        <v>303</v>
      </c>
      <c r="AO11" s="41">
        <v>303</v>
      </c>
      <c r="AP11" s="41">
        <v>303</v>
      </c>
      <c r="AQ11" s="41">
        <v>303</v>
      </c>
      <c r="AR11" s="41">
        <v>361</v>
      </c>
      <c r="AS11" s="41">
        <v>361</v>
      </c>
      <c r="AT11" s="41">
        <v>361</v>
      </c>
      <c r="AU11" s="41">
        <v>347</v>
      </c>
      <c r="AV11" s="41">
        <v>347</v>
      </c>
      <c r="AW11" s="41">
        <v>347</v>
      </c>
      <c r="AX11" s="41">
        <v>347</v>
      </c>
      <c r="AY11" s="41">
        <v>347</v>
      </c>
      <c r="AZ11" s="41">
        <v>347</v>
      </c>
      <c r="BA11" s="41">
        <v>347</v>
      </c>
      <c r="BB11" s="41">
        <v>390</v>
      </c>
      <c r="BC11" s="41">
        <v>390</v>
      </c>
      <c r="BD11" s="41">
        <v>390</v>
      </c>
      <c r="BE11" s="41">
        <v>390</v>
      </c>
      <c r="BF11" s="41">
        <v>390</v>
      </c>
      <c r="BG11" s="41">
        <v>390</v>
      </c>
      <c r="BH11" s="41">
        <v>390</v>
      </c>
      <c r="BI11" s="41">
        <v>390</v>
      </c>
      <c r="BJ11" s="41">
        <v>390</v>
      </c>
      <c r="BK11" s="41">
        <v>390</v>
      </c>
      <c r="BL11" s="41">
        <v>390</v>
      </c>
      <c r="BM11" s="41">
        <v>390</v>
      </c>
      <c r="BN11" s="41">
        <v>390</v>
      </c>
      <c r="BO11" s="41">
        <v>390</v>
      </c>
      <c r="BP11" s="41">
        <v>390</v>
      </c>
      <c r="BQ11" s="41">
        <v>390</v>
      </c>
      <c r="BR11" s="41">
        <v>390</v>
      </c>
      <c r="BS11" s="41">
        <v>390</v>
      </c>
      <c r="BT11" s="41">
        <v>390</v>
      </c>
      <c r="BU11" s="41">
        <v>390</v>
      </c>
    </row>
    <row r="12" spans="1:73" ht="15" customHeight="1">
      <c r="A12" s="64">
        <v>1750</v>
      </c>
      <c r="B12" s="64">
        <v>1</v>
      </c>
      <c r="C12" s="64"/>
      <c r="D12" s="64">
        <v>2</v>
      </c>
      <c r="E12" s="41">
        <v>328</v>
      </c>
      <c r="F12" s="41">
        <v>328</v>
      </c>
      <c r="G12" s="41">
        <v>328</v>
      </c>
      <c r="H12" s="41">
        <v>328</v>
      </c>
      <c r="I12" s="41">
        <v>328</v>
      </c>
      <c r="J12" s="41">
        <v>328</v>
      </c>
      <c r="K12" s="41">
        <v>328</v>
      </c>
      <c r="L12" s="41">
        <v>328</v>
      </c>
      <c r="M12" s="41">
        <v>328</v>
      </c>
      <c r="N12" s="41">
        <v>328</v>
      </c>
      <c r="O12" s="41">
        <v>328</v>
      </c>
      <c r="P12" s="41">
        <v>328</v>
      </c>
      <c r="Q12" s="41">
        <v>328</v>
      </c>
      <c r="R12" s="41">
        <v>328</v>
      </c>
      <c r="S12" s="41">
        <v>328</v>
      </c>
      <c r="T12" s="41">
        <v>328</v>
      </c>
      <c r="U12" s="41">
        <v>328</v>
      </c>
      <c r="V12" s="41">
        <v>328</v>
      </c>
      <c r="W12" s="41">
        <v>328</v>
      </c>
      <c r="X12" s="41">
        <v>328</v>
      </c>
      <c r="Y12" s="41">
        <v>328</v>
      </c>
      <c r="Z12" s="41">
        <v>328</v>
      </c>
      <c r="AA12" s="41">
        <v>328</v>
      </c>
      <c r="AB12" s="41">
        <v>328</v>
      </c>
      <c r="AC12" s="41">
        <v>328</v>
      </c>
      <c r="AD12" s="41">
        <v>328</v>
      </c>
      <c r="AE12" s="41">
        <v>328</v>
      </c>
      <c r="AF12" s="41">
        <v>328</v>
      </c>
      <c r="AG12" s="41">
        <v>328</v>
      </c>
      <c r="AH12" s="41">
        <v>328</v>
      </c>
      <c r="AI12" s="41">
        <v>328</v>
      </c>
      <c r="AJ12" s="41">
        <v>328</v>
      </c>
      <c r="AK12" s="41">
        <v>328</v>
      </c>
      <c r="AL12" s="41">
        <v>328</v>
      </c>
      <c r="AM12" s="41">
        <v>328</v>
      </c>
      <c r="AN12" s="41">
        <v>328</v>
      </c>
      <c r="AO12" s="41">
        <v>328</v>
      </c>
      <c r="AP12" s="41">
        <v>328</v>
      </c>
      <c r="AQ12" s="41">
        <v>328</v>
      </c>
      <c r="AR12" s="41">
        <v>386</v>
      </c>
      <c r="AS12" s="41">
        <v>386</v>
      </c>
      <c r="AT12" s="41">
        <v>386</v>
      </c>
      <c r="AU12" s="41">
        <v>373</v>
      </c>
      <c r="AV12" s="41">
        <v>373</v>
      </c>
      <c r="AW12" s="41">
        <v>373</v>
      </c>
      <c r="AX12" s="41">
        <v>373</v>
      </c>
      <c r="AY12" s="41">
        <v>373</v>
      </c>
      <c r="AZ12" s="41">
        <v>373</v>
      </c>
      <c r="BA12" s="41">
        <v>373</v>
      </c>
      <c r="BB12" s="41">
        <v>414</v>
      </c>
      <c r="BC12" s="41">
        <v>414</v>
      </c>
      <c r="BD12" s="41">
        <v>414</v>
      </c>
      <c r="BE12" s="41">
        <v>414</v>
      </c>
      <c r="BF12" s="41">
        <v>414</v>
      </c>
      <c r="BG12" s="41">
        <v>414</v>
      </c>
      <c r="BH12" s="41">
        <v>414</v>
      </c>
      <c r="BI12" s="41">
        <v>414</v>
      </c>
      <c r="BJ12" s="41">
        <v>414</v>
      </c>
      <c r="BK12" s="41">
        <v>414</v>
      </c>
      <c r="BL12" s="41">
        <v>414</v>
      </c>
      <c r="BM12" s="41">
        <v>414</v>
      </c>
      <c r="BN12" s="41">
        <v>414</v>
      </c>
      <c r="BO12" s="41">
        <v>414</v>
      </c>
      <c r="BP12" s="41">
        <v>414</v>
      </c>
      <c r="BQ12" s="41">
        <v>414</v>
      </c>
      <c r="BR12" s="41">
        <v>414</v>
      </c>
      <c r="BS12" s="41">
        <v>414</v>
      </c>
      <c r="BT12" s="41">
        <v>414</v>
      </c>
      <c r="BU12" s="41">
        <v>414</v>
      </c>
    </row>
    <row r="13" spans="1:73" ht="15" customHeight="1">
      <c r="A13" s="64">
        <v>2100</v>
      </c>
      <c r="B13" s="64">
        <v>1.2</v>
      </c>
      <c r="C13" s="64">
        <v>3</v>
      </c>
      <c r="D13" s="64"/>
      <c r="E13" s="41">
        <v>353</v>
      </c>
      <c r="F13" s="41">
        <v>353</v>
      </c>
      <c r="G13" s="41">
        <v>353</v>
      </c>
      <c r="H13" s="41">
        <v>353</v>
      </c>
      <c r="I13" s="41">
        <v>353</v>
      </c>
      <c r="J13" s="41">
        <v>353</v>
      </c>
      <c r="K13" s="41">
        <v>353</v>
      </c>
      <c r="L13" s="41">
        <v>353</v>
      </c>
      <c r="M13" s="41">
        <v>353</v>
      </c>
      <c r="N13" s="41">
        <v>353</v>
      </c>
      <c r="O13" s="41">
        <v>353</v>
      </c>
      <c r="P13" s="41">
        <v>353</v>
      </c>
      <c r="Q13" s="41">
        <v>353</v>
      </c>
      <c r="R13" s="41">
        <v>353</v>
      </c>
      <c r="S13" s="41">
        <v>353</v>
      </c>
      <c r="T13" s="41">
        <v>353</v>
      </c>
      <c r="U13" s="41">
        <v>353</v>
      </c>
      <c r="V13" s="41">
        <v>353</v>
      </c>
      <c r="W13" s="41">
        <v>353</v>
      </c>
      <c r="X13" s="41">
        <v>353</v>
      </c>
      <c r="Y13" s="41">
        <v>353</v>
      </c>
      <c r="Z13" s="41">
        <v>353</v>
      </c>
      <c r="AA13" s="41">
        <v>353</v>
      </c>
      <c r="AB13" s="41">
        <v>353</v>
      </c>
      <c r="AC13" s="41">
        <v>353</v>
      </c>
      <c r="AD13" s="41">
        <v>353</v>
      </c>
      <c r="AE13" s="41">
        <v>353</v>
      </c>
      <c r="AF13" s="41">
        <v>353</v>
      </c>
      <c r="AG13" s="41">
        <v>353</v>
      </c>
      <c r="AH13" s="41">
        <v>353</v>
      </c>
      <c r="AI13" s="41">
        <v>353</v>
      </c>
      <c r="AJ13" s="41">
        <v>353</v>
      </c>
      <c r="AK13" s="41">
        <v>353</v>
      </c>
      <c r="AL13" s="41">
        <v>353</v>
      </c>
      <c r="AM13" s="41">
        <v>353</v>
      </c>
      <c r="AN13" s="41">
        <v>353</v>
      </c>
      <c r="AO13" s="41">
        <v>353</v>
      </c>
      <c r="AP13" s="41">
        <v>353</v>
      </c>
      <c r="AQ13" s="41">
        <v>353</v>
      </c>
      <c r="AR13" s="41">
        <v>517</v>
      </c>
      <c r="AS13" s="41">
        <v>517</v>
      </c>
      <c r="AT13" s="41">
        <v>517</v>
      </c>
      <c r="AU13" s="41">
        <v>496</v>
      </c>
      <c r="AV13" s="41">
        <v>496</v>
      </c>
      <c r="AW13" s="41">
        <v>496</v>
      </c>
      <c r="AX13" s="41">
        <v>496</v>
      </c>
      <c r="AY13" s="41">
        <v>496</v>
      </c>
      <c r="AZ13" s="41">
        <v>496</v>
      </c>
      <c r="BA13" s="41">
        <v>496</v>
      </c>
      <c r="BB13" s="41">
        <v>557</v>
      </c>
      <c r="BC13" s="41">
        <v>557</v>
      </c>
      <c r="BD13" s="41">
        <v>557</v>
      </c>
      <c r="BE13" s="41">
        <v>557</v>
      </c>
      <c r="BF13" s="41">
        <v>557</v>
      </c>
      <c r="BG13" s="41">
        <v>557</v>
      </c>
      <c r="BH13" s="41">
        <v>557</v>
      </c>
      <c r="BI13" s="41">
        <v>557</v>
      </c>
      <c r="BJ13" s="41">
        <v>557</v>
      </c>
      <c r="BK13" s="41">
        <v>557</v>
      </c>
      <c r="BL13" s="41">
        <v>557</v>
      </c>
      <c r="BM13" s="41">
        <v>557</v>
      </c>
      <c r="BN13" s="41">
        <v>557</v>
      </c>
      <c r="BO13" s="41">
        <v>557</v>
      </c>
      <c r="BP13" s="41">
        <v>557</v>
      </c>
      <c r="BQ13" s="41">
        <v>557</v>
      </c>
      <c r="BR13" s="41">
        <v>557</v>
      </c>
      <c r="BS13" s="41">
        <v>557</v>
      </c>
      <c r="BT13" s="41">
        <v>557</v>
      </c>
      <c r="BU13" s="41">
        <v>557</v>
      </c>
    </row>
    <row r="14" spans="1:73" ht="15" customHeight="1">
      <c r="A14" s="64">
        <v>2625</v>
      </c>
      <c r="B14" s="2">
        <v>1.5</v>
      </c>
      <c r="C14" s="82"/>
      <c r="D14" s="64">
        <v>3</v>
      </c>
      <c r="E14" s="41">
        <v>420</v>
      </c>
      <c r="F14" s="41">
        <v>420</v>
      </c>
      <c r="G14" s="41">
        <v>420</v>
      </c>
      <c r="H14" s="41">
        <v>420</v>
      </c>
      <c r="I14" s="41">
        <v>420</v>
      </c>
      <c r="J14" s="41">
        <v>420</v>
      </c>
      <c r="K14" s="41">
        <v>420</v>
      </c>
      <c r="L14" s="41">
        <v>420</v>
      </c>
      <c r="M14" s="41">
        <v>420</v>
      </c>
      <c r="N14" s="41">
        <v>420</v>
      </c>
      <c r="O14" s="41">
        <v>420</v>
      </c>
      <c r="P14" s="41">
        <v>420</v>
      </c>
      <c r="Q14" s="41">
        <v>420</v>
      </c>
      <c r="R14" s="41">
        <v>420</v>
      </c>
      <c r="S14" s="41">
        <v>420</v>
      </c>
      <c r="T14" s="41">
        <v>420</v>
      </c>
      <c r="U14" s="41">
        <v>420</v>
      </c>
      <c r="V14" s="41">
        <v>420</v>
      </c>
      <c r="W14" s="41">
        <v>420</v>
      </c>
      <c r="X14" s="41">
        <v>420</v>
      </c>
      <c r="Y14" s="41">
        <v>420</v>
      </c>
      <c r="Z14" s="41">
        <v>420</v>
      </c>
      <c r="AA14" s="41">
        <v>420</v>
      </c>
      <c r="AB14" s="41">
        <v>420</v>
      </c>
      <c r="AC14" s="41">
        <v>420</v>
      </c>
      <c r="AD14" s="41">
        <v>420</v>
      </c>
      <c r="AE14" s="41">
        <v>420</v>
      </c>
      <c r="AF14" s="41">
        <v>420</v>
      </c>
      <c r="AG14" s="41">
        <v>420</v>
      </c>
      <c r="AH14" s="41">
        <v>420</v>
      </c>
      <c r="AI14" s="41">
        <v>420</v>
      </c>
      <c r="AJ14" s="41">
        <v>420</v>
      </c>
      <c r="AK14" s="41">
        <v>420</v>
      </c>
      <c r="AL14" s="41">
        <v>420</v>
      </c>
      <c r="AM14" s="41">
        <v>420</v>
      </c>
      <c r="AN14" s="41">
        <v>420</v>
      </c>
      <c r="AO14" s="41">
        <v>420</v>
      </c>
      <c r="AP14" s="41">
        <v>420</v>
      </c>
      <c r="AQ14" s="41">
        <v>420</v>
      </c>
      <c r="AR14" s="41">
        <v>553</v>
      </c>
      <c r="AS14" s="41">
        <v>553</v>
      </c>
      <c r="AT14" s="41">
        <v>553</v>
      </c>
      <c r="AU14" s="41">
        <v>533</v>
      </c>
      <c r="AV14" s="41">
        <v>533</v>
      </c>
      <c r="AW14" s="41">
        <v>533</v>
      </c>
      <c r="AX14" s="41">
        <v>533</v>
      </c>
      <c r="AY14" s="41">
        <v>533</v>
      </c>
      <c r="AZ14" s="41">
        <v>533</v>
      </c>
      <c r="BA14" s="41">
        <v>533</v>
      </c>
      <c r="BB14" s="41">
        <v>595</v>
      </c>
      <c r="BC14" s="41">
        <v>595</v>
      </c>
      <c r="BD14" s="41">
        <v>595</v>
      </c>
      <c r="BE14" s="41">
        <v>595</v>
      </c>
      <c r="BF14" s="41">
        <v>595</v>
      </c>
      <c r="BG14" s="41">
        <v>595</v>
      </c>
      <c r="BH14" s="41">
        <v>595</v>
      </c>
      <c r="BI14" s="41">
        <v>595</v>
      </c>
      <c r="BJ14" s="41">
        <v>595</v>
      </c>
      <c r="BK14" s="41">
        <v>595</v>
      </c>
      <c r="BL14" s="41">
        <v>595</v>
      </c>
      <c r="BM14" s="41">
        <v>595</v>
      </c>
      <c r="BN14" s="41">
        <v>595</v>
      </c>
      <c r="BO14" s="41">
        <v>595</v>
      </c>
      <c r="BP14" s="41">
        <v>595</v>
      </c>
      <c r="BQ14" s="41">
        <v>595</v>
      </c>
      <c r="BR14" s="41">
        <v>595</v>
      </c>
      <c r="BS14" s="41">
        <v>595</v>
      </c>
      <c r="BT14" s="41">
        <v>595</v>
      </c>
      <c r="BU14" s="41">
        <v>595</v>
      </c>
    </row>
    <row r="15" spans="1:73" ht="15" customHeight="1">
      <c r="A15" s="64">
        <v>2800</v>
      </c>
      <c r="B15" s="64">
        <v>1.6</v>
      </c>
      <c r="C15" s="64">
        <v>4</v>
      </c>
      <c r="D15" s="64"/>
      <c r="E15" s="41">
        <v>456</v>
      </c>
      <c r="F15" s="41">
        <v>456</v>
      </c>
      <c r="G15" s="41">
        <v>456</v>
      </c>
      <c r="H15" s="41">
        <v>456</v>
      </c>
      <c r="I15" s="41">
        <v>456</v>
      </c>
      <c r="J15" s="41">
        <v>456</v>
      </c>
      <c r="K15" s="41">
        <v>456</v>
      </c>
      <c r="L15" s="41">
        <v>456</v>
      </c>
      <c r="M15" s="41">
        <v>456</v>
      </c>
      <c r="N15" s="41">
        <v>456</v>
      </c>
      <c r="O15" s="41">
        <v>456</v>
      </c>
      <c r="P15" s="41">
        <v>456</v>
      </c>
      <c r="Q15" s="41">
        <v>456</v>
      </c>
      <c r="R15" s="41">
        <v>456</v>
      </c>
      <c r="S15" s="41">
        <v>456</v>
      </c>
      <c r="T15" s="41">
        <v>456</v>
      </c>
      <c r="U15" s="41">
        <v>456</v>
      </c>
      <c r="V15" s="41">
        <v>456</v>
      </c>
      <c r="W15" s="41">
        <v>456</v>
      </c>
      <c r="X15" s="41">
        <v>456</v>
      </c>
      <c r="Y15" s="41">
        <v>456</v>
      </c>
      <c r="Z15" s="41">
        <v>456</v>
      </c>
      <c r="AA15" s="41">
        <v>456</v>
      </c>
      <c r="AB15" s="41">
        <v>456</v>
      </c>
      <c r="AC15" s="41">
        <v>456</v>
      </c>
      <c r="AD15" s="41">
        <v>456</v>
      </c>
      <c r="AE15" s="41">
        <v>456</v>
      </c>
      <c r="AF15" s="41">
        <v>456</v>
      </c>
      <c r="AG15" s="41">
        <v>456</v>
      </c>
      <c r="AH15" s="41">
        <v>456</v>
      </c>
      <c r="AI15" s="41">
        <v>456</v>
      </c>
      <c r="AJ15" s="41">
        <v>456</v>
      </c>
      <c r="AK15" s="41">
        <v>456</v>
      </c>
      <c r="AL15" s="41">
        <v>456</v>
      </c>
      <c r="AM15" s="41">
        <v>456</v>
      </c>
      <c r="AN15" s="41">
        <v>456</v>
      </c>
      <c r="AO15" s="41">
        <v>456</v>
      </c>
      <c r="AP15" s="41">
        <v>456</v>
      </c>
      <c r="AQ15" s="41">
        <v>456</v>
      </c>
      <c r="AR15" s="41">
        <v>652</v>
      </c>
      <c r="AS15" s="41">
        <v>652</v>
      </c>
      <c r="AT15" s="41">
        <v>652</v>
      </c>
      <c r="AU15" s="41">
        <v>625</v>
      </c>
      <c r="AV15" s="41">
        <v>625</v>
      </c>
      <c r="AW15" s="41">
        <v>625</v>
      </c>
      <c r="AX15" s="41">
        <v>625</v>
      </c>
      <c r="AY15" s="41">
        <v>625</v>
      </c>
      <c r="AZ15" s="41">
        <v>625</v>
      </c>
      <c r="BA15" s="41">
        <v>625</v>
      </c>
      <c r="BB15" s="41">
        <v>691</v>
      </c>
      <c r="BC15" s="41">
        <v>691</v>
      </c>
      <c r="BD15" s="41">
        <v>691</v>
      </c>
      <c r="BE15" s="41">
        <v>691</v>
      </c>
      <c r="BF15" s="41">
        <v>691</v>
      </c>
      <c r="BG15" s="41">
        <v>691</v>
      </c>
      <c r="BH15" s="41">
        <v>691</v>
      </c>
      <c r="BI15" s="41">
        <v>691</v>
      </c>
      <c r="BJ15" s="41">
        <v>691</v>
      </c>
      <c r="BK15" s="41">
        <v>691</v>
      </c>
      <c r="BL15" s="41">
        <v>691</v>
      </c>
      <c r="BM15" s="41">
        <v>691</v>
      </c>
      <c r="BN15" s="41">
        <v>691</v>
      </c>
      <c r="BO15" s="41">
        <v>691</v>
      </c>
      <c r="BP15" s="41">
        <v>691</v>
      </c>
      <c r="BQ15" s="41">
        <v>691</v>
      </c>
      <c r="BR15" s="41">
        <v>691</v>
      </c>
      <c r="BS15" s="41">
        <v>691</v>
      </c>
      <c r="BT15" s="41">
        <v>691</v>
      </c>
      <c r="BU15" s="41">
        <v>691</v>
      </c>
    </row>
    <row r="16" spans="1:73" ht="15" customHeight="1">
      <c r="A16" s="64">
        <v>3500</v>
      </c>
      <c r="B16" s="64">
        <v>2</v>
      </c>
      <c r="C16" s="64">
        <v>5</v>
      </c>
      <c r="D16" s="64">
        <v>4</v>
      </c>
      <c r="E16" s="41">
        <v>552</v>
      </c>
      <c r="F16" s="41">
        <v>552</v>
      </c>
      <c r="G16" s="41">
        <v>552</v>
      </c>
      <c r="H16" s="41">
        <v>552</v>
      </c>
      <c r="I16" s="41">
        <v>552</v>
      </c>
      <c r="J16" s="41">
        <v>552</v>
      </c>
      <c r="K16" s="41">
        <v>552</v>
      </c>
      <c r="L16" s="41">
        <v>552</v>
      </c>
      <c r="M16" s="41">
        <v>552</v>
      </c>
      <c r="N16" s="41">
        <v>552</v>
      </c>
      <c r="O16" s="41">
        <v>552</v>
      </c>
      <c r="P16" s="41">
        <v>552</v>
      </c>
      <c r="Q16" s="41">
        <v>552</v>
      </c>
      <c r="R16" s="41">
        <v>552</v>
      </c>
      <c r="S16" s="41">
        <v>552</v>
      </c>
      <c r="T16" s="41">
        <v>552</v>
      </c>
      <c r="U16" s="41">
        <v>552</v>
      </c>
      <c r="V16" s="41">
        <v>552</v>
      </c>
      <c r="W16" s="41">
        <v>552</v>
      </c>
      <c r="X16" s="41">
        <v>552</v>
      </c>
      <c r="Y16" s="41">
        <v>552</v>
      </c>
      <c r="Z16" s="41">
        <v>552</v>
      </c>
      <c r="AA16" s="41">
        <v>552</v>
      </c>
      <c r="AB16" s="41">
        <v>552</v>
      </c>
      <c r="AC16" s="41">
        <v>552</v>
      </c>
      <c r="AD16" s="41">
        <v>552</v>
      </c>
      <c r="AE16" s="41">
        <v>552</v>
      </c>
      <c r="AF16" s="41">
        <v>552</v>
      </c>
      <c r="AG16" s="41">
        <v>552</v>
      </c>
      <c r="AH16" s="41">
        <v>552</v>
      </c>
      <c r="AI16" s="41">
        <v>552</v>
      </c>
      <c r="AJ16" s="41">
        <v>552</v>
      </c>
      <c r="AK16" s="41">
        <v>552</v>
      </c>
      <c r="AL16" s="41">
        <v>552</v>
      </c>
      <c r="AM16" s="41">
        <v>552</v>
      </c>
      <c r="AN16" s="41">
        <v>552</v>
      </c>
      <c r="AO16" s="41">
        <v>552</v>
      </c>
      <c r="AP16" s="41">
        <v>552</v>
      </c>
      <c r="AQ16" s="41">
        <v>552</v>
      </c>
      <c r="AR16" s="41">
        <v>742</v>
      </c>
      <c r="AS16" s="41">
        <v>742</v>
      </c>
      <c r="AT16" s="41">
        <v>742</v>
      </c>
      <c r="AU16" s="41">
        <v>713</v>
      </c>
      <c r="AV16" s="41">
        <v>713</v>
      </c>
      <c r="AW16" s="41">
        <v>713</v>
      </c>
      <c r="AX16" s="41">
        <v>713</v>
      </c>
      <c r="AY16" s="41">
        <v>713</v>
      </c>
      <c r="AZ16" s="41">
        <v>713</v>
      </c>
      <c r="BA16" s="41">
        <v>713</v>
      </c>
      <c r="BB16" s="41">
        <v>783</v>
      </c>
      <c r="BC16" s="41">
        <v>783</v>
      </c>
      <c r="BD16" s="41">
        <v>783</v>
      </c>
      <c r="BE16" s="41">
        <v>783</v>
      </c>
      <c r="BF16" s="41">
        <v>783</v>
      </c>
      <c r="BG16" s="41">
        <v>783</v>
      </c>
      <c r="BH16" s="41">
        <v>783</v>
      </c>
      <c r="BI16" s="41">
        <v>783</v>
      </c>
      <c r="BJ16" s="41">
        <v>783</v>
      </c>
      <c r="BK16" s="41">
        <v>783</v>
      </c>
      <c r="BL16" s="41">
        <v>783</v>
      </c>
      <c r="BM16" s="41">
        <v>783</v>
      </c>
      <c r="BN16" s="41">
        <v>783</v>
      </c>
      <c r="BO16" s="41">
        <v>783</v>
      </c>
      <c r="BP16" s="41">
        <v>783</v>
      </c>
      <c r="BQ16" s="41">
        <v>783</v>
      </c>
      <c r="BR16" s="41">
        <v>783</v>
      </c>
      <c r="BS16" s="41">
        <v>783</v>
      </c>
      <c r="BT16" s="41">
        <v>783</v>
      </c>
      <c r="BU16" s="41">
        <v>783</v>
      </c>
    </row>
    <row r="17" spans="1:73" ht="15" customHeight="1">
      <c r="A17" s="122">
        <v>4200</v>
      </c>
      <c r="B17" s="122">
        <v>2.4</v>
      </c>
      <c r="C17" s="122">
        <v>6</v>
      </c>
      <c r="D17" s="122"/>
      <c r="E17" s="41">
        <v>643</v>
      </c>
      <c r="F17" s="41">
        <v>643</v>
      </c>
      <c r="G17" s="41">
        <v>643</v>
      </c>
      <c r="H17" s="41">
        <v>643</v>
      </c>
      <c r="I17" s="41">
        <v>643</v>
      </c>
      <c r="J17" s="41">
        <v>643</v>
      </c>
      <c r="K17" s="41">
        <v>643</v>
      </c>
      <c r="L17" s="41">
        <v>643</v>
      </c>
      <c r="M17" s="41">
        <v>643</v>
      </c>
      <c r="N17" s="41">
        <v>643</v>
      </c>
      <c r="O17" s="41">
        <v>643</v>
      </c>
      <c r="P17" s="41">
        <v>643</v>
      </c>
      <c r="Q17" s="41">
        <v>643</v>
      </c>
      <c r="R17" s="41">
        <v>643</v>
      </c>
      <c r="S17" s="41">
        <v>643</v>
      </c>
      <c r="T17" s="41">
        <v>643</v>
      </c>
      <c r="U17" s="41">
        <v>643</v>
      </c>
      <c r="V17" s="41">
        <v>643</v>
      </c>
      <c r="W17" s="41">
        <v>643</v>
      </c>
      <c r="X17" s="41">
        <v>643</v>
      </c>
      <c r="Y17" s="41">
        <v>643</v>
      </c>
      <c r="Z17" s="41">
        <v>643</v>
      </c>
      <c r="AA17" s="41">
        <v>643</v>
      </c>
      <c r="AB17" s="41">
        <v>643</v>
      </c>
      <c r="AC17" s="41">
        <v>643</v>
      </c>
      <c r="AD17" s="41">
        <v>643</v>
      </c>
      <c r="AE17" s="41">
        <v>643</v>
      </c>
      <c r="AF17" s="41">
        <v>643</v>
      </c>
      <c r="AG17" s="41">
        <v>643</v>
      </c>
      <c r="AH17" s="41">
        <v>643</v>
      </c>
      <c r="AI17" s="41">
        <v>643</v>
      </c>
      <c r="AJ17" s="41">
        <v>643</v>
      </c>
      <c r="AK17" s="41">
        <v>643</v>
      </c>
      <c r="AL17" s="41">
        <v>643</v>
      </c>
      <c r="AM17" s="41">
        <v>643</v>
      </c>
      <c r="AN17" s="41">
        <v>643</v>
      </c>
      <c r="AO17" s="41">
        <v>643</v>
      </c>
      <c r="AP17" s="41">
        <v>643</v>
      </c>
      <c r="AQ17" s="41">
        <v>643</v>
      </c>
      <c r="AR17" s="41">
        <v>777</v>
      </c>
      <c r="AS17" s="41">
        <v>777</v>
      </c>
      <c r="AT17" s="41">
        <v>777</v>
      </c>
      <c r="AU17" s="41">
        <v>754</v>
      </c>
      <c r="AV17" s="41">
        <v>754</v>
      </c>
      <c r="AW17" s="41">
        <v>754</v>
      </c>
      <c r="AX17" s="41">
        <v>754</v>
      </c>
      <c r="AY17" s="41">
        <v>754</v>
      </c>
      <c r="AZ17" s="41">
        <v>754</v>
      </c>
      <c r="BA17" s="41">
        <v>754</v>
      </c>
      <c r="BB17" s="41">
        <v>863</v>
      </c>
      <c r="BC17" s="41">
        <v>863</v>
      </c>
      <c r="BD17" s="41">
        <v>863</v>
      </c>
      <c r="BE17" s="41">
        <v>863</v>
      </c>
      <c r="BF17" s="41">
        <v>863</v>
      </c>
      <c r="BG17" s="41">
        <v>863</v>
      </c>
      <c r="BH17" s="41">
        <v>863</v>
      </c>
      <c r="BI17" s="41">
        <v>863</v>
      </c>
      <c r="BJ17" s="41">
        <v>863</v>
      </c>
      <c r="BK17" s="41">
        <v>863</v>
      </c>
      <c r="BL17" s="41">
        <v>908</v>
      </c>
      <c r="BM17" s="41">
        <v>908</v>
      </c>
      <c r="BN17" s="41">
        <v>908</v>
      </c>
      <c r="BO17" s="41">
        <v>908</v>
      </c>
      <c r="BP17" s="41">
        <v>908</v>
      </c>
      <c r="BQ17" s="41">
        <v>908</v>
      </c>
      <c r="BR17" s="41">
        <v>908</v>
      </c>
      <c r="BS17" s="41">
        <v>908</v>
      </c>
      <c r="BT17" s="41">
        <v>908</v>
      </c>
      <c r="BU17" s="41">
        <v>908</v>
      </c>
    </row>
    <row r="18" spans="1:73" ht="15" customHeight="1">
      <c r="A18" s="122">
        <v>4375</v>
      </c>
      <c r="B18" s="122">
        <v>2.5</v>
      </c>
      <c r="C18" s="122"/>
      <c r="D18" s="122">
        <v>5</v>
      </c>
      <c r="E18" s="41">
        <v>671</v>
      </c>
      <c r="F18" s="41">
        <v>671</v>
      </c>
      <c r="G18" s="41">
        <v>671</v>
      </c>
      <c r="H18" s="41">
        <v>671</v>
      </c>
      <c r="I18" s="41">
        <v>671</v>
      </c>
      <c r="J18" s="41">
        <v>671</v>
      </c>
      <c r="K18" s="41">
        <v>671</v>
      </c>
      <c r="L18" s="41">
        <v>671</v>
      </c>
      <c r="M18" s="41">
        <v>671</v>
      </c>
      <c r="N18" s="41">
        <v>671</v>
      </c>
      <c r="O18" s="41">
        <v>671</v>
      </c>
      <c r="P18" s="41">
        <v>671</v>
      </c>
      <c r="Q18" s="41">
        <v>671</v>
      </c>
      <c r="R18" s="41">
        <v>671</v>
      </c>
      <c r="S18" s="41">
        <v>671</v>
      </c>
      <c r="T18" s="41">
        <v>671</v>
      </c>
      <c r="U18" s="41">
        <v>671</v>
      </c>
      <c r="V18" s="41">
        <v>671</v>
      </c>
      <c r="W18" s="41">
        <v>671</v>
      </c>
      <c r="X18" s="41">
        <v>671</v>
      </c>
      <c r="Y18" s="41">
        <v>671</v>
      </c>
      <c r="Z18" s="41">
        <v>671</v>
      </c>
      <c r="AA18" s="41">
        <v>671</v>
      </c>
      <c r="AB18" s="41">
        <v>671</v>
      </c>
      <c r="AC18" s="41">
        <v>671</v>
      </c>
      <c r="AD18" s="41">
        <v>671</v>
      </c>
      <c r="AE18" s="41">
        <v>671</v>
      </c>
      <c r="AF18" s="41">
        <v>671</v>
      </c>
      <c r="AG18" s="41">
        <v>671</v>
      </c>
      <c r="AH18" s="41">
        <v>671</v>
      </c>
      <c r="AI18" s="41">
        <v>671</v>
      </c>
      <c r="AJ18" s="41">
        <v>671</v>
      </c>
      <c r="AK18" s="41">
        <v>671</v>
      </c>
      <c r="AL18" s="41">
        <v>671</v>
      </c>
      <c r="AM18" s="41">
        <v>671</v>
      </c>
      <c r="AN18" s="41">
        <v>671</v>
      </c>
      <c r="AO18" s="41">
        <v>671</v>
      </c>
      <c r="AP18" s="41">
        <v>671</v>
      </c>
      <c r="AQ18" s="41">
        <v>671</v>
      </c>
      <c r="AR18" s="41">
        <v>794</v>
      </c>
      <c r="AS18" s="41">
        <v>794</v>
      </c>
      <c r="AT18" s="41">
        <v>794</v>
      </c>
      <c r="AU18" s="41">
        <v>778</v>
      </c>
      <c r="AV18" s="41">
        <v>778</v>
      </c>
      <c r="AW18" s="41">
        <v>778</v>
      </c>
      <c r="AX18" s="41">
        <v>778</v>
      </c>
      <c r="AY18" s="41">
        <v>778</v>
      </c>
      <c r="AZ18" s="41">
        <v>778</v>
      </c>
      <c r="BA18" s="41">
        <v>778</v>
      </c>
      <c r="BB18" s="41">
        <v>941</v>
      </c>
      <c r="BC18" s="41">
        <v>941</v>
      </c>
      <c r="BD18" s="41">
        <v>941</v>
      </c>
      <c r="BE18" s="41">
        <v>941</v>
      </c>
      <c r="BF18" s="41">
        <v>941</v>
      </c>
      <c r="BG18" s="41">
        <v>941</v>
      </c>
      <c r="BH18" s="41">
        <v>941</v>
      </c>
      <c r="BI18" s="41">
        <v>941</v>
      </c>
      <c r="BJ18" s="41">
        <v>941</v>
      </c>
      <c r="BK18" s="41">
        <v>941</v>
      </c>
      <c r="BL18" s="41">
        <v>1011</v>
      </c>
      <c r="BM18" s="41">
        <v>1011</v>
      </c>
      <c r="BN18" s="41">
        <v>1011</v>
      </c>
      <c r="BO18" s="41">
        <v>1011</v>
      </c>
      <c r="BP18" s="41">
        <v>1011</v>
      </c>
      <c r="BQ18" s="41">
        <v>1011</v>
      </c>
      <c r="BR18" s="41">
        <v>1011</v>
      </c>
      <c r="BS18" s="41">
        <v>1011</v>
      </c>
      <c r="BT18" s="41">
        <v>1011</v>
      </c>
      <c r="BU18" s="41">
        <v>1011</v>
      </c>
    </row>
    <row r="19" spans="1:73" ht="15" customHeight="1">
      <c r="A19" s="122">
        <v>4900</v>
      </c>
      <c r="B19" s="122">
        <v>2.8</v>
      </c>
      <c r="C19" s="122">
        <v>7</v>
      </c>
      <c r="D19" s="122"/>
      <c r="E19" s="41">
        <v>735</v>
      </c>
      <c r="F19" s="41">
        <v>735</v>
      </c>
      <c r="G19" s="41">
        <v>735</v>
      </c>
      <c r="H19" s="41">
        <v>735</v>
      </c>
      <c r="I19" s="41">
        <v>735</v>
      </c>
      <c r="J19" s="41">
        <v>735</v>
      </c>
      <c r="K19" s="41">
        <v>735</v>
      </c>
      <c r="L19" s="41">
        <v>735</v>
      </c>
      <c r="M19" s="41">
        <v>735</v>
      </c>
      <c r="N19" s="41">
        <v>735</v>
      </c>
      <c r="O19" s="41">
        <v>735</v>
      </c>
      <c r="P19" s="41">
        <v>735</v>
      </c>
      <c r="Q19" s="41">
        <v>735</v>
      </c>
      <c r="R19" s="41">
        <v>735</v>
      </c>
      <c r="S19" s="41">
        <v>735</v>
      </c>
      <c r="T19" s="41">
        <v>735</v>
      </c>
      <c r="U19" s="41">
        <v>735</v>
      </c>
      <c r="V19" s="41">
        <v>735</v>
      </c>
      <c r="W19" s="41">
        <v>735</v>
      </c>
      <c r="X19" s="41">
        <v>735</v>
      </c>
      <c r="Y19" s="41">
        <v>735</v>
      </c>
      <c r="Z19" s="41">
        <v>735</v>
      </c>
      <c r="AA19" s="41">
        <v>735</v>
      </c>
      <c r="AB19" s="41">
        <v>735</v>
      </c>
      <c r="AC19" s="41">
        <v>735</v>
      </c>
      <c r="AD19" s="41">
        <v>735</v>
      </c>
      <c r="AE19" s="41">
        <v>735</v>
      </c>
      <c r="AF19" s="41">
        <v>735</v>
      </c>
      <c r="AG19" s="41">
        <v>735</v>
      </c>
      <c r="AH19" s="41">
        <v>735</v>
      </c>
      <c r="AI19" s="41">
        <v>735</v>
      </c>
      <c r="AJ19" s="41">
        <v>735</v>
      </c>
      <c r="AK19" s="41">
        <v>735</v>
      </c>
      <c r="AL19" s="41">
        <v>735</v>
      </c>
      <c r="AM19" s="41">
        <v>735</v>
      </c>
      <c r="AN19" s="41">
        <v>735</v>
      </c>
      <c r="AO19" s="41">
        <v>735</v>
      </c>
      <c r="AP19" s="41">
        <v>735</v>
      </c>
      <c r="AQ19" s="41">
        <v>735</v>
      </c>
      <c r="AR19" s="41">
        <v>810</v>
      </c>
      <c r="AS19" s="41">
        <v>810</v>
      </c>
      <c r="AT19" s="41">
        <v>810</v>
      </c>
      <c r="AU19" s="41">
        <v>795</v>
      </c>
      <c r="AV19" s="41">
        <v>795</v>
      </c>
      <c r="AW19" s="41">
        <v>795</v>
      </c>
      <c r="AX19" s="41">
        <v>795</v>
      </c>
      <c r="AY19" s="41">
        <v>795</v>
      </c>
      <c r="AZ19" s="41">
        <v>795</v>
      </c>
      <c r="BA19" s="41">
        <v>795</v>
      </c>
      <c r="BB19" s="41">
        <v>1021</v>
      </c>
      <c r="BC19" s="41">
        <v>1021</v>
      </c>
      <c r="BD19" s="41">
        <v>1021</v>
      </c>
      <c r="BE19" s="41">
        <v>1021</v>
      </c>
      <c r="BF19" s="41">
        <v>1021</v>
      </c>
      <c r="BG19" s="41">
        <v>1021</v>
      </c>
      <c r="BH19" s="41">
        <v>1021</v>
      </c>
      <c r="BI19" s="41">
        <v>1021</v>
      </c>
      <c r="BJ19" s="41">
        <v>1021</v>
      </c>
      <c r="BK19" s="41">
        <v>1021</v>
      </c>
      <c r="BL19" s="41">
        <v>1117</v>
      </c>
      <c r="BM19" s="41">
        <v>1117</v>
      </c>
      <c r="BN19" s="41">
        <v>1117</v>
      </c>
      <c r="BO19" s="41">
        <v>1117</v>
      </c>
      <c r="BP19" s="41">
        <v>1117</v>
      </c>
      <c r="BQ19" s="41">
        <v>1117</v>
      </c>
      <c r="BR19" s="41">
        <v>1117</v>
      </c>
      <c r="BS19" s="41">
        <v>1117</v>
      </c>
      <c r="BT19" s="41">
        <v>1117</v>
      </c>
      <c r="BU19" s="41">
        <v>1117</v>
      </c>
    </row>
    <row r="20" spans="1:73" ht="15" customHeight="1">
      <c r="A20" s="122">
        <v>5250</v>
      </c>
      <c r="B20" s="122">
        <v>3</v>
      </c>
      <c r="C20" s="122"/>
      <c r="D20" s="122">
        <v>6</v>
      </c>
      <c r="E20" s="41">
        <v>792</v>
      </c>
      <c r="F20" s="41">
        <v>792</v>
      </c>
      <c r="G20" s="41">
        <v>792</v>
      </c>
      <c r="H20" s="41">
        <v>792</v>
      </c>
      <c r="I20" s="41">
        <v>792</v>
      </c>
      <c r="J20" s="41">
        <v>792</v>
      </c>
      <c r="K20" s="41">
        <v>792</v>
      </c>
      <c r="L20" s="41">
        <v>792</v>
      </c>
      <c r="M20" s="41">
        <v>792</v>
      </c>
      <c r="N20" s="41">
        <v>792</v>
      </c>
      <c r="O20" s="41">
        <v>792</v>
      </c>
      <c r="P20" s="41">
        <v>792</v>
      </c>
      <c r="Q20" s="41">
        <v>792</v>
      </c>
      <c r="R20" s="41">
        <v>792</v>
      </c>
      <c r="S20" s="41">
        <v>792</v>
      </c>
      <c r="T20" s="41">
        <v>792</v>
      </c>
      <c r="U20" s="41">
        <v>792</v>
      </c>
      <c r="V20" s="41">
        <v>792</v>
      </c>
      <c r="W20" s="41">
        <v>792</v>
      </c>
      <c r="X20" s="41">
        <v>792</v>
      </c>
      <c r="Y20" s="41">
        <v>792</v>
      </c>
      <c r="Z20" s="41">
        <v>792</v>
      </c>
      <c r="AA20" s="41">
        <v>792</v>
      </c>
      <c r="AB20" s="41">
        <v>792</v>
      </c>
      <c r="AC20" s="41">
        <v>792</v>
      </c>
      <c r="AD20" s="41">
        <v>792</v>
      </c>
      <c r="AE20" s="41">
        <v>792</v>
      </c>
      <c r="AF20" s="41">
        <v>792</v>
      </c>
      <c r="AG20" s="41">
        <v>792</v>
      </c>
      <c r="AH20" s="41">
        <v>792</v>
      </c>
      <c r="AI20" s="41">
        <v>792</v>
      </c>
      <c r="AJ20" s="41">
        <v>792</v>
      </c>
      <c r="AK20" s="41">
        <v>792</v>
      </c>
      <c r="AL20" s="41">
        <v>792</v>
      </c>
      <c r="AM20" s="41">
        <v>792</v>
      </c>
      <c r="AN20" s="41">
        <v>792</v>
      </c>
      <c r="AO20" s="41">
        <v>792</v>
      </c>
      <c r="AP20" s="41">
        <v>792</v>
      </c>
      <c r="AQ20" s="41">
        <v>792</v>
      </c>
      <c r="AR20" s="41">
        <v>846</v>
      </c>
      <c r="AS20" s="41">
        <v>846</v>
      </c>
      <c r="AT20" s="41">
        <v>846</v>
      </c>
      <c r="AU20" s="41">
        <v>835</v>
      </c>
      <c r="AV20" s="41">
        <v>835</v>
      </c>
      <c r="AW20" s="41">
        <v>835</v>
      </c>
      <c r="AX20" s="41">
        <v>835</v>
      </c>
      <c r="AY20" s="41">
        <v>835</v>
      </c>
      <c r="AZ20" s="41">
        <v>835</v>
      </c>
      <c r="BA20" s="41">
        <v>835</v>
      </c>
      <c r="BB20" s="41">
        <v>1102</v>
      </c>
      <c r="BC20" s="41">
        <v>1102</v>
      </c>
      <c r="BD20" s="41">
        <v>1102</v>
      </c>
      <c r="BE20" s="41">
        <v>1102</v>
      </c>
      <c r="BF20" s="41">
        <v>1102</v>
      </c>
      <c r="BG20" s="41">
        <v>1102</v>
      </c>
      <c r="BH20" s="41">
        <v>1102</v>
      </c>
      <c r="BI20" s="41">
        <v>1102</v>
      </c>
      <c r="BJ20" s="41">
        <v>1102</v>
      </c>
      <c r="BK20" s="41">
        <v>1102</v>
      </c>
      <c r="BL20" s="41">
        <v>1219</v>
      </c>
      <c r="BM20" s="41">
        <v>1219</v>
      </c>
      <c r="BN20" s="41">
        <v>1219</v>
      </c>
      <c r="BO20" s="41">
        <v>1219</v>
      </c>
      <c r="BP20" s="41">
        <v>1219</v>
      </c>
      <c r="BQ20" s="41">
        <v>1219</v>
      </c>
      <c r="BR20" s="41">
        <v>1219</v>
      </c>
      <c r="BS20" s="41">
        <v>1219</v>
      </c>
      <c r="BT20" s="41">
        <v>1219</v>
      </c>
      <c r="BU20" s="41">
        <v>1219</v>
      </c>
    </row>
    <row r="21" spans="1:73" ht="15" customHeight="1">
      <c r="A21" s="122">
        <v>5600</v>
      </c>
      <c r="B21" s="122">
        <v>3.2</v>
      </c>
      <c r="C21" s="122">
        <v>8</v>
      </c>
      <c r="D21" s="122"/>
      <c r="E21" s="41">
        <v>848</v>
      </c>
      <c r="F21" s="41">
        <v>848</v>
      </c>
      <c r="G21" s="41">
        <v>848</v>
      </c>
      <c r="H21" s="41">
        <v>848</v>
      </c>
      <c r="I21" s="41">
        <v>848</v>
      </c>
      <c r="J21" s="41">
        <v>848</v>
      </c>
      <c r="K21" s="41">
        <v>848</v>
      </c>
      <c r="L21" s="41">
        <v>848</v>
      </c>
      <c r="M21" s="41">
        <v>848</v>
      </c>
      <c r="N21" s="41">
        <v>848</v>
      </c>
      <c r="O21" s="41">
        <v>848</v>
      </c>
      <c r="P21" s="41">
        <v>848</v>
      </c>
      <c r="Q21" s="41">
        <v>848</v>
      </c>
      <c r="R21" s="41">
        <v>848</v>
      </c>
      <c r="S21" s="41">
        <v>848</v>
      </c>
      <c r="T21" s="41">
        <v>848</v>
      </c>
      <c r="U21" s="41">
        <v>848</v>
      </c>
      <c r="V21" s="41">
        <v>848</v>
      </c>
      <c r="W21" s="41">
        <v>848</v>
      </c>
      <c r="X21" s="41">
        <v>848</v>
      </c>
      <c r="Y21" s="41">
        <v>848</v>
      </c>
      <c r="Z21" s="41">
        <v>848</v>
      </c>
      <c r="AA21" s="41">
        <v>848</v>
      </c>
      <c r="AB21" s="41">
        <v>848</v>
      </c>
      <c r="AC21" s="41">
        <v>848</v>
      </c>
      <c r="AD21" s="41">
        <v>848</v>
      </c>
      <c r="AE21" s="41">
        <v>848</v>
      </c>
      <c r="AF21" s="41">
        <v>848</v>
      </c>
      <c r="AG21" s="41">
        <v>848</v>
      </c>
      <c r="AH21" s="41">
        <v>848</v>
      </c>
      <c r="AI21" s="41">
        <v>848</v>
      </c>
      <c r="AJ21" s="41">
        <v>848</v>
      </c>
      <c r="AK21" s="41">
        <v>848</v>
      </c>
      <c r="AL21" s="41">
        <v>848</v>
      </c>
      <c r="AM21" s="41">
        <v>848</v>
      </c>
      <c r="AN21" s="41">
        <v>848</v>
      </c>
      <c r="AO21" s="41">
        <v>848</v>
      </c>
      <c r="AP21" s="41">
        <v>848</v>
      </c>
      <c r="AQ21" s="41">
        <v>848</v>
      </c>
      <c r="AR21" s="41">
        <v>886</v>
      </c>
      <c r="AS21" s="41">
        <v>886</v>
      </c>
      <c r="AT21" s="41">
        <v>886</v>
      </c>
      <c r="AU21" s="41">
        <v>876</v>
      </c>
      <c r="AV21" s="41">
        <v>876</v>
      </c>
      <c r="AW21" s="41">
        <v>876</v>
      </c>
      <c r="AX21" s="41">
        <v>876</v>
      </c>
      <c r="AY21" s="41">
        <v>876</v>
      </c>
      <c r="AZ21" s="41">
        <v>876</v>
      </c>
      <c r="BA21" s="41">
        <v>876</v>
      </c>
      <c r="BB21" s="41">
        <v>1180</v>
      </c>
      <c r="BC21" s="41">
        <v>1180</v>
      </c>
      <c r="BD21" s="41">
        <v>1180</v>
      </c>
      <c r="BE21" s="41">
        <v>1180</v>
      </c>
      <c r="BF21" s="41">
        <v>1180</v>
      </c>
      <c r="BG21" s="41">
        <v>1180</v>
      </c>
      <c r="BH21" s="41">
        <v>1180</v>
      </c>
      <c r="BI21" s="41">
        <v>1180</v>
      </c>
      <c r="BJ21" s="41">
        <v>1180</v>
      </c>
      <c r="BK21" s="41">
        <v>1180</v>
      </c>
      <c r="BL21" s="41">
        <v>1322</v>
      </c>
      <c r="BM21" s="41">
        <v>1322</v>
      </c>
      <c r="BN21" s="41">
        <v>1322</v>
      </c>
      <c r="BO21" s="41">
        <v>1322</v>
      </c>
      <c r="BP21" s="41">
        <v>1322</v>
      </c>
      <c r="BQ21" s="41">
        <v>1322</v>
      </c>
      <c r="BR21" s="41">
        <v>1322</v>
      </c>
      <c r="BS21" s="41">
        <v>1322</v>
      </c>
      <c r="BT21" s="41">
        <v>1322</v>
      </c>
      <c r="BU21" s="41">
        <v>1322</v>
      </c>
    </row>
    <row r="22" spans="1:73" ht="15" customHeight="1">
      <c r="A22" s="122">
        <v>6125</v>
      </c>
      <c r="B22" s="122">
        <v>3.5</v>
      </c>
      <c r="C22" s="122"/>
      <c r="D22" s="122">
        <v>7</v>
      </c>
      <c r="E22" s="41">
        <v>921</v>
      </c>
      <c r="F22" s="41">
        <v>921</v>
      </c>
      <c r="G22" s="41">
        <v>921</v>
      </c>
      <c r="H22" s="41">
        <v>921</v>
      </c>
      <c r="I22" s="41">
        <v>921</v>
      </c>
      <c r="J22" s="41">
        <v>921</v>
      </c>
      <c r="K22" s="41">
        <v>921</v>
      </c>
      <c r="L22" s="41">
        <v>921</v>
      </c>
      <c r="M22" s="41">
        <v>921</v>
      </c>
      <c r="N22" s="41">
        <v>921</v>
      </c>
      <c r="O22" s="41">
        <v>921</v>
      </c>
      <c r="P22" s="41">
        <v>921</v>
      </c>
      <c r="Q22" s="41">
        <v>921</v>
      </c>
      <c r="R22" s="41">
        <v>921</v>
      </c>
      <c r="S22" s="41">
        <v>921</v>
      </c>
      <c r="T22" s="41">
        <v>921</v>
      </c>
      <c r="U22" s="41">
        <v>921</v>
      </c>
      <c r="V22" s="41">
        <v>921</v>
      </c>
      <c r="W22" s="41">
        <v>921</v>
      </c>
      <c r="X22" s="41">
        <v>921</v>
      </c>
      <c r="Y22" s="41">
        <v>921</v>
      </c>
      <c r="Z22" s="41">
        <v>921</v>
      </c>
      <c r="AA22" s="41">
        <v>921</v>
      </c>
      <c r="AB22" s="41">
        <v>921</v>
      </c>
      <c r="AC22" s="41">
        <v>921</v>
      </c>
      <c r="AD22" s="41">
        <v>921</v>
      </c>
      <c r="AE22" s="41">
        <v>921</v>
      </c>
      <c r="AF22" s="41">
        <v>921</v>
      </c>
      <c r="AG22" s="41">
        <v>921</v>
      </c>
      <c r="AH22" s="41">
        <v>921</v>
      </c>
      <c r="AI22" s="41">
        <v>921</v>
      </c>
      <c r="AJ22" s="41">
        <v>921</v>
      </c>
      <c r="AK22" s="41">
        <v>921</v>
      </c>
      <c r="AL22" s="41">
        <v>921</v>
      </c>
      <c r="AM22" s="41">
        <v>921</v>
      </c>
      <c r="AN22" s="41">
        <v>921</v>
      </c>
      <c r="AO22" s="41">
        <v>921</v>
      </c>
      <c r="AP22" s="41">
        <v>921</v>
      </c>
      <c r="AQ22" s="41">
        <v>921</v>
      </c>
      <c r="AR22" s="41">
        <v>922</v>
      </c>
      <c r="AS22" s="41">
        <v>922</v>
      </c>
      <c r="AT22" s="41">
        <v>922</v>
      </c>
      <c r="AU22" s="41">
        <v>917</v>
      </c>
      <c r="AV22" s="41">
        <v>917</v>
      </c>
      <c r="AW22" s="41">
        <v>917</v>
      </c>
      <c r="AX22" s="41">
        <v>917</v>
      </c>
      <c r="AY22" s="41">
        <v>917</v>
      </c>
      <c r="AZ22" s="41">
        <v>917</v>
      </c>
      <c r="BA22" s="41">
        <v>917</v>
      </c>
      <c r="BB22" s="41">
        <v>1262</v>
      </c>
      <c r="BC22" s="41">
        <v>1262</v>
      </c>
      <c r="BD22" s="41">
        <v>1262</v>
      </c>
      <c r="BE22" s="41">
        <v>1262</v>
      </c>
      <c r="BF22" s="41">
        <v>1262</v>
      </c>
      <c r="BG22" s="41">
        <v>1262</v>
      </c>
      <c r="BH22" s="41">
        <v>1262</v>
      </c>
      <c r="BI22" s="41">
        <v>1262</v>
      </c>
      <c r="BJ22" s="41">
        <v>1262</v>
      </c>
      <c r="BK22" s="41">
        <v>1262</v>
      </c>
      <c r="BL22" s="41">
        <v>1426</v>
      </c>
      <c r="BM22" s="41">
        <v>1426</v>
      </c>
      <c r="BN22" s="41">
        <v>1426</v>
      </c>
      <c r="BO22" s="41">
        <v>1426</v>
      </c>
      <c r="BP22" s="41">
        <v>1426</v>
      </c>
      <c r="BQ22" s="41">
        <v>1426</v>
      </c>
      <c r="BR22" s="41">
        <v>1426</v>
      </c>
      <c r="BS22" s="41">
        <v>1426</v>
      </c>
      <c r="BT22" s="41">
        <v>1426</v>
      </c>
      <c r="BU22" s="41">
        <v>1426</v>
      </c>
    </row>
    <row r="23" spans="1:73" ht="15" customHeight="1">
      <c r="A23" s="122">
        <v>6300</v>
      </c>
      <c r="B23" s="122">
        <v>3.6</v>
      </c>
      <c r="C23" s="122">
        <v>9</v>
      </c>
      <c r="D23" s="122"/>
      <c r="E23" s="41">
        <v>948</v>
      </c>
      <c r="F23" s="41">
        <v>948</v>
      </c>
      <c r="G23" s="41">
        <v>948</v>
      </c>
      <c r="H23" s="41">
        <v>948</v>
      </c>
      <c r="I23" s="41">
        <v>948</v>
      </c>
      <c r="J23" s="41">
        <v>948</v>
      </c>
      <c r="K23" s="41">
        <v>948</v>
      </c>
      <c r="L23" s="41">
        <v>948</v>
      </c>
      <c r="M23" s="41">
        <v>948</v>
      </c>
      <c r="N23" s="41">
        <v>948</v>
      </c>
      <c r="O23" s="41">
        <v>948</v>
      </c>
      <c r="P23" s="41">
        <v>948</v>
      </c>
      <c r="Q23" s="41">
        <v>948</v>
      </c>
      <c r="R23" s="41">
        <v>948</v>
      </c>
      <c r="S23" s="41">
        <v>948</v>
      </c>
      <c r="T23" s="41">
        <v>948</v>
      </c>
      <c r="U23" s="41">
        <v>948</v>
      </c>
      <c r="V23" s="41">
        <v>948</v>
      </c>
      <c r="W23" s="41">
        <v>948</v>
      </c>
      <c r="X23" s="41">
        <v>948</v>
      </c>
      <c r="Y23" s="41">
        <v>948</v>
      </c>
      <c r="Z23" s="41">
        <v>948</v>
      </c>
      <c r="AA23" s="41">
        <v>948</v>
      </c>
      <c r="AB23" s="41">
        <v>948</v>
      </c>
      <c r="AC23" s="41">
        <v>948</v>
      </c>
      <c r="AD23" s="41">
        <v>948</v>
      </c>
      <c r="AE23" s="41">
        <v>948</v>
      </c>
      <c r="AF23" s="41">
        <v>948</v>
      </c>
      <c r="AG23" s="41">
        <v>948</v>
      </c>
      <c r="AH23" s="41">
        <v>948</v>
      </c>
      <c r="AI23" s="41">
        <v>948</v>
      </c>
      <c r="AJ23" s="41">
        <v>948</v>
      </c>
      <c r="AK23" s="41">
        <v>948</v>
      </c>
      <c r="AL23" s="41">
        <v>948</v>
      </c>
      <c r="AM23" s="41">
        <v>948</v>
      </c>
      <c r="AN23" s="41">
        <v>948</v>
      </c>
      <c r="AO23" s="41">
        <v>948</v>
      </c>
      <c r="AP23" s="41">
        <v>948</v>
      </c>
      <c r="AQ23" s="41">
        <v>948</v>
      </c>
      <c r="AR23" s="41">
        <v>961</v>
      </c>
      <c r="AS23" s="41">
        <v>961</v>
      </c>
      <c r="AT23" s="41">
        <v>961</v>
      </c>
      <c r="AU23" s="41">
        <v>957</v>
      </c>
      <c r="AV23" s="41">
        <v>957</v>
      </c>
      <c r="AW23" s="41">
        <v>957</v>
      </c>
      <c r="AX23" s="41">
        <v>957</v>
      </c>
      <c r="AY23" s="41">
        <v>957</v>
      </c>
      <c r="AZ23" s="41">
        <v>957</v>
      </c>
      <c r="BA23" s="41">
        <v>957</v>
      </c>
      <c r="BB23" s="41">
        <v>1342</v>
      </c>
      <c r="BC23" s="41">
        <v>1342</v>
      </c>
      <c r="BD23" s="41">
        <v>1342</v>
      </c>
      <c r="BE23" s="41">
        <v>1342</v>
      </c>
      <c r="BF23" s="41">
        <v>1342</v>
      </c>
      <c r="BG23" s="41">
        <v>1342</v>
      </c>
      <c r="BH23" s="41">
        <v>1342</v>
      </c>
      <c r="BI23" s="41">
        <v>1342</v>
      </c>
      <c r="BJ23" s="41">
        <v>1342</v>
      </c>
      <c r="BK23" s="41">
        <v>1342</v>
      </c>
      <c r="BL23" s="41">
        <v>1528</v>
      </c>
      <c r="BM23" s="41">
        <v>1528</v>
      </c>
      <c r="BN23" s="41">
        <v>1528</v>
      </c>
      <c r="BO23" s="41">
        <v>1528</v>
      </c>
      <c r="BP23" s="41">
        <v>1528</v>
      </c>
      <c r="BQ23" s="41">
        <v>1528</v>
      </c>
      <c r="BR23" s="41">
        <v>1528</v>
      </c>
      <c r="BS23" s="41">
        <v>1528</v>
      </c>
      <c r="BT23" s="41">
        <v>1528</v>
      </c>
      <c r="BU23" s="41">
        <v>1528</v>
      </c>
    </row>
    <row r="24" spans="1:73" ht="15" customHeight="1">
      <c r="A24" s="122">
        <v>7000</v>
      </c>
      <c r="B24" s="122">
        <v>4</v>
      </c>
      <c r="C24" s="122">
        <v>10</v>
      </c>
      <c r="D24" s="122">
        <v>8</v>
      </c>
      <c r="E24" s="41">
        <v>985</v>
      </c>
      <c r="F24" s="41">
        <v>985</v>
      </c>
      <c r="G24" s="41">
        <v>985</v>
      </c>
      <c r="H24" s="41">
        <v>985</v>
      </c>
      <c r="I24" s="41">
        <v>985</v>
      </c>
      <c r="J24" s="41">
        <v>985</v>
      </c>
      <c r="K24" s="41">
        <v>985</v>
      </c>
      <c r="L24" s="41">
        <v>985</v>
      </c>
      <c r="M24" s="41">
        <v>985</v>
      </c>
      <c r="N24" s="41">
        <v>985</v>
      </c>
      <c r="O24" s="41">
        <v>985</v>
      </c>
      <c r="P24" s="41">
        <v>985</v>
      </c>
      <c r="Q24" s="41">
        <v>985</v>
      </c>
      <c r="R24" s="41">
        <v>985</v>
      </c>
      <c r="S24" s="41">
        <v>985</v>
      </c>
      <c r="T24" s="41">
        <v>998</v>
      </c>
      <c r="U24" s="41">
        <v>998</v>
      </c>
      <c r="V24" s="41">
        <v>998</v>
      </c>
      <c r="W24" s="41">
        <v>998</v>
      </c>
      <c r="X24" s="41">
        <v>998</v>
      </c>
      <c r="Y24" s="41">
        <v>998</v>
      </c>
      <c r="Z24" s="41">
        <v>998</v>
      </c>
      <c r="AA24" s="41">
        <v>998</v>
      </c>
      <c r="AB24" s="41">
        <v>998</v>
      </c>
      <c r="AC24" s="41">
        <v>998</v>
      </c>
      <c r="AD24" s="41">
        <v>998</v>
      </c>
      <c r="AE24" s="41">
        <v>998</v>
      </c>
      <c r="AF24" s="41">
        <v>998</v>
      </c>
      <c r="AG24" s="41">
        <v>998</v>
      </c>
      <c r="AH24" s="41">
        <v>998</v>
      </c>
      <c r="AI24" s="41">
        <v>998</v>
      </c>
      <c r="AJ24" s="41">
        <v>998</v>
      </c>
      <c r="AK24" s="41">
        <v>998</v>
      </c>
      <c r="AL24" s="41">
        <v>998</v>
      </c>
      <c r="AM24" s="41">
        <v>998</v>
      </c>
      <c r="AN24" s="41">
        <v>998</v>
      </c>
      <c r="AO24" s="41">
        <v>998</v>
      </c>
      <c r="AP24" s="41">
        <v>998</v>
      </c>
      <c r="AQ24" s="41">
        <v>998</v>
      </c>
      <c r="AR24" s="41">
        <v>998</v>
      </c>
      <c r="AS24" s="41">
        <v>998</v>
      </c>
      <c r="AT24" s="41">
        <v>998</v>
      </c>
      <c r="AU24" s="41">
        <v>998</v>
      </c>
      <c r="AV24" s="41">
        <v>998</v>
      </c>
      <c r="AW24" s="41">
        <v>998</v>
      </c>
      <c r="AX24" s="41">
        <v>998</v>
      </c>
      <c r="AY24" s="41">
        <v>998</v>
      </c>
      <c r="AZ24" s="41">
        <v>998</v>
      </c>
      <c r="BA24" s="41">
        <v>998</v>
      </c>
      <c r="BB24" s="41">
        <v>1422</v>
      </c>
      <c r="BC24" s="41">
        <v>1422</v>
      </c>
      <c r="BD24" s="41">
        <v>1422</v>
      </c>
      <c r="BE24" s="41">
        <v>1422</v>
      </c>
      <c r="BF24" s="41">
        <v>1422</v>
      </c>
      <c r="BG24" s="41">
        <v>1422</v>
      </c>
      <c r="BH24" s="41">
        <v>1422</v>
      </c>
      <c r="BI24" s="41">
        <v>1422</v>
      </c>
      <c r="BJ24" s="41">
        <v>1422</v>
      </c>
      <c r="BK24" s="41">
        <v>1422</v>
      </c>
      <c r="BL24" s="41">
        <v>1634</v>
      </c>
      <c r="BM24" s="41">
        <v>1634</v>
      </c>
      <c r="BN24" s="41">
        <v>1634</v>
      </c>
      <c r="BO24" s="41">
        <v>1634</v>
      </c>
      <c r="BP24" s="41">
        <v>1634</v>
      </c>
      <c r="BQ24" s="41">
        <v>1634</v>
      </c>
      <c r="BR24" s="41">
        <v>1634</v>
      </c>
      <c r="BS24" s="41">
        <v>1634</v>
      </c>
      <c r="BT24" s="41">
        <v>1634</v>
      </c>
      <c r="BU24" s="41">
        <v>1634</v>
      </c>
    </row>
    <row r="25" spans="1:73" ht="15" customHeight="1">
      <c r="A25" s="3"/>
      <c r="B25" s="3"/>
      <c r="C25" s="3"/>
      <c r="D25" s="3"/>
    </row>
    <row r="26" spans="1:73" ht="15" customHeight="1">
      <c r="A26" s="4" t="s">
        <v>24</v>
      </c>
      <c r="B26" s="3"/>
      <c r="C26" s="3"/>
      <c r="D26" s="3"/>
    </row>
    <row r="27" spans="1:73" ht="15" customHeight="1">
      <c r="A27" s="3"/>
      <c r="B27" s="3"/>
      <c r="C27" s="3"/>
      <c r="D27" s="3"/>
    </row>
    <row r="28" spans="1:73" ht="15" customHeight="1">
      <c r="A28" s="6" t="s">
        <v>25</v>
      </c>
      <c r="B28" s="40"/>
      <c r="C28" s="6" t="s">
        <v>26</v>
      </c>
      <c r="D28" s="27"/>
      <c r="E28" s="6"/>
      <c r="F28" s="40"/>
      <c r="G28" s="40" t="s">
        <v>27</v>
      </c>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t="s">
        <v>27</v>
      </c>
      <c r="AH28" s="40"/>
      <c r="AI28" s="40"/>
      <c r="AJ28" s="40"/>
      <c r="AK28" s="40"/>
      <c r="AL28" s="40"/>
      <c r="AM28" s="40"/>
      <c r="AN28" s="40"/>
      <c r="AO28" s="40"/>
      <c r="AP28" s="40"/>
      <c r="AQ28" s="40"/>
      <c r="AR28" s="40"/>
      <c r="AS28" s="40"/>
      <c r="AT28" s="40" t="s">
        <v>27</v>
      </c>
      <c r="AU28" s="40"/>
      <c r="AV28" s="40"/>
      <c r="AW28" s="40"/>
      <c r="AX28" s="40"/>
      <c r="AY28" s="40"/>
      <c r="AZ28" s="40"/>
      <c r="BA28" s="40"/>
      <c r="BB28" s="40"/>
      <c r="BC28" s="40"/>
      <c r="BD28" s="40"/>
      <c r="BE28" s="40"/>
      <c r="BF28" s="40"/>
      <c r="BG28" s="40" t="s">
        <v>27</v>
      </c>
      <c r="BH28" s="40"/>
      <c r="BI28" s="40"/>
      <c r="BJ28" s="40"/>
      <c r="BK28" s="40"/>
      <c r="BL28" s="40"/>
      <c r="BM28" s="40"/>
      <c r="BN28" s="40"/>
      <c r="BO28" s="40"/>
      <c r="BP28" s="40"/>
      <c r="BQ28" s="40"/>
      <c r="BR28" s="40"/>
      <c r="BS28" s="40"/>
      <c r="BT28" s="40"/>
      <c r="BU28" s="27"/>
    </row>
    <row r="29" spans="1:73" ht="15" customHeight="1">
      <c r="A29" s="222" t="s">
        <v>28</v>
      </c>
      <c r="B29" s="223"/>
      <c r="C29" s="6" t="s">
        <v>29</v>
      </c>
      <c r="D29" s="73"/>
      <c r="E29" s="88" t="s">
        <v>43</v>
      </c>
      <c r="F29" s="88" t="s">
        <v>43</v>
      </c>
      <c r="G29" s="88" t="s">
        <v>43</v>
      </c>
      <c r="H29" s="88" t="s">
        <v>43</v>
      </c>
      <c r="I29" s="88" t="s">
        <v>43</v>
      </c>
      <c r="J29" s="88" t="s">
        <v>43</v>
      </c>
      <c r="K29" s="88" t="s">
        <v>43</v>
      </c>
      <c r="L29" s="88" t="s">
        <v>43</v>
      </c>
      <c r="M29" s="88" t="s">
        <v>43</v>
      </c>
      <c r="N29" s="88" t="s">
        <v>43</v>
      </c>
      <c r="O29" s="88" t="s">
        <v>43</v>
      </c>
      <c r="P29" s="88" t="s">
        <v>43</v>
      </c>
      <c r="Q29" s="88" t="s">
        <v>43</v>
      </c>
      <c r="R29" s="88" t="s">
        <v>43</v>
      </c>
      <c r="S29" s="88" t="s">
        <v>43</v>
      </c>
      <c r="T29" s="88" t="s">
        <v>43</v>
      </c>
      <c r="U29" s="88" t="s">
        <v>43</v>
      </c>
      <c r="V29" s="88" t="s">
        <v>43</v>
      </c>
      <c r="W29" s="88" t="s">
        <v>43</v>
      </c>
      <c r="X29" s="88" t="s">
        <v>43</v>
      </c>
      <c r="Y29" s="88" t="s">
        <v>43</v>
      </c>
      <c r="Z29" s="88" t="s">
        <v>43</v>
      </c>
      <c r="AA29" s="88" t="s">
        <v>43</v>
      </c>
      <c r="AB29" s="88" t="s">
        <v>43</v>
      </c>
      <c r="AC29" s="88" t="s">
        <v>43</v>
      </c>
      <c r="AD29" s="88" t="s">
        <v>43</v>
      </c>
      <c r="AE29" s="88" t="s">
        <v>43</v>
      </c>
      <c r="AF29" s="88" t="s">
        <v>43</v>
      </c>
      <c r="AG29" s="88" t="s">
        <v>43</v>
      </c>
      <c r="AH29" s="88" t="s">
        <v>43</v>
      </c>
      <c r="AI29" s="88" t="s">
        <v>43</v>
      </c>
      <c r="AJ29" s="88" t="s">
        <v>43</v>
      </c>
      <c r="AK29" s="88" t="s">
        <v>43</v>
      </c>
      <c r="AL29" s="88" t="s">
        <v>43</v>
      </c>
      <c r="AM29" s="88" t="s">
        <v>43</v>
      </c>
      <c r="AN29" s="88" t="s">
        <v>43</v>
      </c>
      <c r="AO29" s="88" t="s">
        <v>43</v>
      </c>
      <c r="AP29" s="88" t="s">
        <v>43</v>
      </c>
      <c r="AQ29" s="88" t="s">
        <v>43</v>
      </c>
      <c r="AR29" s="88" t="s">
        <v>43</v>
      </c>
      <c r="AS29" s="88" t="s">
        <v>43</v>
      </c>
      <c r="AT29" s="88" t="s">
        <v>43</v>
      </c>
      <c r="AU29" s="88" t="s">
        <v>43</v>
      </c>
      <c r="AV29" s="88" t="s">
        <v>43</v>
      </c>
      <c r="AW29" s="88" t="s">
        <v>43</v>
      </c>
      <c r="AX29" s="88" t="s">
        <v>43</v>
      </c>
      <c r="AY29" s="88" t="s">
        <v>43</v>
      </c>
      <c r="AZ29" s="88" t="s">
        <v>43</v>
      </c>
      <c r="BA29" s="88" t="s">
        <v>43</v>
      </c>
      <c r="BB29" s="88" t="s">
        <v>43</v>
      </c>
      <c r="BC29" s="88" t="s">
        <v>43</v>
      </c>
      <c r="BD29" s="88" t="s">
        <v>43</v>
      </c>
      <c r="BE29" s="88" t="s">
        <v>43</v>
      </c>
      <c r="BF29" s="88" t="s">
        <v>43</v>
      </c>
      <c r="BG29" s="88" t="s">
        <v>43</v>
      </c>
      <c r="BH29" s="88" t="s">
        <v>43</v>
      </c>
      <c r="BI29" s="88" t="s">
        <v>43</v>
      </c>
      <c r="BJ29" s="88" t="s">
        <v>43</v>
      </c>
      <c r="BK29" s="88" t="s">
        <v>43</v>
      </c>
      <c r="BL29" s="88" t="s">
        <v>43</v>
      </c>
      <c r="BM29" s="88" t="s">
        <v>43</v>
      </c>
      <c r="BN29" s="88" t="s">
        <v>43</v>
      </c>
      <c r="BO29" s="88" t="s">
        <v>43</v>
      </c>
      <c r="BP29" s="88" t="s">
        <v>43</v>
      </c>
      <c r="BQ29" s="88" t="s">
        <v>43</v>
      </c>
      <c r="BR29" s="88" t="s">
        <v>43</v>
      </c>
      <c r="BS29" s="88" t="s">
        <v>43</v>
      </c>
      <c r="BT29" s="88" t="s">
        <v>43</v>
      </c>
      <c r="BU29" s="88" t="s">
        <v>43</v>
      </c>
    </row>
    <row r="30" spans="1:73" ht="15" customHeight="1">
      <c r="A30" s="222" t="s">
        <v>32</v>
      </c>
      <c r="B30" s="223"/>
      <c r="C30" s="6" t="s">
        <v>29</v>
      </c>
      <c r="D30" s="73"/>
      <c r="E30" s="39" t="s">
        <v>43</v>
      </c>
      <c r="F30" s="39" t="s">
        <v>43</v>
      </c>
      <c r="G30" s="39" t="s">
        <v>43</v>
      </c>
      <c r="H30" s="39" t="s">
        <v>43</v>
      </c>
      <c r="I30" s="39" t="s">
        <v>43</v>
      </c>
      <c r="J30" s="39" t="s">
        <v>43</v>
      </c>
      <c r="K30" s="39" t="s">
        <v>43</v>
      </c>
      <c r="L30" s="39" t="s">
        <v>43</v>
      </c>
      <c r="M30" s="39" t="s">
        <v>43</v>
      </c>
      <c r="N30" s="39" t="s">
        <v>43</v>
      </c>
      <c r="O30" s="39" t="s">
        <v>43</v>
      </c>
      <c r="P30" s="39" t="s">
        <v>43</v>
      </c>
      <c r="Q30" s="39" t="s">
        <v>43</v>
      </c>
      <c r="R30" s="39" t="s">
        <v>43</v>
      </c>
      <c r="S30" s="39" t="s">
        <v>43</v>
      </c>
      <c r="T30" s="39" t="s">
        <v>43</v>
      </c>
      <c r="U30" s="39" t="s">
        <v>43</v>
      </c>
      <c r="V30" s="39" t="s">
        <v>43</v>
      </c>
      <c r="W30" s="39" t="s">
        <v>43</v>
      </c>
      <c r="X30" s="39" t="s">
        <v>43</v>
      </c>
      <c r="Y30" s="39" t="s">
        <v>43</v>
      </c>
      <c r="Z30" s="39" t="s">
        <v>43</v>
      </c>
      <c r="AA30" s="39" t="s">
        <v>43</v>
      </c>
      <c r="AB30" s="39" t="s">
        <v>43</v>
      </c>
      <c r="AC30" s="39" t="s">
        <v>43</v>
      </c>
      <c r="AD30" s="39" t="s">
        <v>43</v>
      </c>
      <c r="AE30" s="39" t="s">
        <v>43</v>
      </c>
      <c r="AF30" s="39" t="s">
        <v>43</v>
      </c>
      <c r="AG30" s="39" t="s">
        <v>43</v>
      </c>
      <c r="AH30" s="39" t="s">
        <v>43</v>
      </c>
      <c r="AI30" s="39" t="s">
        <v>43</v>
      </c>
      <c r="AJ30" s="39" t="s">
        <v>43</v>
      </c>
      <c r="AK30" s="39" t="s">
        <v>43</v>
      </c>
      <c r="AL30" s="39" t="s">
        <v>43</v>
      </c>
      <c r="AM30" s="39" t="s">
        <v>43</v>
      </c>
      <c r="AN30" s="39" t="s">
        <v>43</v>
      </c>
      <c r="AO30" s="39" t="s">
        <v>43</v>
      </c>
      <c r="AP30" s="39" t="s">
        <v>43</v>
      </c>
      <c r="AQ30" s="39" t="s">
        <v>43</v>
      </c>
      <c r="AR30" s="39" t="s">
        <v>43</v>
      </c>
      <c r="AS30" s="39" t="s">
        <v>43</v>
      </c>
      <c r="AT30" s="39" t="s">
        <v>43</v>
      </c>
      <c r="AU30" s="39" t="s">
        <v>43</v>
      </c>
      <c r="AV30" s="39" t="s">
        <v>43</v>
      </c>
      <c r="AW30" s="39" t="s">
        <v>43</v>
      </c>
      <c r="AX30" s="39" t="s">
        <v>43</v>
      </c>
      <c r="AY30" s="39" t="s">
        <v>43</v>
      </c>
      <c r="AZ30" s="39" t="s">
        <v>43</v>
      </c>
      <c r="BA30" s="39" t="s">
        <v>43</v>
      </c>
      <c r="BB30" s="39" t="s">
        <v>43</v>
      </c>
      <c r="BC30" s="39" t="s">
        <v>43</v>
      </c>
      <c r="BD30" s="39" t="s">
        <v>43</v>
      </c>
      <c r="BE30" s="39" t="s">
        <v>43</v>
      </c>
      <c r="BF30" s="39" t="s">
        <v>43</v>
      </c>
      <c r="BG30" s="39" t="s">
        <v>43</v>
      </c>
      <c r="BH30" s="39" t="s">
        <v>43</v>
      </c>
      <c r="BI30" s="39" t="s">
        <v>43</v>
      </c>
      <c r="BJ30" s="39" t="s">
        <v>43</v>
      </c>
      <c r="BK30" s="39" t="s">
        <v>43</v>
      </c>
      <c r="BL30" s="39" t="s">
        <v>43</v>
      </c>
      <c r="BM30" s="39" t="s">
        <v>43</v>
      </c>
      <c r="BN30" s="39" t="s">
        <v>43</v>
      </c>
      <c r="BO30" s="39" t="s">
        <v>43</v>
      </c>
      <c r="BP30" s="39" t="s">
        <v>43</v>
      </c>
      <c r="BQ30" s="39" t="s">
        <v>43</v>
      </c>
      <c r="BR30" s="39" t="s">
        <v>43</v>
      </c>
      <c r="BS30" s="39" t="s">
        <v>43</v>
      </c>
      <c r="BT30" s="39" t="s">
        <v>43</v>
      </c>
      <c r="BU30" s="39" t="s">
        <v>43</v>
      </c>
    </row>
    <row r="31" spans="1:73" ht="15" customHeight="1">
      <c r="A31" s="227" t="s">
        <v>33</v>
      </c>
      <c r="B31" s="228"/>
      <c r="C31" s="6" t="s">
        <v>29</v>
      </c>
      <c r="D31" s="76"/>
      <c r="E31" s="39">
        <v>3</v>
      </c>
      <c r="F31" s="39">
        <v>3</v>
      </c>
      <c r="G31" s="39">
        <v>3</v>
      </c>
      <c r="H31" s="39">
        <v>3</v>
      </c>
      <c r="I31" s="39">
        <v>3</v>
      </c>
      <c r="J31" s="39">
        <v>3</v>
      </c>
      <c r="K31" s="39">
        <v>3</v>
      </c>
      <c r="L31" s="39">
        <v>3</v>
      </c>
      <c r="M31" s="39">
        <v>3</v>
      </c>
      <c r="N31" s="39">
        <v>3</v>
      </c>
      <c r="O31" s="39">
        <v>3</v>
      </c>
      <c r="P31" s="39">
        <v>3</v>
      </c>
      <c r="Q31" s="39">
        <v>3</v>
      </c>
      <c r="R31" s="39">
        <v>3</v>
      </c>
      <c r="S31" s="39">
        <v>3</v>
      </c>
      <c r="T31" s="39">
        <v>3</v>
      </c>
      <c r="U31" s="39">
        <v>3</v>
      </c>
      <c r="V31" s="39">
        <v>3</v>
      </c>
      <c r="W31" s="39">
        <v>3</v>
      </c>
      <c r="X31" s="39">
        <v>3</v>
      </c>
      <c r="Y31" s="39">
        <v>3</v>
      </c>
      <c r="Z31" s="39">
        <v>3</v>
      </c>
      <c r="AA31" s="39">
        <v>3</v>
      </c>
      <c r="AB31" s="39">
        <v>3</v>
      </c>
      <c r="AC31" s="39">
        <v>3</v>
      </c>
      <c r="AD31" s="39">
        <v>3</v>
      </c>
      <c r="AE31" s="39">
        <v>3</v>
      </c>
      <c r="AF31" s="39">
        <v>3</v>
      </c>
      <c r="AG31" s="39">
        <v>3</v>
      </c>
      <c r="AH31" s="39">
        <v>3</v>
      </c>
      <c r="AI31" s="39">
        <v>3</v>
      </c>
      <c r="AJ31" s="39">
        <v>3</v>
      </c>
      <c r="AK31" s="39">
        <v>3</v>
      </c>
      <c r="AL31" s="39">
        <v>3</v>
      </c>
      <c r="AM31" s="39">
        <v>3</v>
      </c>
      <c r="AN31" s="39">
        <v>3</v>
      </c>
      <c r="AO31" s="39">
        <v>3</v>
      </c>
      <c r="AP31" s="39">
        <v>3</v>
      </c>
      <c r="AQ31" s="39">
        <v>3</v>
      </c>
      <c r="AR31" s="39">
        <v>3</v>
      </c>
      <c r="AS31" s="39">
        <v>3</v>
      </c>
      <c r="AT31" s="39">
        <v>3</v>
      </c>
      <c r="AU31" s="39">
        <v>3</v>
      </c>
      <c r="AV31" s="39">
        <v>3</v>
      </c>
      <c r="AW31" s="39">
        <v>3</v>
      </c>
      <c r="AX31" s="39">
        <v>3</v>
      </c>
      <c r="AY31" s="39">
        <v>3</v>
      </c>
      <c r="AZ31" s="39">
        <v>3</v>
      </c>
      <c r="BA31" s="39">
        <v>3</v>
      </c>
      <c r="BB31" s="39">
        <v>3</v>
      </c>
      <c r="BC31" s="39">
        <v>3</v>
      </c>
      <c r="BD31" s="39">
        <v>3</v>
      </c>
      <c r="BE31" s="39">
        <v>3</v>
      </c>
      <c r="BF31" s="39">
        <v>3</v>
      </c>
      <c r="BG31" s="39">
        <v>3</v>
      </c>
      <c r="BH31" s="39">
        <v>3</v>
      </c>
      <c r="BI31" s="39">
        <v>3</v>
      </c>
      <c r="BJ31" s="39">
        <v>3</v>
      </c>
      <c r="BK31" s="39">
        <v>3</v>
      </c>
      <c r="BL31" s="39">
        <v>3</v>
      </c>
      <c r="BM31" s="39">
        <v>3</v>
      </c>
      <c r="BN31" s="39">
        <v>3</v>
      </c>
      <c r="BO31" s="39">
        <v>3</v>
      </c>
      <c r="BP31" s="39">
        <v>3</v>
      </c>
      <c r="BQ31" s="39">
        <v>3</v>
      </c>
      <c r="BR31" s="39">
        <v>3</v>
      </c>
      <c r="BS31" s="39">
        <v>3</v>
      </c>
      <c r="BT31" s="39">
        <v>3</v>
      </c>
      <c r="BU31" s="39">
        <v>3</v>
      </c>
    </row>
    <row r="33" spans="1:1">
      <c r="A33" s="89" t="s">
        <v>52</v>
      </c>
    </row>
    <row r="34" spans="1:1">
      <c r="A34" s="86" t="s">
        <v>59</v>
      </c>
    </row>
    <row r="35" spans="1:1">
      <c r="A35" s="26" t="s">
        <v>60</v>
      </c>
    </row>
  </sheetData>
  <mergeCells count="3">
    <mergeCell ref="A29:B29"/>
    <mergeCell ref="A30:B30"/>
    <mergeCell ref="A31:B31"/>
  </mergeCells>
  <conditionalFormatting sqref="E7:BU24">
    <cfRule type="cellIs" dxfId="9" priority="1" stopIfTrue="1" operator="lessThan">
      <formula>#REF!</formula>
    </cfRule>
    <cfRule type="cellIs" dxfId="8" priority="2" operator="lessThan">
      <formula>#REF!</formula>
    </cfRule>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D4433-922E-42A0-B419-A426791CB1AA}">
  <dimension ref="A1:AY35"/>
  <sheetViews>
    <sheetView showGridLines="0" workbookViewId="0">
      <pane xSplit="4" ySplit="6" topLeftCell="E7" activePane="bottomRight" state="frozen"/>
      <selection pane="bottomRight" activeCell="E7" sqref="E7"/>
      <selection pane="bottomLeft" activeCell="E1" sqref="E1:MB1048576"/>
      <selection pane="topRight" activeCell="E1" sqref="E1:MB1048576"/>
    </sheetView>
  </sheetViews>
  <sheetFormatPr defaultRowHeight="15"/>
  <cols>
    <col min="1" max="4" width="11.7109375" style="1" customWidth="1"/>
    <col min="5" max="5" width="10.5703125" style="3" customWidth="1"/>
    <col min="6" max="340" width="10.5703125" customWidth="1"/>
  </cols>
  <sheetData>
    <row r="1" spans="1:51" ht="15" customHeight="1"/>
    <row r="2" spans="1:51" ht="15" customHeight="1">
      <c r="A2" s="9"/>
      <c r="B2" s="7"/>
      <c r="C2" s="7"/>
      <c r="D2" s="7"/>
      <c r="E2" s="7"/>
    </row>
    <row r="3" spans="1:51" ht="20.45" customHeight="1">
      <c r="A3" s="9" t="str">
        <f>Voorblad!A5</f>
        <v>Team Freight Forwarding Logistics</v>
      </c>
      <c r="B3" s="8"/>
      <c r="C3" s="8"/>
      <c r="D3" s="8"/>
      <c r="E3" s="48"/>
    </row>
    <row r="4" spans="1:51" s="51" customFormat="1" ht="15.75">
      <c r="A4" s="62" t="s">
        <v>214</v>
      </c>
      <c r="B4" s="49"/>
      <c r="C4" s="50"/>
      <c r="D4" s="50"/>
      <c r="E4" s="50"/>
    </row>
    <row r="5" spans="1:51" ht="15" customHeight="1">
      <c r="A5" s="7"/>
      <c r="B5" s="7"/>
      <c r="C5" s="7"/>
      <c r="D5" s="7"/>
      <c r="E5" s="26"/>
    </row>
    <row r="6" spans="1:51" ht="15" customHeight="1">
      <c r="A6" s="63" t="s">
        <v>20</v>
      </c>
      <c r="B6" s="63" t="s">
        <v>21</v>
      </c>
      <c r="C6" s="64" t="s">
        <v>22</v>
      </c>
      <c r="D6" s="64" t="s">
        <v>23</v>
      </c>
      <c r="E6" s="94" t="s">
        <v>63</v>
      </c>
      <c r="F6" s="94" t="s">
        <v>64</v>
      </c>
      <c r="G6" s="94" t="s">
        <v>65</v>
      </c>
      <c r="H6" s="113" t="s">
        <v>66</v>
      </c>
      <c r="I6" s="94" t="s">
        <v>67</v>
      </c>
      <c r="J6" s="94" t="s">
        <v>68</v>
      </c>
      <c r="K6" s="94" t="s">
        <v>69</v>
      </c>
      <c r="L6" s="94" t="s">
        <v>70</v>
      </c>
      <c r="M6" s="94">
        <v>10</v>
      </c>
      <c r="N6" s="2">
        <v>11</v>
      </c>
      <c r="O6" s="2">
        <v>12</v>
      </c>
      <c r="P6" s="2">
        <v>13</v>
      </c>
      <c r="Q6" s="2">
        <v>14</v>
      </c>
      <c r="R6" s="2">
        <v>20</v>
      </c>
      <c r="S6" s="2">
        <v>21</v>
      </c>
      <c r="T6" s="2">
        <v>22</v>
      </c>
      <c r="U6" s="2">
        <v>23</v>
      </c>
      <c r="V6" s="2">
        <v>24</v>
      </c>
      <c r="W6" s="2">
        <v>30</v>
      </c>
      <c r="X6" s="2">
        <v>31</v>
      </c>
      <c r="Y6" s="2">
        <v>32</v>
      </c>
      <c r="Z6" s="2">
        <v>33</v>
      </c>
      <c r="AA6" s="2">
        <v>40</v>
      </c>
      <c r="AB6" s="2">
        <v>41</v>
      </c>
      <c r="AC6" s="2">
        <v>42</v>
      </c>
      <c r="AD6" s="2">
        <v>43</v>
      </c>
      <c r="AE6" s="2">
        <v>44</v>
      </c>
      <c r="AF6" s="2">
        <v>45</v>
      </c>
      <c r="AG6" s="2">
        <v>50</v>
      </c>
      <c r="AH6" s="2">
        <v>51</v>
      </c>
      <c r="AI6" s="2">
        <v>52</v>
      </c>
      <c r="AJ6" s="2">
        <v>53</v>
      </c>
      <c r="AK6" s="2">
        <v>54</v>
      </c>
      <c r="AL6" s="2">
        <v>55</v>
      </c>
      <c r="AM6" s="2">
        <v>60</v>
      </c>
      <c r="AN6" s="2">
        <v>61</v>
      </c>
      <c r="AO6" s="2">
        <v>62</v>
      </c>
      <c r="AP6" s="2">
        <v>70</v>
      </c>
      <c r="AQ6" s="2">
        <v>71</v>
      </c>
      <c r="AR6" s="2">
        <v>72</v>
      </c>
      <c r="AS6" s="2">
        <v>73</v>
      </c>
      <c r="AT6" s="2">
        <v>80</v>
      </c>
      <c r="AU6" s="2">
        <v>81</v>
      </c>
      <c r="AV6" s="2">
        <v>82</v>
      </c>
      <c r="AW6" s="2">
        <v>90</v>
      </c>
      <c r="AX6" s="2">
        <v>91</v>
      </c>
      <c r="AY6" s="2">
        <v>92</v>
      </c>
    </row>
    <row r="7" spans="1:51" ht="15" customHeight="1">
      <c r="A7" s="64">
        <v>300</v>
      </c>
      <c r="B7" s="64">
        <v>0.2</v>
      </c>
      <c r="C7" s="64">
        <v>0.5</v>
      </c>
      <c r="D7" s="64"/>
      <c r="E7" s="41">
        <v>169</v>
      </c>
      <c r="F7" s="41">
        <v>169</v>
      </c>
      <c r="G7" s="41">
        <v>169</v>
      </c>
      <c r="H7" s="41">
        <v>169</v>
      </c>
      <c r="I7" s="41">
        <v>169</v>
      </c>
      <c r="J7" s="41">
        <v>169</v>
      </c>
      <c r="K7" s="41">
        <v>169</v>
      </c>
      <c r="L7" s="41">
        <v>169</v>
      </c>
      <c r="M7" s="41">
        <v>169</v>
      </c>
      <c r="N7" s="41">
        <v>169</v>
      </c>
      <c r="O7" s="41">
        <v>169</v>
      </c>
      <c r="P7" s="41">
        <v>169</v>
      </c>
      <c r="Q7" s="41">
        <v>169</v>
      </c>
      <c r="R7" s="41">
        <v>180</v>
      </c>
      <c r="S7" s="41">
        <v>189</v>
      </c>
      <c r="T7" s="41">
        <v>189</v>
      </c>
      <c r="U7" s="41">
        <v>180</v>
      </c>
      <c r="V7" s="41">
        <v>180</v>
      </c>
      <c r="W7" s="41">
        <v>209</v>
      </c>
      <c r="X7" s="41">
        <v>209</v>
      </c>
      <c r="Y7" s="41">
        <v>209</v>
      </c>
      <c r="Z7" s="41">
        <v>201</v>
      </c>
      <c r="AA7" s="41">
        <v>201</v>
      </c>
      <c r="AB7" s="41">
        <v>221</v>
      </c>
      <c r="AC7" s="41">
        <v>201</v>
      </c>
      <c r="AD7" s="41">
        <v>221</v>
      </c>
      <c r="AE7" s="41">
        <v>221</v>
      </c>
      <c r="AF7" s="41">
        <v>221</v>
      </c>
      <c r="AG7" s="41">
        <v>180</v>
      </c>
      <c r="AH7" s="41">
        <v>189</v>
      </c>
      <c r="AI7" s="41">
        <v>180</v>
      </c>
      <c r="AJ7" s="41">
        <v>189</v>
      </c>
      <c r="AK7" s="41">
        <v>189</v>
      </c>
      <c r="AL7" s="41">
        <v>180</v>
      </c>
      <c r="AM7" s="41">
        <v>189</v>
      </c>
      <c r="AN7" s="41">
        <v>189</v>
      </c>
      <c r="AO7" s="41">
        <v>180</v>
      </c>
      <c r="AP7" s="41">
        <v>201</v>
      </c>
      <c r="AQ7" s="41">
        <v>201</v>
      </c>
      <c r="AR7" s="41">
        <v>201</v>
      </c>
      <c r="AS7" s="41">
        <v>189</v>
      </c>
      <c r="AT7" s="41">
        <v>180</v>
      </c>
      <c r="AU7" s="41">
        <v>180</v>
      </c>
      <c r="AV7" s="41">
        <v>180</v>
      </c>
      <c r="AW7" s="41">
        <v>180</v>
      </c>
      <c r="AX7" s="41">
        <v>169</v>
      </c>
      <c r="AY7" s="41">
        <v>169</v>
      </c>
    </row>
    <row r="8" spans="1:51" ht="15" customHeight="1">
      <c r="A8" s="64">
        <v>700</v>
      </c>
      <c r="B8" s="64">
        <v>0.4</v>
      </c>
      <c r="C8" s="64">
        <v>1</v>
      </c>
      <c r="D8" s="64"/>
      <c r="E8" s="41">
        <v>211</v>
      </c>
      <c r="F8" s="41">
        <v>211</v>
      </c>
      <c r="G8" s="41">
        <v>211</v>
      </c>
      <c r="H8" s="41">
        <v>211</v>
      </c>
      <c r="I8" s="41">
        <v>211</v>
      </c>
      <c r="J8" s="41">
        <v>211</v>
      </c>
      <c r="K8" s="41">
        <v>211</v>
      </c>
      <c r="L8" s="41">
        <v>211</v>
      </c>
      <c r="M8" s="41">
        <v>211</v>
      </c>
      <c r="N8" s="41">
        <v>211</v>
      </c>
      <c r="O8" s="41">
        <v>211</v>
      </c>
      <c r="P8" s="41">
        <v>211</v>
      </c>
      <c r="Q8" s="41">
        <v>211</v>
      </c>
      <c r="R8" s="41">
        <v>224</v>
      </c>
      <c r="S8" s="41">
        <v>235</v>
      </c>
      <c r="T8" s="41">
        <v>235</v>
      </c>
      <c r="U8" s="41">
        <v>224</v>
      </c>
      <c r="V8" s="41">
        <v>224</v>
      </c>
      <c r="W8" s="41">
        <v>263</v>
      </c>
      <c r="X8" s="41">
        <v>263</v>
      </c>
      <c r="Y8" s="41">
        <v>263</v>
      </c>
      <c r="Z8" s="41">
        <v>251</v>
      </c>
      <c r="AA8" s="41">
        <v>251</v>
      </c>
      <c r="AB8" s="41">
        <v>275</v>
      </c>
      <c r="AC8" s="41">
        <v>251</v>
      </c>
      <c r="AD8" s="41">
        <v>275</v>
      </c>
      <c r="AE8" s="41">
        <v>275</v>
      </c>
      <c r="AF8" s="41">
        <v>275</v>
      </c>
      <c r="AG8" s="41">
        <v>224</v>
      </c>
      <c r="AH8" s="41">
        <v>235</v>
      </c>
      <c r="AI8" s="41">
        <v>224</v>
      </c>
      <c r="AJ8" s="41">
        <v>235</v>
      </c>
      <c r="AK8" s="41">
        <v>235</v>
      </c>
      <c r="AL8" s="41">
        <v>224</v>
      </c>
      <c r="AM8" s="41">
        <v>235</v>
      </c>
      <c r="AN8" s="41">
        <v>235</v>
      </c>
      <c r="AO8" s="41">
        <v>224</v>
      </c>
      <c r="AP8" s="41">
        <v>251</v>
      </c>
      <c r="AQ8" s="41">
        <v>251</v>
      </c>
      <c r="AR8" s="41">
        <v>251</v>
      </c>
      <c r="AS8" s="41">
        <v>235</v>
      </c>
      <c r="AT8" s="41">
        <v>224</v>
      </c>
      <c r="AU8" s="41">
        <v>224</v>
      </c>
      <c r="AV8" s="41">
        <v>224</v>
      </c>
      <c r="AW8" s="41">
        <v>224</v>
      </c>
      <c r="AX8" s="41">
        <v>211</v>
      </c>
      <c r="AY8" s="41">
        <v>211</v>
      </c>
    </row>
    <row r="9" spans="1:51" ht="15" customHeight="1">
      <c r="A9" s="64">
        <v>875</v>
      </c>
      <c r="B9" s="64">
        <v>0.5</v>
      </c>
      <c r="C9" s="64"/>
      <c r="D9" s="64">
        <v>1</v>
      </c>
      <c r="E9" s="41">
        <v>290</v>
      </c>
      <c r="F9" s="41">
        <v>290</v>
      </c>
      <c r="G9" s="41">
        <v>290</v>
      </c>
      <c r="H9" s="41">
        <v>290</v>
      </c>
      <c r="I9" s="41">
        <v>290</v>
      </c>
      <c r="J9" s="41">
        <v>290</v>
      </c>
      <c r="K9" s="41">
        <v>290</v>
      </c>
      <c r="L9" s="41">
        <v>290</v>
      </c>
      <c r="M9" s="41">
        <v>290</v>
      </c>
      <c r="N9" s="41">
        <v>290</v>
      </c>
      <c r="O9" s="41">
        <v>290</v>
      </c>
      <c r="P9" s="41">
        <v>290</v>
      </c>
      <c r="Q9" s="41">
        <v>290</v>
      </c>
      <c r="R9" s="41">
        <v>297</v>
      </c>
      <c r="S9" s="41">
        <v>311</v>
      </c>
      <c r="T9" s="41">
        <v>311</v>
      </c>
      <c r="U9" s="41">
        <v>297</v>
      </c>
      <c r="V9" s="41">
        <v>297</v>
      </c>
      <c r="W9" s="41">
        <v>338</v>
      </c>
      <c r="X9" s="41">
        <v>338</v>
      </c>
      <c r="Y9" s="41">
        <v>338</v>
      </c>
      <c r="Z9" s="41">
        <v>328</v>
      </c>
      <c r="AA9" s="41">
        <v>328</v>
      </c>
      <c r="AB9" s="41">
        <v>369</v>
      </c>
      <c r="AC9" s="41">
        <v>328</v>
      </c>
      <c r="AD9" s="41">
        <v>369</v>
      </c>
      <c r="AE9" s="41">
        <v>369</v>
      </c>
      <c r="AF9" s="41">
        <v>369</v>
      </c>
      <c r="AG9" s="41">
        <v>297</v>
      </c>
      <c r="AH9" s="41">
        <v>311</v>
      </c>
      <c r="AI9" s="41">
        <v>297</v>
      </c>
      <c r="AJ9" s="41">
        <v>311</v>
      </c>
      <c r="AK9" s="41">
        <v>311</v>
      </c>
      <c r="AL9" s="41">
        <v>297</v>
      </c>
      <c r="AM9" s="41">
        <v>311</v>
      </c>
      <c r="AN9" s="41">
        <v>311</v>
      </c>
      <c r="AO9" s="41">
        <v>297</v>
      </c>
      <c r="AP9" s="41">
        <v>328</v>
      </c>
      <c r="AQ9" s="41">
        <v>328</v>
      </c>
      <c r="AR9" s="41">
        <v>328</v>
      </c>
      <c r="AS9" s="41">
        <v>311</v>
      </c>
      <c r="AT9" s="41">
        <v>297</v>
      </c>
      <c r="AU9" s="41">
        <v>297</v>
      </c>
      <c r="AV9" s="41">
        <v>297</v>
      </c>
      <c r="AW9" s="41">
        <v>297</v>
      </c>
      <c r="AX9" s="41">
        <v>290</v>
      </c>
      <c r="AY9" s="41">
        <v>290</v>
      </c>
    </row>
    <row r="10" spans="1:51" ht="15" customHeight="1">
      <c r="A10" s="64">
        <v>1050</v>
      </c>
      <c r="B10" s="64">
        <v>0.6</v>
      </c>
      <c r="C10" s="64"/>
      <c r="D10" s="64"/>
      <c r="E10" s="41">
        <v>298</v>
      </c>
      <c r="F10" s="41">
        <v>298</v>
      </c>
      <c r="G10" s="41">
        <v>298</v>
      </c>
      <c r="H10" s="41">
        <v>298</v>
      </c>
      <c r="I10" s="41">
        <v>298</v>
      </c>
      <c r="J10" s="41">
        <v>298</v>
      </c>
      <c r="K10" s="41">
        <v>298</v>
      </c>
      <c r="L10" s="41">
        <v>298</v>
      </c>
      <c r="M10" s="41">
        <v>298</v>
      </c>
      <c r="N10" s="41">
        <v>298</v>
      </c>
      <c r="O10" s="41">
        <v>298</v>
      </c>
      <c r="P10" s="41">
        <v>298</v>
      </c>
      <c r="Q10" s="41">
        <v>298</v>
      </c>
      <c r="R10" s="41">
        <v>306</v>
      </c>
      <c r="S10" s="41">
        <v>319</v>
      </c>
      <c r="T10" s="41">
        <v>319</v>
      </c>
      <c r="U10" s="41">
        <v>306</v>
      </c>
      <c r="V10" s="41">
        <v>306</v>
      </c>
      <c r="W10" s="41">
        <v>346</v>
      </c>
      <c r="X10" s="41">
        <v>346</v>
      </c>
      <c r="Y10" s="41">
        <v>346</v>
      </c>
      <c r="Z10" s="41">
        <v>336</v>
      </c>
      <c r="AA10" s="41">
        <v>336</v>
      </c>
      <c r="AB10" s="41">
        <v>377</v>
      </c>
      <c r="AC10" s="41">
        <v>336</v>
      </c>
      <c r="AD10" s="41">
        <v>377</v>
      </c>
      <c r="AE10" s="41">
        <v>377</v>
      </c>
      <c r="AF10" s="41">
        <v>377</v>
      </c>
      <c r="AG10" s="41">
        <v>306</v>
      </c>
      <c r="AH10" s="41">
        <v>319</v>
      </c>
      <c r="AI10" s="41">
        <v>306</v>
      </c>
      <c r="AJ10" s="41">
        <v>319</v>
      </c>
      <c r="AK10" s="41">
        <v>319</v>
      </c>
      <c r="AL10" s="41">
        <v>306</v>
      </c>
      <c r="AM10" s="41">
        <v>319</v>
      </c>
      <c r="AN10" s="41">
        <v>319</v>
      </c>
      <c r="AO10" s="41">
        <v>306</v>
      </c>
      <c r="AP10" s="41">
        <v>336</v>
      </c>
      <c r="AQ10" s="41">
        <v>336</v>
      </c>
      <c r="AR10" s="41">
        <v>336</v>
      </c>
      <c r="AS10" s="41">
        <v>319</v>
      </c>
      <c r="AT10" s="41">
        <v>306</v>
      </c>
      <c r="AU10" s="41">
        <v>306</v>
      </c>
      <c r="AV10" s="41">
        <v>306</v>
      </c>
      <c r="AW10" s="41">
        <v>306</v>
      </c>
      <c r="AX10" s="41">
        <v>298</v>
      </c>
      <c r="AY10" s="41">
        <v>298</v>
      </c>
    </row>
    <row r="11" spans="1:51" ht="15" customHeight="1">
      <c r="A11" s="64">
        <v>1400</v>
      </c>
      <c r="B11" s="64">
        <v>0.8</v>
      </c>
      <c r="C11" s="64">
        <v>2</v>
      </c>
      <c r="D11" s="64"/>
      <c r="E11" s="41">
        <v>347</v>
      </c>
      <c r="F11" s="41">
        <v>347</v>
      </c>
      <c r="G11" s="41">
        <v>347</v>
      </c>
      <c r="H11" s="41">
        <v>347</v>
      </c>
      <c r="I11" s="41">
        <v>347</v>
      </c>
      <c r="J11" s="41">
        <v>347</v>
      </c>
      <c r="K11" s="41">
        <v>347</v>
      </c>
      <c r="L11" s="41">
        <v>347</v>
      </c>
      <c r="M11" s="41">
        <v>347</v>
      </c>
      <c r="N11" s="41">
        <v>347</v>
      </c>
      <c r="O11" s="41">
        <v>347</v>
      </c>
      <c r="P11" s="41">
        <v>347</v>
      </c>
      <c r="Q11" s="41">
        <v>347</v>
      </c>
      <c r="R11" s="41">
        <v>356</v>
      </c>
      <c r="S11" s="41">
        <v>371</v>
      </c>
      <c r="T11" s="41">
        <v>371</v>
      </c>
      <c r="U11" s="41">
        <v>356</v>
      </c>
      <c r="V11" s="41">
        <v>356</v>
      </c>
      <c r="W11" s="41">
        <v>404</v>
      </c>
      <c r="X11" s="41">
        <v>404</v>
      </c>
      <c r="Y11" s="41">
        <v>404</v>
      </c>
      <c r="Z11" s="41">
        <v>392</v>
      </c>
      <c r="AA11" s="41">
        <v>392</v>
      </c>
      <c r="AB11" s="41">
        <v>440</v>
      </c>
      <c r="AC11" s="41">
        <v>392</v>
      </c>
      <c r="AD11" s="41">
        <v>440</v>
      </c>
      <c r="AE11" s="41">
        <v>440</v>
      </c>
      <c r="AF11" s="41">
        <v>440</v>
      </c>
      <c r="AG11" s="41">
        <v>356</v>
      </c>
      <c r="AH11" s="41">
        <v>371</v>
      </c>
      <c r="AI11" s="41">
        <v>356</v>
      </c>
      <c r="AJ11" s="41">
        <v>371</v>
      </c>
      <c r="AK11" s="41">
        <v>371</v>
      </c>
      <c r="AL11" s="41">
        <v>356</v>
      </c>
      <c r="AM11" s="41">
        <v>371</v>
      </c>
      <c r="AN11" s="41">
        <v>371</v>
      </c>
      <c r="AO11" s="41">
        <v>356</v>
      </c>
      <c r="AP11" s="41">
        <v>392</v>
      </c>
      <c r="AQ11" s="41">
        <v>392</v>
      </c>
      <c r="AR11" s="41">
        <v>392</v>
      </c>
      <c r="AS11" s="41">
        <v>371</v>
      </c>
      <c r="AT11" s="41">
        <v>356</v>
      </c>
      <c r="AU11" s="41">
        <v>356</v>
      </c>
      <c r="AV11" s="41">
        <v>356</v>
      </c>
      <c r="AW11" s="41">
        <v>356</v>
      </c>
      <c r="AX11" s="41">
        <v>347</v>
      </c>
      <c r="AY11" s="41">
        <v>347</v>
      </c>
    </row>
    <row r="12" spans="1:51" ht="15" customHeight="1">
      <c r="A12" s="64">
        <v>1750</v>
      </c>
      <c r="B12" s="64">
        <v>1</v>
      </c>
      <c r="C12" s="64"/>
      <c r="D12" s="64">
        <v>2</v>
      </c>
      <c r="E12" s="41">
        <v>407</v>
      </c>
      <c r="F12" s="41">
        <v>407</v>
      </c>
      <c r="G12" s="41">
        <v>407</v>
      </c>
      <c r="H12" s="41">
        <v>407</v>
      </c>
      <c r="I12" s="41">
        <v>407</v>
      </c>
      <c r="J12" s="41">
        <v>407</v>
      </c>
      <c r="K12" s="41">
        <v>407</v>
      </c>
      <c r="L12" s="41">
        <v>407</v>
      </c>
      <c r="M12" s="41">
        <v>407</v>
      </c>
      <c r="N12" s="41">
        <v>407</v>
      </c>
      <c r="O12" s="41">
        <v>407</v>
      </c>
      <c r="P12" s="41">
        <v>407</v>
      </c>
      <c r="Q12" s="41">
        <v>407</v>
      </c>
      <c r="R12" s="41">
        <v>427</v>
      </c>
      <c r="S12" s="41">
        <v>444</v>
      </c>
      <c r="T12" s="41">
        <v>444</v>
      </c>
      <c r="U12" s="41">
        <v>427</v>
      </c>
      <c r="V12" s="41">
        <v>427</v>
      </c>
      <c r="W12" s="41">
        <v>532</v>
      </c>
      <c r="X12" s="41">
        <v>532</v>
      </c>
      <c r="Y12" s="41">
        <v>532</v>
      </c>
      <c r="Z12" s="41">
        <v>466</v>
      </c>
      <c r="AA12" s="41">
        <v>466</v>
      </c>
      <c r="AB12" s="41">
        <v>553</v>
      </c>
      <c r="AC12" s="41">
        <v>466</v>
      </c>
      <c r="AD12" s="41">
        <v>553</v>
      </c>
      <c r="AE12" s="41">
        <v>553</v>
      </c>
      <c r="AF12" s="41">
        <v>553</v>
      </c>
      <c r="AG12" s="41">
        <v>427</v>
      </c>
      <c r="AH12" s="41">
        <v>444</v>
      </c>
      <c r="AI12" s="41">
        <v>427</v>
      </c>
      <c r="AJ12" s="41">
        <v>444</v>
      </c>
      <c r="AK12" s="41">
        <v>444</v>
      </c>
      <c r="AL12" s="41">
        <v>427</v>
      </c>
      <c r="AM12" s="41">
        <v>444</v>
      </c>
      <c r="AN12" s="41">
        <v>444</v>
      </c>
      <c r="AO12" s="41">
        <v>427</v>
      </c>
      <c r="AP12" s="41">
        <v>466</v>
      </c>
      <c r="AQ12" s="41">
        <v>466</v>
      </c>
      <c r="AR12" s="41">
        <v>466</v>
      </c>
      <c r="AS12" s="41">
        <v>444</v>
      </c>
      <c r="AT12" s="41">
        <v>427</v>
      </c>
      <c r="AU12" s="41">
        <v>427</v>
      </c>
      <c r="AV12" s="41">
        <v>427</v>
      </c>
      <c r="AW12" s="41">
        <v>427</v>
      </c>
      <c r="AX12" s="41">
        <v>407</v>
      </c>
      <c r="AY12" s="41">
        <v>407</v>
      </c>
    </row>
    <row r="13" spans="1:51" ht="15" customHeight="1">
      <c r="A13" s="64">
        <v>2100</v>
      </c>
      <c r="B13" s="64">
        <v>1.2</v>
      </c>
      <c r="C13" s="64">
        <v>3</v>
      </c>
      <c r="D13" s="64"/>
      <c r="E13" s="41">
        <v>443</v>
      </c>
      <c r="F13" s="41">
        <v>443</v>
      </c>
      <c r="G13" s="41">
        <v>443</v>
      </c>
      <c r="H13" s="41">
        <v>443</v>
      </c>
      <c r="I13" s="41">
        <v>443</v>
      </c>
      <c r="J13" s="41">
        <v>443</v>
      </c>
      <c r="K13" s="41">
        <v>443</v>
      </c>
      <c r="L13" s="41">
        <v>443</v>
      </c>
      <c r="M13" s="41">
        <v>443</v>
      </c>
      <c r="N13" s="41">
        <v>443</v>
      </c>
      <c r="O13" s="41">
        <v>443</v>
      </c>
      <c r="P13" s="41">
        <v>443</v>
      </c>
      <c r="Q13" s="41">
        <v>443</v>
      </c>
      <c r="R13" s="41">
        <v>464</v>
      </c>
      <c r="S13" s="41">
        <v>482</v>
      </c>
      <c r="T13" s="41">
        <v>482</v>
      </c>
      <c r="U13" s="41">
        <v>464</v>
      </c>
      <c r="V13" s="41">
        <v>464</v>
      </c>
      <c r="W13" s="41">
        <v>578</v>
      </c>
      <c r="X13" s="41">
        <v>578</v>
      </c>
      <c r="Y13" s="41">
        <v>578</v>
      </c>
      <c r="Z13" s="41">
        <v>506</v>
      </c>
      <c r="AA13" s="41">
        <v>506</v>
      </c>
      <c r="AB13" s="41">
        <v>600</v>
      </c>
      <c r="AC13" s="41">
        <v>506</v>
      </c>
      <c r="AD13" s="41">
        <v>600</v>
      </c>
      <c r="AE13" s="41">
        <v>600</v>
      </c>
      <c r="AF13" s="41">
        <v>600</v>
      </c>
      <c r="AG13" s="41">
        <v>464</v>
      </c>
      <c r="AH13" s="41">
        <v>482</v>
      </c>
      <c r="AI13" s="41">
        <v>464</v>
      </c>
      <c r="AJ13" s="41">
        <v>482</v>
      </c>
      <c r="AK13" s="41">
        <v>482</v>
      </c>
      <c r="AL13" s="41">
        <v>464</v>
      </c>
      <c r="AM13" s="41">
        <v>482</v>
      </c>
      <c r="AN13" s="41">
        <v>482</v>
      </c>
      <c r="AO13" s="41">
        <v>464</v>
      </c>
      <c r="AP13" s="41">
        <v>506</v>
      </c>
      <c r="AQ13" s="41">
        <v>506</v>
      </c>
      <c r="AR13" s="41">
        <v>506</v>
      </c>
      <c r="AS13" s="41">
        <v>482</v>
      </c>
      <c r="AT13" s="41">
        <v>464</v>
      </c>
      <c r="AU13" s="41">
        <v>464</v>
      </c>
      <c r="AV13" s="41">
        <v>464</v>
      </c>
      <c r="AW13" s="41">
        <v>464</v>
      </c>
      <c r="AX13" s="41">
        <v>443</v>
      </c>
      <c r="AY13" s="41">
        <v>443</v>
      </c>
    </row>
    <row r="14" spans="1:51" ht="15" customHeight="1">
      <c r="A14" s="64">
        <v>2625</v>
      </c>
      <c r="B14" s="2">
        <v>1.5</v>
      </c>
      <c r="C14" s="82"/>
      <c r="D14" s="64">
        <v>3</v>
      </c>
      <c r="E14" s="41">
        <v>478</v>
      </c>
      <c r="F14" s="41">
        <v>478</v>
      </c>
      <c r="G14" s="41">
        <v>478</v>
      </c>
      <c r="H14" s="41">
        <v>478</v>
      </c>
      <c r="I14" s="41">
        <v>478</v>
      </c>
      <c r="J14" s="41">
        <v>478</v>
      </c>
      <c r="K14" s="41">
        <v>478</v>
      </c>
      <c r="L14" s="41">
        <v>478</v>
      </c>
      <c r="M14" s="41">
        <v>478</v>
      </c>
      <c r="N14" s="41">
        <v>478</v>
      </c>
      <c r="O14" s="41">
        <v>478</v>
      </c>
      <c r="P14" s="41">
        <v>478</v>
      </c>
      <c r="Q14" s="41">
        <v>478</v>
      </c>
      <c r="R14" s="41">
        <v>498</v>
      </c>
      <c r="S14" s="41">
        <v>513</v>
      </c>
      <c r="T14" s="41">
        <v>513</v>
      </c>
      <c r="U14" s="41">
        <v>498</v>
      </c>
      <c r="V14" s="41">
        <v>498</v>
      </c>
      <c r="W14" s="41">
        <v>603</v>
      </c>
      <c r="X14" s="41">
        <v>603</v>
      </c>
      <c r="Y14" s="41">
        <v>603</v>
      </c>
      <c r="Z14" s="41">
        <v>537</v>
      </c>
      <c r="AA14" s="41">
        <v>537</v>
      </c>
      <c r="AB14" s="41">
        <v>623</v>
      </c>
      <c r="AC14" s="41">
        <v>537</v>
      </c>
      <c r="AD14" s="41">
        <v>623</v>
      </c>
      <c r="AE14" s="41">
        <v>623</v>
      </c>
      <c r="AF14" s="41">
        <v>623</v>
      </c>
      <c r="AG14" s="41">
        <v>498</v>
      </c>
      <c r="AH14" s="41">
        <v>513</v>
      </c>
      <c r="AI14" s="41">
        <v>498</v>
      </c>
      <c r="AJ14" s="41">
        <v>513</v>
      </c>
      <c r="AK14" s="41">
        <v>513</v>
      </c>
      <c r="AL14" s="41">
        <v>498</v>
      </c>
      <c r="AM14" s="41">
        <v>513</v>
      </c>
      <c r="AN14" s="41">
        <v>513</v>
      </c>
      <c r="AO14" s="41">
        <v>498</v>
      </c>
      <c r="AP14" s="41">
        <v>537</v>
      </c>
      <c r="AQ14" s="41">
        <v>537</v>
      </c>
      <c r="AR14" s="41">
        <v>537</v>
      </c>
      <c r="AS14" s="41">
        <v>513</v>
      </c>
      <c r="AT14" s="41">
        <v>498</v>
      </c>
      <c r="AU14" s="41">
        <v>498</v>
      </c>
      <c r="AV14" s="41">
        <v>498</v>
      </c>
      <c r="AW14" s="41">
        <v>498</v>
      </c>
      <c r="AX14" s="41">
        <v>478</v>
      </c>
      <c r="AY14" s="41">
        <v>478</v>
      </c>
    </row>
    <row r="15" spans="1:51" ht="15" customHeight="1">
      <c r="A15" s="64">
        <v>2800</v>
      </c>
      <c r="B15" s="64">
        <v>1.6</v>
      </c>
      <c r="C15" s="64">
        <v>4</v>
      </c>
      <c r="D15" s="64"/>
      <c r="E15" s="41">
        <v>560</v>
      </c>
      <c r="F15" s="41">
        <v>560</v>
      </c>
      <c r="G15" s="41">
        <v>560</v>
      </c>
      <c r="H15" s="41">
        <v>560</v>
      </c>
      <c r="I15" s="41">
        <v>560</v>
      </c>
      <c r="J15" s="41">
        <v>560</v>
      </c>
      <c r="K15" s="41">
        <v>560</v>
      </c>
      <c r="L15" s="41">
        <v>560</v>
      </c>
      <c r="M15" s="41">
        <v>560</v>
      </c>
      <c r="N15" s="41">
        <v>560</v>
      </c>
      <c r="O15" s="41">
        <v>560</v>
      </c>
      <c r="P15" s="41">
        <v>560</v>
      </c>
      <c r="Q15" s="41">
        <v>560</v>
      </c>
      <c r="R15" s="41">
        <v>580</v>
      </c>
      <c r="S15" s="41">
        <v>596</v>
      </c>
      <c r="T15" s="41">
        <v>596</v>
      </c>
      <c r="U15" s="41">
        <v>580</v>
      </c>
      <c r="V15" s="41">
        <v>580</v>
      </c>
      <c r="W15" s="41">
        <v>689</v>
      </c>
      <c r="X15" s="41">
        <v>689</v>
      </c>
      <c r="Y15" s="41">
        <v>689</v>
      </c>
      <c r="Z15" s="41">
        <v>620</v>
      </c>
      <c r="AA15" s="41">
        <v>620</v>
      </c>
      <c r="AB15" s="41">
        <v>643</v>
      </c>
      <c r="AC15" s="41">
        <v>620</v>
      </c>
      <c r="AD15" s="41">
        <v>643</v>
      </c>
      <c r="AE15" s="41">
        <v>643</v>
      </c>
      <c r="AF15" s="41">
        <v>643</v>
      </c>
      <c r="AG15" s="41">
        <v>580</v>
      </c>
      <c r="AH15" s="41">
        <v>596</v>
      </c>
      <c r="AI15" s="41">
        <v>580</v>
      </c>
      <c r="AJ15" s="41">
        <v>596</v>
      </c>
      <c r="AK15" s="41">
        <v>596</v>
      </c>
      <c r="AL15" s="41">
        <v>580</v>
      </c>
      <c r="AM15" s="41">
        <v>596</v>
      </c>
      <c r="AN15" s="41">
        <v>596</v>
      </c>
      <c r="AO15" s="41">
        <v>580</v>
      </c>
      <c r="AP15" s="41">
        <v>620</v>
      </c>
      <c r="AQ15" s="41">
        <v>620</v>
      </c>
      <c r="AR15" s="41">
        <v>620</v>
      </c>
      <c r="AS15" s="41">
        <v>596</v>
      </c>
      <c r="AT15" s="41">
        <v>580</v>
      </c>
      <c r="AU15" s="41">
        <v>580</v>
      </c>
      <c r="AV15" s="41">
        <v>580</v>
      </c>
      <c r="AW15" s="41">
        <v>580</v>
      </c>
      <c r="AX15" s="41">
        <v>560</v>
      </c>
      <c r="AY15" s="41">
        <v>560</v>
      </c>
    </row>
    <row r="16" spans="1:51" ht="15" customHeight="1">
      <c r="A16" s="64">
        <v>3500</v>
      </c>
      <c r="B16" s="64">
        <v>2</v>
      </c>
      <c r="C16" s="64">
        <v>5</v>
      </c>
      <c r="D16" s="64">
        <v>4</v>
      </c>
      <c r="E16" s="41">
        <v>705</v>
      </c>
      <c r="F16" s="41">
        <v>705</v>
      </c>
      <c r="G16" s="41">
        <v>705</v>
      </c>
      <c r="H16" s="41">
        <v>705</v>
      </c>
      <c r="I16" s="41">
        <v>705</v>
      </c>
      <c r="J16" s="41">
        <v>705</v>
      </c>
      <c r="K16" s="41">
        <v>705</v>
      </c>
      <c r="L16" s="41">
        <v>725</v>
      </c>
      <c r="M16" s="41">
        <v>705</v>
      </c>
      <c r="N16" s="41">
        <v>705</v>
      </c>
      <c r="O16" s="41">
        <v>777</v>
      </c>
      <c r="P16" s="41">
        <v>705</v>
      </c>
      <c r="Q16" s="41">
        <v>715</v>
      </c>
      <c r="R16" s="41">
        <v>705</v>
      </c>
      <c r="S16" s="41">
        <v>705</v>
      </c>
      <c r="T16" s="41">
        <v>705</v>
      </c>
      <c r="U16" s="41">
        <v>705</v>
      </c>
      <c r="V16" s="41">
        <v>705</v>
      </c>
      <c r="W16" s="41">
        <v>663</v>
      </c>
      <c r="X16" s="41">
        <v>663</v>
      </c>
      <c r="Y16" s="41">
        <v>663</v>
      </c>
      <c r="Z16" s="41">
        <v>663</v>
      </c>
      <c r="AA16" s="41">
        <v>663</v>
      </c>
      <c r="AB16" s="41">
        <v>663</v>
      </c>
      <c r="AC16" s="41">
        <v>705</v>
      </c>
      <c r="AD16" s="41">
        <v>663</v>
      </c>
      <c r="AE16" s="41">
        <v>663</v>
      </c>
      <c r="AF16" s="41">
        <v>663</v>
      </c>
      <c r="AG16" s="41">
        <v>705</v>
      </c>
      <c r="AH16" s="41">
        <v>705</v>
      </c>
      <c r="AI16" s="41">
        <v>725</v>
      </c>
      <c r="AJ16" s="41">
        <v>725</v>
      </c>
      <c r="AK16" s="41">
        <v>705</v>
      </c>
      <c r="AL16" s="41">
        <v>705</v>
      </c>
      <c r="AM16" s="41">
        <v>766</v>
      </c>
      <c r="AN16" s="41">
        <v>766</v>
      </c>
      <c r="AO16" s="41">
        <v>756</v>
      </c>
      <c r="AP16" s="41">
        <v>766</v>
      </c>
      <c r="AQ16" s="41">
        <v>798</v>
      </c>
      <c r="AR16" s="41">
        <v>766</v>
      </c>
      <c r="AS16" s="41">
        <v>766</v>
      </c>
      <c r="AT16" s="41">
        <v>798</v>
      </c>
      <c r="AU16" s="41">
        <v>798</v>
      </c>
      <c r="AV16" s="41">
        <v>819</v>
      </c>
      <c r="AW16" s="41">
        <v>798</v>
      </c>
      <c r="AX16" s="41">
        <v>766</v>
      </c>
      <c r="AY16" s="41">
        <v>766</v>
      </c>
    </row>
    <row r="17" spans="1:51" ht="15" customHeight="1">
      <c r="A17" s="2">
        <v>4200</v>
      </c>
      <c r="B17" s="2">
        <v>2.4</v>
      </c>
      <c r="C17" s="2">
        <v>6</v>
      </c>
      <c r="D17" s="2"/>
      <c r="E17" s="41">
        <v>772</v>
      </c>
      <c r="F17" s="41">
        <v>772</v>
      </c>
      <c r="G17" s="41">
        <v>772</v>
      </c>
      <c r="H17" s="41">
        <v>772</v>
      </c>
      <c r="I17" s="41">
        <v>772</v>
      </c>
      <c r="J17" s="41">
        <v>772</v>
      </c>
      <c r="K17" s="41">
        <v>772</v>
      </c>
      <c r="L17" s="41">
        <v>797</v>
      </c>
      <c r="M17" s="41">
        <v>772</v>
      </c>
      <c r="N17" s="41">
        <v>772</v>
      </c>
      <c r="O17" s="41">
        <v>848</v>
      </c>
      <c r="P17" s="41">
        <v>772</v>
      </c>
      <c r="Q17" s="41">
        <v>783</v>
      </c>
      <c r="R17" s="41">
        <v>772</v>
      </c>
      <c r="S17" s="41">
        <v>772</v>
      </c>
      <c r="T17" s="41">
        <v>772</v>
      </c>
      <c r="U17" s="41">
        <v>772</v>
      </c>
      <c r="V17" s="41">
        <v>772</v>
      </c>
      <c r="W17" s="41">
        <v>729</v>
      </c>
      <c r="X17" s="41">
        <v>729</v>
      </c>
      <c r="Y17" s="41">
        <v>729</v>
      </c>
      <c r="Z17" s="41">
        <v>729</v>
      </c>
      <c r="AA17" s="41">
        <v>729</v>
      </c>
      <c r="AB17" s="41">
        <v>729</v>
      </c>
      <c r="AC17" s="41">
        <v>772</v>
      </c>
      <c r="AD17" s="41">
        <v>729</v>
      </c>
      <c r="AE17" s="41">
        <v>729</v>
      </c>
      <c r="AF17" s="41">
        <v>729</v>
      </c>
      <c r="AG17" s="41">
        <v>772</v>
      </c>
      <c r="AH17" s="41">
        <v>772</v>
      </c>
      <c r="AI17" s="41">
        <v>797</v>
      </c>
      <c r="AJ17" s="41">
        <v>797</v>
      </c>
      <c r="AK17" s="41">
        <v>772</v>
      </c>
      <c r="AL17" s="41">
        <v>772</v>
      </c>
      <c r="AM17" s="41">
        <v>839</v>
      </c>
      <c r="AN17" s="41">
        <v>839</v>
      </c>
      <c r="AO17" s="41">
        <v>827</v>
      </c>
      <c r="AP17" s="41">
        <v>839</v>
      </c>
      <c r="AQ17" s="41">
        <v>871</v>
      </c>
      <c r="AR17" s="41">
        <v>839</v>
      </c>
      <c r="AS17" s="41">
        <v>839</v>
      </c>
      <c r="AT17" s="41">
        <v>871</v>
      </c>
      <c r="AU17" s="41">
        <v>871</v>
      </c>
      <c r="AV17" s="41">
        <v>896</v>
      </c>
      <c r="AW17" s="41">
        <v>871</v>
      </c>
      <c r="AX17" s="41">
        <v>839</v>
      </c>
      <c r="AY17" s="41">
        <v>839</v>
      </c>
    </row>
    <row r="18" spans="1:51" ht="15" customHeight="1">
      <c r="A18" s="2">
        <v>4375</v>
      </c>
      <c r="B18" s="2">
        <v>2.5</v>
      </c>
      <c r="C18" s="2"/>
      <c r="D18" s="2">
        <v>5</v>
      </c>
      <c r="E18" s="41">
        <v>839</v>
      </c>
      <c r="F18" s="41">
        <v>839</v>
      </c>
      <c r="G18" s="41">
        <v>839</v>
      </c>
      <c r="H18" s="41">
        <v>839</v>
      </c>
      <c r="I18" s="41">
        <v>839</v>
      </c>
      <c r="J18" s="41">
        <v>839</v>
      </c>
      <c r="K18" s="41">
        <v>839</v>
      </c>
      <c r="L18" s="41">
        <v>868</v>
      </c>
      <c r="M18" s="41">
        <v>839</v>
      </c>
      <c r="N18" s="41">
        <v>839</v>
      </c>
      <c r="O18" s="41">
        <v>919</v>
      </c>
      <c r="P18" s="41">
        <v>839</v>
      </c>
      <c r="Q18" s="41">
        <v>852</v>
      </c>
      <c r="R18" s="41">
        <v>839</v>
      </c>
      <c r="S18" s="41">
        <v>839</v>
      </c>
      <c r="T18" s="41">
        <v>839</v>
      </c>
      <c r="U18" s="41">
        <v>839</v>
      </c>
      <c r="V18" s="41">
        <v>839</v>
      </c>
      <c r="W18" s="41">
        <v>795</v>
      </c>
      <c r="X18" s="41">
        <v>795</v>
      </c>
      <c r="Y18" s="41">
        <v>795</v>
      </c>
      <c r="Z18" s="41">
        <v>795</v>
      </c>
      <c r="AA18" s="41">
        <v>795</v>
      </c>
      <c r="AB18" s="41">
        <v>795</v>
      </c>
      <c r="AC18" s="41">
        <v>839</v>
      </c>
      <c r="AD18" s="41">
        <v>795</v>
      </c>
      <c r="AE18" s="41">
        <v>795</v>
      </c>
      <c r="AF18" s="41">
        <v>795</v>
      </c>
      <c r="AG18" s="41">
        <v>839</v>
      </c>
      <c r="AH18" s="41">
        <v>839</v>
      </c>
      <c r="AI18" s="41">
        <v>868</v>
      </c>
      <c r="AJ18" s="41">
        <v>868</v>
      </c>
      <c r="AK18" s="41">
        <v>839</v>
      </c>
      <c r="AL18" s="41">
        <v>839</v>
      </c>
      <c r="AM18" s="41">
        <v>912</v>
      </c>
      <c r="AN18" s="41">
        <v>912</v>
      </c>
      <c r="AO18" s="41">
        <v>898</v>
      </c>
      <c r="AP18" s="41">
        <v>912</v>
      </c>
      <c r="AQ18" s="41">
        <v>945</v>
      </c>
      <c r="AR18" s="41">
        <v>912</v>
      </c>
      <c r="AS18" s="41">
        <v>912</v>
      </c>
      <c r="AT18" s="41">
        <v>945</v>
      </c>
      <c r="AU18" s="41">
        <v>945</v>
      </c>
      <c r="AV18" s="41">
        <v>973</v>
      </c>
      <c r="AW18" s="41">
        <v>945</v>
      </c>
      <c r="AX18" s="41">
        <v>912</v>
      </c>
      <c r="AY18" s="41">
        <v>912</v>
      </c>
    </row>
    <row r="19" spans="1:51" ht="15" customHeight="1">
      <c r="A19" s="2">
        <v>4900</v>
      </c>
      <c r="B19" s="2">
        <v>2.8</v>
      </c>
      <c r="C19" s="2">
        <v>7</v>
      </c>
      <c r="D19" s="2"/>
      <c r="E19" s="41">
        <v>907</v>
      </c>
      <c r="F19" s="41">
        <v>907</v>
      </c>
      <c r="G19" s="41">
        <v>907</v>
      </c>
      <c r="H19" s="41">
        <v>907</v>
      </c>
      <c r="I19" s="41">
        <v>907</v>
      </c>
      <c r="J19" s="41">
        <v>907</v>
      </c>
      <c r="K19" s="41">
        <v>907</v>
      </c>
      <c r="L19" s="41">
        <v>939</v>
      </c>
      <c r="M19" s="41">
        <v>907</v>
      </c>
      <c r="N19" s="41">
        <v>907</v>
      </c>
      <c r="O19" s="41">
        <v>990</v>
      </c>
      <c r="P19" s="41">
        <v>907</v>
      </c>
      <c r="Q19" s="41">
        <v>920</v>
      </c>
      <c r="R19" s="41">
        <v>907</v>
      </c>
      <c r="S19" s="41">
        <v>907</v>
      </c>
      <c r="T19" s="41">
        <v>907</v>
      </c>
      <c r="U19" s="41">
        <v>907</v>
      </c>
      <c r="V19" s="41">
        <v>907</v>
      </c>
      <c r="W19" s="41">
        <v>861</v>
      </c>
      <c r="X19" s="41">
        <v>861</v>
      </c>
      <c r="Y19" s="41">
        <v>861</v>
      </c>
      <c r="Z19" s="41">
        <v>861</v>
      </c>
      <c r="AA19" s="41">
        <v>861</v>
      </c>
      <c r="AB19" s="41">
        <v>861</v>
      </c>
      <c r="AC19" s="41">
        <v>907</v>
      </c>
      <c r="AD19" s="41">
        <v>861</v>
      </c>
      <c r="AE19" s="41">
        <v>861</v>
      </c>
      <c r="AF19" s="41">
        <v>861</v>
      </c>
      <c r="AG19" s="41">
        <v>907</v>
      </c>
      <c r="AH19" s="41">
        <v>907</v>
      </c>
      <c r="AI19" s="41">
        <v>939</v>
      </c>
      <c r="AJ19" s="41">
        <v>939</v>
      </c>
      <c r="AK19" s="41">
        <v>907</v>
      </c>
      <c r="AL19" s="41">
        <v>907</v>
      </c>
      <c r="AM19" s="41">
        <v>984</v>
      </c>
      <c r="AN19" s="41">
        <v>984</v>
      </c>
      <c r="AO19" s="41">
        <v>969</v>
      </c>
      <c r="AP19" s="41">
        <v>984</v>
      </c>
      <c r="AQ19" s="41">
        <v>1018</v>
      </c>
      <c r="AR19" s="41">
        <v>984</v>
      </c>
      <c r="AS19" s="41">
        <v>984</v>
      </c>
      <c r="AT19" s="41">
        <v>1018</v>
      </c>
      <c r="AU19" s="41">
        <v>1018</v>
      </c>
      <c r="AV19" s="41">
        <v>1051</v>
      </c>
      <c r="AW19" s="41">
        <v>1018</v>
      </c>
      <c r="AX19" s="41">
        <v>984</v>
      </c>
      <c r="AY19" s="41">
        <v>984</v>
      </c>
    </row>
    <row r="20" spans="1:51" ht="15" customHeight="1">
      <c r="A20" s="2">
        <v>5250</v>
      </c>
      <c r="B20" s="2">
        <v>3</v>
      </c>
      <c r="C20" s="2"/>
      <c r="D20" s="2">
        <v>6</v>
      </c>
      <c r="E20" s="41">
        <v>973</v>
      </c>
      <c r="F20" s="41">
        <v>973</v>
      </c>
      <c r="G20" s="41">
        <v>973</v>
      </c>
      <c r="H20" s="41">
        <v>973</v>
      </c>
      <c r="I20" s="41">
        <v>973</v>
      </c>
      <c r="J20" s="41">
        <v>973</v>
      </c>
      <c r="K20" s="41">
        <v>973</v>
      </c>
      <c r="L20" s="41">
        <v>1010</v>
      </c>
      <c r="M20" s="41">
        <v>973</v>
      </c>
      <c r="N20" s="41">
        <v>973</v>
      </c>
      <c r="O20" s="41">
        <v>1061</v>
      </c>
      <c r="P20" s="41">
        <v>973</v>
      </c>
      <c r="Q20" s="41">
        <v>989</v>
      </c>
      <c r="R20" s="41">
        <v>973</v>
      </c>
      <c r="S20" s="41">
        <v>973</v>
      </c>
      <c r="T20" s="41">
        <v>973</v>
      </c>
      <c r="U20" s="41">
        <v>973</v>
      </c>
      <c r="V20" s="41">
        <v>973</v>
      </c>
      <c r="W20" s="41">
        <v>927</v>
      </c>
      <c r="X20" s="41">
        <v>927</v>
      </c>
      <c r="Y20" s="41">
        <v>927</v>
      </c>
      <c r="Z20" s="41">
        <v>927</v>
      </c>
      <c r="AA20" s="41">
        <v>927</v>
      </c>
      <c r="AB20" s="41">
        <v>927</v>
      </c>
      <c r="AC20" s="41">
        <v>973</v>
      </c>
      <c r="AD20" s="41">
        <v>927</v>
      </c>
      <c r="AE20" s="41">
        <v>927</v>
      </c>
      <c r="AF20" s="41">
        <v>927</v>
      </c>
      <c r="AG20" s="41">
        <v>973</v>
      </c>
      <c r="AH20" s="41">
        <v>973</v>
      </c>
      <c r="AI20" s="41">
        <v>1010</v>
      </c>
      <c r="AJ20" s="41">
        <v>1010</v>
      </c>
      <c r="AK20" s="41">
        <v>973</v>
      </c>
      <c r="AL20" s="41">
        <v>973</v>
      </c>
      <c r="AM20" s="41">
        <v>1056</v>
      </c>
      <c r="AN20" s="41">
        <v>1056</v>
      </c>
      <c r="AO20" s="41">
        <v>1040</v>
      </c>
      <c r="AP20" s="41">
        <v>1056</v>
      </c>
      <c r="AQ20" s="41">
        <v>1093</v>
      </c>
      <c r="AR20" s="41">
        <v>1056</v>
      </c>
      <c r="AS20" s="41">
        <v>1056</v>
      </c>
      <c r="AT20" s="41">
        <v>1093</v>
      </c>
      <c r="AU20" s="41">
        <v>1093</v>
      </c>
      <c r="AV20" s="41">
        <v>1129</v>
      </c>
      <c r="AW20" s="41">
        <v>1093</v>
      </c>
      <c r="AX20" s="41">
        <v>1056</v>
      </c>
      <c r="AY20" s="41">
        <v>1056</v>
      </c>
    </row>
    <row r="21" spans="1:51" ht="15" customHeight="1">
      <c r="A21" s="2">
        <v>5600</v>
      </c>
      <c r="B21" s="2">
        <v>3.2</v>
      </c>
      <c r="C21" s="2">
        <v>8</v>
      </c>
      <c r="D21" s="2"/>
      <c r="E21" s="41">
        <v>1040</v>
      </c>
      <c r="F21" s="41">
        <v>1040</v>
      </c>
      <c r="G21" s="41">
        <v>1040</v>
      </c>
      <c r="H21" s="41">
        <v>1040</v>
      </c>
      <c r="I21" s="41">
        <v>1040</v>
      </c>
      <c r="J21" s="41">
        <v>1040</v>
      </c>
      <c r="K21" s="41">
        <v>1040</v>
      </c>
      <c r="L21" s="41">
        <v>1081</v>
      </c>
      <c r="M21" s="41">
        <v>1040</v>
      </c>
      <c r="N21" s="41">
        <v>1040</v>
      </c>
      <c r="O21" s="41">
        <v>1132</v>
      </c>
      <c r="P21" s="41">
        <v>1040</v>
      </c>
      <c r="Q21" s="41">
        <v>1057</v>
      </c>
      <c r="R21" s="41">
        <v>1040</v>
      </c>
      <c r="S21" s="41">
        <v>1040</v>
      </c>
      <c r="T21" s="41">
        <v>1040</v>
      </c>
      <c r="U21" s="41">
        <v>1040</v>
      </c>
      <c r="V21" s="41">
        <v>1040</v>
      </c>
      <c r="W21" s="41">
        <v>993</v>
      </c>
      <c r="X21" s="41">
        <v>993</v>
      </c>
      <c r="Y21" s="41">
        <v>993</v>
      </c>
      <c r="Z21" s="41">
        <v>993</v>
      </c>
      <c r="AA21" s="41">
        <v>993</v>
      </c>
      <c r="AB21" s="41">
        <v>993</v>
      </c>
      <c r="AC21" s="41">
        <v>1040</v>
      </c>
      <c r="AD21" s="41">
        <v>993</v>
      </c>
      <c r="AE21" s="41">
        <v>993</v>
      </c>
      <c r="AF21" s="41">
        <v>993</v>
      </c>
      <c r="AG21" s="41">
        <v>1040</v>
      </c>
      <c r="AH21" s="41">
        <v>1040</v>
      </c>
      <c r="AI21" s="41">
        <v>1081</v>
      </c>
      <c r="AJ21" s="41">
        <v>1081</v>
      </c>
      <c r="AK21" s="41">
        <v>1040</v>
      </c>
      <c r="AL21" s="41">
        <v>1040</v>
      </c>
      <c r="AM21" s="41">
        <v>1129</v>
      </c>
      <c r="AN21" s="41">
        <v>1129</v>
      </c>
      <c r="AO21" s="41">
        <v>1111</v>
      </c>
      <c r="AP21" s="41">
        <v>1129</v>
      </c>
      <c r="AQ21" s="41">
        <v>1166</v>
      </c>
      <c r="AR21" s="41">
        <v>1129</v>
      </c>
      <c r="AS21" s="41">
        <v>1129</v>
      </c>
      <c r="AT21" s="41">
        <v>1166</v>
      </c>
      <c r="AU21" s="41">
        <v>1166</v>
      </c>
      <c r="AV21" s="41">
        <v>1206</v>
      </c>
      <c r="AW21" s="41">
        <v>1166</v>
      </c>
      <c r="AX21" s="41">
        <v>1129</v>
      </c>
      <c r="AY21" s="41">
        <v>1129</v>
      </c>
    </row>
    <row r="22" spans="1:51" ht="15" customHeight="1">
      <c r="A22" s="2">
        <v>6125</v>
      </c>
      <c r="B22" s="2">
        <v>3.5</v>
      </c>
      <c r="C22" s="2"/>
      <c r="D22" s="2">
        <v>7</v>
      </c>
      <c r="E22" s="41">
        <v>1108</v>
      </c>
      <c r="F22" s="41">
        <v>1108</v>
      </c>
      <c r="G22" s="41">
        <v>1108</v>
      </c>
      <c r="H22" s="41">
        <v>1108</v>
      </c>
      <c r="I22" s="41">
        <v>1108</v>
      </c>
      <c r="J22" s="41">
        <v>1108</v>
      </c>
      <c r="K22" s="41">
        <v>1108</v>
      </c>
      <c r="L22" s="41">
        <v>1152</v>
      </c>
      <c r="M22" s="41">
        <v>1108</v>
      </c>
      <c r="N22" s="41">
        <v>1108</v>
      </c>
      <c r="O22" s="41">
        <v>1203</v>
      </c>
      <c r="P22" s="41">
        <v>1108</v>
      </c>
      <c r="Q22" s="41">
        <v>1126</v>
      </c>
      <c r="R22" s="41">
        <v>1108</v>
      </c>
      <c r="S22" s="41">
        <v>1108</v>
      </c>
      <c r="T22" s="41">
        <v>1108</v>
      </c>
      <c r="U22" s="41">
        <v>1108</v>
      </c>
      <c r="V22" s="41">
        <v>1108</v>
      </c>
      <c r="W22" s="41">
        <v>1059</v>
      </c>
      <c r="X22" s="41">
        <v>1059</v>
      </c>
      <c r="Y22" s="41">
        <v>1059</v>
      </c>
      <c r="Z22" s="41">
        <v>1059</v>
      </c>
      <c r="AA22" s="41">
        <v>1059</v>
      </c>
      <c r="AB22" s="41">
        <v>1059</v>
      </c>
      <c r="AC22" s="41">
        <v>1108</v>
      </c>
      <c r="AD22" s="41">
        <v>1059</v>
      </c>
      <c r="AE22" s="41">
        <v>1059</v>
      </c>
      <c r="AF22" s="41">
        <v>1059</v>
      </c>
      <c r="AG22" s="41">
        <v>1108</v>
      </c>
      <c r="AH22" s="41">
        <v>1108</v>
      </c>
      <c r="AI22" s="41">
        <v>1152</v>
      </c>
      <c r="AJ22" s="41">
        <v>1152</v>
      </c>
      <c r="AK22" s="41">
        <v>1108</v>
      </c>
      <c r="AL22" s="41">
        <v>1108</v>
      </c>
      <c r="AM22" s="41">
        <v>1201</v>
      </c>
      <c r="AN22" s="41">
        <v>1201</v>
      </c>
      <c r="AO22" s="41">
        <v>1183</v>
      </c>
      <c r="AP22" s="41">
        <v>1201</v>
      </c>
      <c r="AQ22" s="41">
        <v>1240</v>
      </c>
      <c r="AR22" s="41">
        <v>1201</v>
      </c>
      <c r="AS22" s="41">
        <v>1201</v>
      </c>
      <c r="AT22" s="41">
        <v>1240</v>
      </c>
      <c r="AU22" s="41">
        <v>1240</v>
      </c>
      <c r="AV22" s="41">
        <v>1284</v>
      </c>
      <c r="AW22" s="41">
        <v>1240</v>
      </c>
      <c r="AX22" s="41">
        <v>1201</v>
      </c>
      <c r="AY22" s="41">
        <v>1201</v>
      </c>
    </row>
    <row r="23" spans="1:51" ht="15" customHeight="1">
      <c r="A23" s="2">
        <v>6300</v>
      </c>
      <c r="B23" s="2">
        <v>3.6</v>
      </c>
      <c r="C23" s="2">
        <v>9</v>
      </c>
      <c r="D23" s="2"/>
      <c r="E23" s="41">
        <v>1175</v>
      </c>
      <c r="F23" s="41">
        <v>1175</v>
      </c>
      <c r="G23" s="41">
        <v>1175</v>
      </c>
      <c r="H23" s="41">
        <v>1175</v>
      </c>
      <c r="I23" s="41">
        <v>1175</v>
      </c>
      <c r="J23" s="41">
        <v>1175</v>
      </c>
      <c r="K23" s="41">
        <v>1175</v>
      </c>
      <c r="L23" s="41">
        <v>1223</v>
      </c>
      <c r="M23" s="41">
        <v>1175</v>
      </c>
      <c r="N23" s="41">
        <v>1175</v>
      </c>
      <c r="O23" s="41">
        <v>1274</v>
      </c>
      <c r="P23" s="41">
        <v>1175</v>
      </c>
      <c r="Q23" s="41">
        <v>1195</v>
      </c>
      <c r="R23" s="41">
        <v>1175</v>
      </c>
      <c r="S23" s="41">
        <v>1175</v>
      </c>
      <c r="T23" s="41">
        <v>1175</v>
      </c>
      <c r="U23" s="41">
        <v>1175</v>
      </c>
      <c r="V23" s="41">
        <v>1175</v>
      </c>
      <c r="W23" s="41">
        <v>1125</v>
      </c>
      <c r="X23" s="41">
        <v>1125</v>
      </c>
      <c r="Y23" s="41">
        <v>1125</v>
      </c>
      <c r="Z23" s="41">
        <v>1125</v>
      </c>
      <c r="AA23" s="41">
        <v>1125</v>
      </c>
      <c r="AB23" s="41">
        <v>1125</v>
      </c>
      <c r="AC23" s="41">
        <v>1175</v>
      </c>
      <c r="AD23" s="41">
        <v>1125</v>
      </c>
      <c r="AE23" s="41">
        <v>1125</v>
      </c>
      <c r="AF23" s="41">
        <v>1125</v>
      </c>
      <c r="AG23" s="41">
        <v>1175</v>
      </c>
      <c r="AH23" s="41">
        <v>1175</v>
      </c>
      <c r="AI23" s="41">
        <v>1223</v>
      </c>
      <c r="AJ23" s="41">
        <v>1223</v>
      </c>
      <c r="AK23" s="41">
        <v>1175</v>
      </c>
      <c r="AL23" s="41">
        <v>1175</v>
      </c>
      <c r="AM23" s="41">
        <v>1273</v>
      </c>
      <c r="AN23" s="41">
        <v>1273</v>
      </c>
      <c r="AO23" s="41">
        <v>1254</v>
      </c>
      <c r="AP23" s="41">
        <v>1273</v>
      </c>
      <c r="AQ23" s="41">
        <v>1314</v>
      </c>
      <c r="AR23" s="41">
        <v>1273</v>
      </c>
      <c r="AS23" s="41">
        <v>1273</v>
      </c>
      <c r="AT23" s="41">
        <v>1314</v>
      </c>
      <c r="AU23" s="41">
        <v>1314</v>
      </c>
      <c r="AV23" s="41">
        <v>1361</v>
      </c>
      <c r="AW23" s="41">
        <v>1314</v>
      </c>
      <c r="AX23" s="41">
        <v>1273</v>
      </c>
      <c r="AY23" s="41">
        <v>1273</v>
      </c>
    </row>
    <row r="24" spans="1:51" ht="15" customHeight="1">
      <c r="A24" s="2">
        <v>7000</v>
      </c>
      <c r="B24" s="2">
        <v>4</v>
      </c>
      <c r="C24" s="2">
        <v>10</v>
      </c>
      <c r="D24" s="2">
        <v>8</v>
      </c>
      <c r="E24" s="41">
        <v>1242</v>
      </c>
      <c r="F24" s="41">
        <v>1242</v>
      </c>
      <c r="G24" s="41">
        <v>1242</v>
      </c>
      <c r="H24" s="41">
        <v>1242</v>
      </c>
      <c r="I24" s="41">
        <v>1242</v>
      </c>
      <c r="J24" s="41">
        <v>1242</v>
      </c>
      <c r="K24" s="41">
        <v>1242</v>
      </c>
      <c r="L24" s="41">
        <v>1294</v>
      </c>
      <c r="M24" s="41">
        <v>1242</v>
      </c>
      <c r="N24" s="41">
        <v>1242</v>
      </c>
      <c r="O24" s="41">
        <v>1345</v>
      </c>
      <c r="P24" s="41">
        <v>1242</v>
      </c>
      <c r="Q24" s="41">
        <v>1263</v>
      </c>
      <c r="R24" s="41">
        <v>1242</v>
      </c>
      <c r="S24" s="41">
        <v>1242</v>
      </c>
      <c r="T24" s="41">
        <v>1242</v>
      </c>
      <c r="U24" s="41">
        <v>1242</v>
      </c>
      <c r="V24" s="41">
        <v>1242</v>
      </c>
      <c r="W24" s="41">
        <v>1191</v>
      </c>
      <c r="X24" s="41">
        <v>1191</v>
      </c>
      <c r="Y24" s="41">
        <v>1191</v>
      </c>
      <c r="Z24" s="41">
        <v>1191</v>
      </c>
      <c r="AA24" s="41">
        <v>1191</v>
      </c>
      <c r="AB24" s="41">
        <v>1191</v>
      </c>
      <c r="AC24" s="41">
        <v>1242</v>
      </c>
      <c r="AD24" s="41">
        <v>1191</v>
      </c>
      <c r="AE24" s="41">
        <v>1191</v>
      </c>
      <c r="AF24" s="41">
        <v>1191</v>
      </c>
      <c r="AG24" s="41">
        <v>1242</v>
      </c>
      <c r="AH24" s="41">
        <v>1242</v>
      </c>
      <c r="AI24" s="41">
        <v>1294</v>
      </c>
      <c r="AJ24" s="41">
        <v>1294</v>
      </c>
      <c r="AK24" s="41">
        <v>1242</v>
      </c>
      <c r="AL24" s="41">
        <v>1242</v>
      </c>
      <c r="AM24" s="41">
        <v>1345</v>
      </c>
      <c r="AN24" s="41">
        <v>1345</v>
      </c>
      <c r="AO24" s="41">
        <v>1326</v>
      </c>
      <c r="AP24" s="41">
        <v>1345</v>
      </c>
      <c r="AQ24" s="41">
        <v>1387</v>
      </c>
      <c r="AR24" s="41">
        <v>1345</v>
      </c>
      <c r="AS24" s="41">
        <v>1345</v>
      </c>
      <c r="AT24" s="41">
        <v>1387</v>
      </c>
      <c r="AU24" s="41">
        <v>1387</v>
      </c>
      <c r="AV24" s="41">
        <v>1439</v>
      </c>
      <c r="AW24" s="41">
        <v>1387</v>
      </c>
      <c r="AX24" s="41">
        <v>1345</v>
      </c>
      <c r="AY24" s="41">
        <v>1345</v>
      </c>
    </row>
    <row r="25" spans="1:51" ht="15" customHeight="1">
      <c r="A25" s="3"/>
      <c r="B25" s="3"/>
      <c r="C25" s="3"/>
      <c r="D25" s="3"/>
    </row>
    <row r="26" spans="1:51" ht="15" customHeight="1">
      <c r="A26" s="4" t="s">
        <v>24</v>
      </c>
      <c r="B26" s="3"/>
      <c r="C26" s="3"/>
      <c r="D26" s="3"/>
    </row>
    <row r="27" spans="1:51" ht="15" customHeight="1">
      <c r="A27" s="3"/>
      <c r="B27" s="3"/>
      <c r="C27" s="3"/>
      <c r="D27" s="3"/>
    </row>
    <row r="28" spans="1:51" ht="15" customHeight="1">
      <c r="A28" s="6" t="s">
        <v>25</v>
      </c>
      <c r="B28" s="40"/>
      <c r="C28" s="6" t="s">
        <v>26</v>
      </c>
      <c r="D28" s="27"/>
      <c r="E28" s="6"/>
      <c r="F28" s="40"/>
      <c r="G28" s="40" t="s">
        <v>27</v>
      </c>
      <c r="H28" s="40"/>
      <c r="I28" s="40"/>
      <c r="J28" s="40"/>
      <c r="K28" s="40"/>
      <c r="L28" s="40"/>
      <c r="M28" s="40"/>
      <c r="N28" s="40"/>
      <c r="O28" s="40"/>
      <c r="P28" s="40"/>
      <c r="Q28" s="40"/>
      <c r="R28" s="40"/>
      <c r="S28" s="40" t="s">
        <v>27</v>
      </c>
      <c r="T28" s="40"/>
      <c r="U28" s="40"/>
      <c r="V28" s="40"/>
      <c r="W28" s="40"/>
      <c r="X28" s="40"/>
      <c r="Y28" s="40"/>
      <c r="Z28" s="40"/>
      <c r="AA28" s="40"/>
      <c r="AB28" s="40"/>
      <c r="AC28" s="40"/>
      <c r="AD28" s="40"/>
      <c r="AE28" s="40"/>
      <c r="AF28" s="40" t="s">
        <v>27</v>
      </c>
      <c r="AG28" s="40"/>
      <c r="AH28" s="40"/>
      <c r="AI28" s="40"/>
      <c r="AJ28" s="40"/>
      <c r="AK28" s="40"/>
      <c r="AL28" s="40"/>
      <c r="AM28" s="40"/>
      <c r="AN28" s="40"/>
      <c r="AO28" s="40"/>
      <c r="AP28" s="40"/>
      <c r="AQ28" s="40"/>
      <c r="AR28" s="40"/>
      <c r="AS28" s="40" t="s">
        <v>27</v>
      </c>
      <c r="AT28" s="40"/>
      <c r="AU28" s="40"/>
      <c r="AV28" s="40"/>
      <c r="AW28" s="40"/>
      <c r="AX28" s="40"/>
      <c r="AY28" s="27"/>
    </row>
    <row r="29" spans="1:51" ht="15" customHeight="1">
      <c r="A29" s="222" t="s">
        <v>28</v>
      </c>
      <c r="B29" s="223"/>
      <c r="C29" s="104" t="s">
        <v>39</v>
      </c>
      <c r="D29" s="114"/>
      <c r="E29" s="39">
        <v>5</v>
      </c>
      <c r="F29" s="39">
        <v>5</v>
      </c>
      <c r="G29" s="39">
        <v>5</v>
      </c>
      <c r="H29" s="39">
        <v>5</v>
      </c>
      <c r="I29" s="39">
        <v>5</v>
      </c>
      <c r="J29" s="39">
        <v>5</v>
      </c>
      <c r="K29" s="39">
        <v>5</v>
      </c>
      <c r="L29" s="39">
        <v>5</v>
      </c>
      <c r="M29" s="39">
        <v>5</v>
      </c>
      <c r="N29" s="39">
        <v>5</v>
      </c>
      <c r="O29" s="39">
        <v>5</v>
      </c>
      <c r="P29" s="39">
        <v>5</v>
      </c>
      <c r="Q29" s="39">
        <v>5</v>
      </c>
      <c r="R29" s="39">
        <v>5</v>
      </c>
      <c r="S29" s="39">
        <v>5</v>
      </c>
      <c r="T29" s="39">
        <v>5</v>
      </c>
      <c r="U29" s="39">
        <v>5</v>
      </c>
      <c r="V29" s="39">
        <v>5</v>
      </c>
      <c r="W29" s="39">
        <v>5</v>
      </c>
      <c r="X29" s="39">
        <v>5</v>
      </c>
      <c r="Y29" s="39">
        <v>5</v>
      </c>
      <c r="Z29" s="39">
        <v>5</v>
      </c>
      <c r="AA29" s="39">
        <v>5</v>
      </c>
      <c r="AB29" s="39">
        <v>5</v>
      </c>
      <c r="AC29" s="39">
        <v>5</v>
      </c>
      <c r="AD29" s="39">
        <v>5</v>
      </c>
      <c r="AE29" s="39">
        <v>5</v>
      </c>
      <c r="AF29" s="39">
        <v>5</v>
      </c>
      <c r="AG29" s="39">
        <v>5</v>
      </c>
      <c r="AH29" s="39">
        <v>5</v>
      </c>
      <c r="AI29" s="39">
        <v>5</v>
      </c>
      <c r="AJ29" s="39">
        <v>5</v>
      </c>
      <c r="AK29" s="39">
        <v>5</v>
      </c>
      <c r="AL29" s="39">
        <v>5</v>
      </c>
      <c r="AM29" s="39">
        <v>5</v>
      </c>
      <c r="AN29" s="39">
        <v>5</v>
      </c>
      <c r="AO29" s="39">
        <v>5</v>
      </c>
      <c r="AP29" s="39">
        <v>5</v>
      </c>
      <c r="AQ29" s="39">
        <v>5</v>
      </c>
      <c r="AR29" s="39">
        <v>5</v>
      </c>
      <c r="AS29" s="39">
        <v>5</v>
      </c>
      <c r="AT29" s="39">
        <v>5</v>
      </c>
      <c r="AU29" s="39">
        <v>5</v>
      </c>
      <c r="AV29" s="39">
        <v>5</v>
      </c>
      <c r="AW29" s="39">
        <v>5</v>
      </c>
      <c r="AX29" s="39">
        <v>5</v>
      </c>
      <c r="AY29" s="39">
        <v>5</v>
      </c>
    </row>
    <row r="30" spans="1:51" ht="15" customHeight="1">
      <c r="A30" s="222" t="s">
        <v>32</v>
      </c>
      <c r="B30" s="223"/>
      <c r="C30" s="104" t="s">
        <v>39</v>
      </c>
      <c r="D30" s="73"/>
      <c r="E30" s="39" t="s">
        <v>43</v>
      </c>
      <c r="F30" s="39" t="s">
        <v>43</v>
      </c>
      <c r="G30" s="39" t="s">
        <v>43</v>
      </c>
      <c r="H30" s="39" t="s">
        <v>43</v>
      </c>
      <c r="I30" s="39" t="s">
        <v>43</v>
      </c>
      <c r="J30" s="39" t="s">
        <v>43</v>
      </c>
      <c r="K30" s="39" t="s">
        <v>43</v>
      </c>
      <c r="L30" s="39" t="s">
        <v>43</v>
      </c>
      <c r="M30" s="39" t="s">
        <v>43</v>
      </c>
      <c r="N30" s="39" t="s">
        <v>43</v>
      </c>
      <c r="O30" s="39" t="s">
        <v>43</v>
      </c>
      <c r="P30" s="39" t="s">
        <v>43</v>
      </c>
      <c r="Q30" s="39" t="s">
        <v>43</v>
      </c>
      <c r="R30" s="39" t="s">
        <v>43</v>
      </c>
      <c r="S30" s="39" t="s">
        <v>43</v>
      </c>
      <c r="T30" s="39" t="s">
        <v>43</v>
      </c>
      <c r="U30" s="39" t="s">
        <v>43</v>
      </c>
      <c r="V30" s="39" t="s">
        <v>43</v>
      </c>
      <c r="W30" s="39" t="s">
        <v>43</v>
      </c>
      <c r="X30" s="39" t="s">
        <v>43</v>
      </c>
      <c r="Y30" s="39" t="s">
        <v>43</v>
      </c>
      <c r="Z30" s="39" t="s">
        <v>43</v>
      </c>
      <c r="AA30" s="39" t="s">
        <v>43</v>
      </c>
      <c r="AB30" s="39" t="s">
        <v>43</v>
      </c>
      <c r="AC30" s="39" t="s">
        <v>43</v>
      </c>
      <c r="AD30" s="39" t="s">
        <v>43</v>
      </c>
      <c r="AE30" s="39" t="s">
        <v>43</v>
      </c>
      <c r="AF30" s="39" t="s">
        <v>43</v>
      </c>
      <c r="AG30" s="39" t="s">
        <v>43</v>
      </c>
      <c r="AH30" s="39" t="s">
        <v>43</v>
      </c>
      <c r="AI30" s="39" t="s">
        <v>43</v>
      </c>
      <c r="AJ30" s="39" t="s">
        <v>43</v>
      </c>
      <c r="AK30" s="39" t="s">
        <v>43</v>
      </c>
      <c r="AL30" s="39" t="s">
        <v>43</v>
      </c>
      <c r="AM30" s="39" t="s">
        <v>43</v>
      </c>
      <c r="AN30" s="39" t="s">
        <v>43</v>
      </c>
      <c r="AO30" s="39" t="s">
        <v>43</v>
      </c>
      <c r="AP30" s="39" t="s">
        <v>43</v>
      </c>
      <c r="AQ30" s="39" t="s">
        <v>43</v>
      </c>
      <c r="AR30" s="39" t="s">
        <v>43</v>
      </c>
      <c r="AS30" s="39" t="s">
        <v>43</v>
      </c>
      <c r="AT30" s="39" t="s">
        <v>43</v>
      </c>
      <c r="AU30" s="39" t="s">
        <v>43</v>
      </c>
      <c r="AV30" s="39" t="s">
        <v>43</v>
      </c>
      <c r="AW30" s="39" t="s">
        <v>43</v>
      </c>
      <c r="AX30" s="39" t="s">
        <v>43</v>
      </c>
      <c r="AY30" s="39" t="s">
        <v>43</v>
      </c>
    </row>
    <row r="31" spans="1:51" ht="15" customHeight="1">
      <c r="A31" s="227" t="s">
        <v>33</v>
      </c>
      <c r="B31" s="228"/>
      <c r="C31" s="6" t="s">
        <v>42</v>
      </c>
      <c r="D31" s="76"/>
      <c r="E31" s="39" t="s">
        <v>31</v>
      </c>
      <c r="F31" s="39" t="s">
        <v>31</v>
      </c>
      <c r="G31" s="39" t="s">
        <v>31</v>
      </c>
      <c r="H31" s="39" t="s">
        <v>31</v>
      </c>
      <c r="I31" s="39" t="s">
        <v>31</v>
      </c>
      <c r="J31" s="39" t="s">
        <v>31</v>
      </c>
      <c r="K31" s="39" t="s">
        <v>31</v>
      </c>
      <c r="L31" s="39" t="s">
        <v>31</v>
      </c>
      <c r="M31" s="39" t="s">
        <v>31</v>
      </c>
      <c r="N31" s="39" t="s">
        <v>31</v>
      </c>
      <c r="O31" s="39" t="s">
        <v>31</v>
      </c>
      <c r="P31" s="39" t="s">
        <v>31</v>
      </c>
      <c r="Q31" s="39" t="s">
        <v>31</v>
      </c>
      <c r="R31" s="39" t="s">
        <v>31</v>
      </c>
      <c r="S31" s="39" t="s">
        <v>31</v>
      </c>
      <c r="T31" s="39" t="s">
        <v>31</v>
      </c>
      <c r="U31" s="39" t="s">
        <v>31</v>
      </c>
      <c r="V31" s="39" t="s">
        <v>31</v>
      </c>
      <c r="W31" s="39" t="s">
        <v>31</v>
      </c>
      <c r="X31" s="39" t="s">
        <v>31</v>
      </c>
      <c r="Y31" s="39" t="s">
        <v>31</v>
      </c>
      <c r="Z31" s="39" t="s">
        <v>31</v>
      </c>
      <c r="AA31" s="39" t="s">
        <v>31</v>
      </c>
      <c r="AB31" s="39" t="s">
        <v>31</v>
      </c>
      <c r="AC31" s="39" t="s">
        <v>31</v>
      </c>
      <c r="AD31" s="39" t="s">
        <v>31</v>
      </c>
      <c r="AE31" s="39" t="s">
        <v>31</v>
      </c>
      <c r="AF31" s="39" t="s">
        <v>31</v>
      </c>
      <c r="AG31" s="39" t="s">
        <v>31</v>
      </c>
      <c r="AH31" s="39" t="s">
        <v>31</v>
      </c>
      <c r="AI31" s="39" t="s">
        <v>31</v>
      </c>
      <c r="AJ31" s="39" t="s">
        <v>31</v>
      </c>
      <c r="AK31" s="39" t="s">
        <v>31</v>
      </c>
      <c r="AL31" s="39" t="s">
        <v>31</v>
      </c>
      <c r="AM31" s="39" t="s">
        <v>31</v>
      </c>
      <c r="AN31" s="39" t="s">
        <v>31</v>
      </c>
      <c r="AO31" s="39" t="s">
        <v>31</v>
      </c>
      <c r="AP31" s="39" t="s">
        <v>31</v>
      </c>
      <c r="AQ31" s="39" t="s">
        <v>31</v>
      </c>
      <c r="AR31" s="39" t="s">
        <v>31</v>
      </c>
      <c r="AS31" s="39" t="s">
        <v>31</v>
      </c>
      <c r="AT31" s="39" t="s">
        <v>31</v>
      </c>
      <c r="AU31" s="39" t="s">
        <v>31</v>
      </c>
      <c r="AV31" s="39" t="s">
        <v>31</v>
      </c>
      <c r="AW31" s="39" t="s">
        <v>31</v>
      </c>
      <c r="AX31" s="39" t="s">
        <v>31</v>
      </c>
      <c r="AY31" s="39" t="s">
        <v>31</v>
      </c>
    </row>
    <row r="33" spans="1:1">
      <c r="A33" s="89"/>
    </row>
    <row r="34" spans="1:1">
      <c r="A34" s="26"/>
    </row>
    <row r="35" spans="1:1">
      <c r="A35" s="26"/>
    </row>
  </sheetData>
  <mergeCells count="3">
    <mergeCell ref="A29:B29"/>
    <mergeCell ref="A30:B30"/>
    <mergeCell ref="A31:B31"/>
  </mergeCells>
  <pageMargins left="0.7" right="0.7" top="0.75" bottom="0.75" header="0.3" footer="0.3"/>
  <pageSetup paperSize="9" orientation="portrait" r:id="rId1"/>
  <ignoredErrors>
    <ignoredError sqref="E6:L6" numberStoredAsText="1"/>
  </ignoredError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D712D-5C8D-4D99-AC62-64A14C5A0994}">
  <dimension ref="A1:CL37"/>
  <sheetViews>
    <sheetView showGridLines="0" workbookViewId="0">
      <pane xSplit="4" ySplit="6" topLeftCell="E7" activePane="bottomRight" state="frozen"/>
      <selection pane="bottomRight" activeCell="E7" sqref="E7"/>
      <selection pane="bottomLeft" activeCell="E1" sqref="E1:MB1048576"/>
      <selection pane="topRight" activeCell="E1" sqref="E1:MB1048576"/>
    </sheetView>
  </sheetViews>
  <sheetFormatPr defaultRowHeight="15"/>
  <cols>
    <col min="1" max="4" width="11.7109375" style="1" customWidth="1"/>
    <col min="5" max="5" width="10.5703125" style="3" customWidth="1"/>
    <col min="6" max="340" width="10.5703125" customWidth="1"/>
  </cols>
  <sheetData>
    <row r="1" spans="1:90" ht="15" customHeight="1"/>
    <row r="2" spans="1:90" ht="15" customHeight="1">
      <c r="A2" s="9"/>
      <c r="B2" s="7"/>
      <c r="C2" s="7"/>
      <c r="D2" s="7"/>
      <c r="E2" s="7"/>
    </row>
    <row r="3" spans="1:90" ht="20.45" customHeight="1">
      <c r="A3" s="9" t="str">
        <f>Voorblad!A5</f>
        <v>Team Freight Forwarding Logistics</v>
      </c>
      <c r="B3" s="8"/>
      <c r="C3" s="8"/>
      <c r="D3" s="8"/>
      <c r="E3" s="48"/>
    </row>
    <row r="4" spans="1:90" s="51" customFormat="1" ht="15.75">
      <c r="A4" s="62" t="s">
        <v>215</v>
      </c>
      <c r="B4" s="49"/>
      <c r="C4" s="50"/>
      <c r="D4" s="50"/>
      <c r="E4" s="50"/>
    </row>
    <row r="5" spans="1:90" ht="15" customHeight="1">
      <c r="A5" s="7"/>
      <c r="B5" s="7"/>
      <c r="C5" s="7"/>
      <c r="D5" s="7"/>
      <c r="E5" s="26"/>
    </row>
    <row r="6" spans="1:90" ht="15" customHeight="1">
      <c r="A6" s="63" t="s">
        <v>20</v>
      </c>
      <c r="B6" s="63" t="s">
        <v>21</v>
      </c>
      <c r="C6" s="64" t="s">
        <v>22</v>
      </c>
      <c r="D6" s="64" t="s">
        <v>23</v>
      </c>
      <c r="E6" s="2">
        <v>10</v>
      </c>
      <c r="F6" s="2">
        <v>11</v>
      </c>
      <c r="G6" s="2">
        <v>12</v>
      </c>
      <c r="H6" s="2">
        <v>13</v>
      </c>
      <c r="I6" s="2">
        <v>14</v>
      </c>
      <c r="J6" s="2">
        <v>15</v>
      </c>
      <c r="K6" s="2">
        <v>16</v>
      </c>
      <c r="L6" s="2">
        <v>17</v>
      </c>
      <c r="M6" s="2">
        <v>18</v>
      </c>
      <c r="N6" s="2">
        <v>19</v>
      </c>
      <c r="O6" s="2">
        <v>20</v>
      </c>
      <c r="P6" s="2">
        <v>21</v>
      </c>
      <c r="Q6" s="2">
        <v>22</v>
      </c>
      <c r="R6" s="2">
        <v>23</v>
      </c>
      <c r="S6" s="2">
        <v>24</v>
      </c>
      <c r="T6" s="2">
        <v>25</v>
      </c>
      <c r="U6" s="2">
        <v>26</v>
      </c>
      <c r="V6" s="2">
        <v>27</v>
      </c>
      <c r="W6" s="2">
        <v>28</v>
      </c>
      <c r="X6" s="2">
        <v>29</v>
      </c>
      <c r="Y6" s="2">
        <v>30</v>
      </c>
      <c r="Z6" s="2">
        <v>31</v>
      </c>
      <c r="AA6" s="2">
        <v>33</v>
      </c>
      <c r="AB6" s="2">
        <v>34</v>
      </c>
      <c r="AC6" s="2">
        <v>35</v>
      </c>
      <c r="AD6" s="2">
        <v>36</v>
      </c>
      <c r="AE6" s="2">
        <v>37</v>
      </c>
      <c r="AF6" s="2">
        <v>38</v>
      </c>
      <c r="AG6" s="2">
        <v>39</v>
      </c>
      <c r="AH6" s="2">
        <v>40</v>
      </c>
      <c r="AI6" s="2">
        <v>41</v>
      </c>
      <c r="AJ6" s="2">
        <v>42</v>
      </c>
      <c r="AK6" s="2">
        <v>43</v>
      </c>
      <c r="AL6" s="2">
        <v>44</v>
      </c>
      <c r="AM6" s="2">
        <v>45</v>
      </c>
      <c r="AN6" s="2">
        <v>46</v>
      </c>
      <c r="AO6" s="2">
        <v>47</v>
      </c>
      <c r="AP6" s="2">
        <v>50</v>
      </c>
      <c r="AQ6" s="2">
        <v>51</v>
      </c>
      <c r="AR6" s="2">
        <v>52</v>
      </c>
      <c r="AS6" s="2">
        <v>53</v>
      </c>
      <c r="AT6" s="2">
        <v>54</v>
      </c>
      <c r="AU6" s="2">
        <v>55</v>
      </c>
      <c r="AV6" s="2">
        <v>56</v>
      </c>
      <c r="AW6" s="2">
        <v>57</v>
      </c>
      <c r="AX6" s="2">
        <v>58</v>
      </c>
      <c r="AY6" s="2">
        <v>59</v>
      </c>
      <c r="AZ6" s="2">
        <v>60</v>
      </c>
      <c r="BA6" s="2">
        <v>61</v>
      </c>
      <c r="BB6" s="2">
        <v>62</v>
      </c>
      <c r="BC6" s="2">
        <v>63</v>
      </c>
      <c r="BD6" s="2">
        <v>64</v>
      </c>
      <c r="BE6" s="2">
        <v>65</v>
      </c>
      <c r="BF6" s="2">
        <v>66</v>
      </c>
      <c r="BG6" s="2">
        <v>67</v>
      </c>
      <c r="BH6" s="2">
        <v>68</v>
      </c>
      <c r="BI6" s="2">
        <v>69</v>
      </c>
      <c r="BJ6" s="2">
        <v>70</v>
      </c>
      <c r="BK6" s="2">
        <v>71</v>
      </c>
      <c r="BL6" s="2">
        <v>72</v>
      </c>
      <c r="BM6" s="2">
        <v>73</v>
      </c>
      <c r="BN6" s="2">
        <v>74</v>
      </c>
      <c r="BO6" s="2">
        <v>75</v>
      </c>
      <c r="BP6" s="2">
        <v>76</v>
      </c>
      <c r="BQ6" s="2">
        <v>77</v>
      </c>
      <c r="BR6" s="2">
        <v>78</v>
      </c>
      <c r="BS6" s="2">
        <v>79</v>
      </c>
      <c r="BT6" s="2">
        <v>80</v>
      </c>
      <c r="BU6" s="2">
        <v>81</v>
      </c>
      <c r="BV6" s="2">
        <v>82</v>
      </c>
      <c r="BW6" s="2">
        <v>83</v>
      </c>
      <c r="BX6" s="2">
        <v>84</v>
      </c>
      <c r="BY6" s="2">
        <v>85</v>
      </c>
      <c r="BZ6" s="2">
        <v>86</v>
      </c>
      <c r="CA6" s="2">
        <v>87</v>
      </c>
      <c r="CB6" s="2">
        <v>88</v>
      </c>
      <c r="CC6" s="2">
        <v>89</v>
      </c>
      <c r="CD6" s="2">
        <v>90</v>
      </c>
      <c r="CE6" s="2">
        <v>91</v>
      </c>
      <c r="CF6" s="2">
        <v>92</v>
      </c>
      <c r="CG6" s="2">
        <v>93</v>
      </c>
      <c r="CH6" s="2">
        <v>94</v>
      </c>
      <c r="CI6" s="2">
        <v>95</v>
      </c>
      <c r="CJ6" s="2">
        <v>96</v>
      </c>
      <c r="CK6" s="2">
        <v>97</v>
      </c>
      <c r="CL6" s="2">
        <v>98</v>
      </c>
    </row>
    <row r="7" spans="1:90" ht="15" customHeight="1">
      <c r="A7" s="67">
        <v>300</v>
      </c>
      <c r="B7" s="64">
        <v>0.2</v>
      </c>
      <c r="C7" s="64">
        <v>0.5</v>
      </c>
      <c r="D7" s="64"/>
      <c r="E7" s="99">
        <v>216</v>
      </c>
      <c r="F7" s="99">
        <v>216</v>
      </c>
      <c r="G7" s="99">
        <v>216</v>
      </c>
      <c r="H7" s="99">
        <v>216</v>
      </c>
      <c r="I7" s="99">
        <v>216</v>
      </c>
      <c r="J7" s="99">
        <v>216</v>
      </c>
      <c r="K7" s="99">
        <v>216</v>
      </c>
      <c r="L7" s="99">
        <v>216</v>
      </c>
      <c r="M7" s="99">
        <v>216</v>
      </c>
      <c r="N7" s="99">
        <v>216</v>
      </c>
      <c r="O7" s="99">
        <v>165</v>
      </c>
      <c r="P7" s="99">
        <v>165</v>
      </c>
      <c r="Q7" s="99">
        <v>165</v>
      </c>
      <c r="R7" s="99">
        <v>165</v>
      </c>
      <c r="S7" s="99">
        <v>165</v>
      </c>
      <c r="T7" s="99">
        <v>165</v>
      </c>
      <c r="U7" s="99">
        <v>165</v>
      </c>
      <c r="V7" s="99">
        <v>165</v>
      </c>
      <c r="W7" s="99">
        <v>165</v>
      </c>
      <c r="X7" s="99">
        <v>165</v>
      </c>
      <c r="Y7" s="99">
        <v>172</v>
      </c>
      <c r="Z7" s="99">
        <v>172</v>
      </c>
      <c r="AA7" s="99">
        <v>172</v>
      </c>
      <c r="AB7" s="99">
        <v>172</v>
      </c>
      <c r="AC7" s="99">
        <v>172</v>
      </c>
      <c r="AD7" s="99">
        <v>172</v>
      </c>
      <c r="AE7" s="99">
        <v>172</v>
      </c>
      <c r="AF7" s="99">
        <v>174</v>
      </c>
      <c r="AG7" s="99">
        <v>174</v>
      </c>
      <c r="AH7" s="99">
        <v>177</v>
      </c>
      <c r="AI7" s="99">
        <v>177</v>
      </c>
      <c r="AJ7" s="99">
        <v>177</v>
      </c>
      <c r="AK7" s="99">
        <v>177</v>
      </c>
      <c r="AL7" s="99">
        <v>177</v>
      </c>
      <c r="AM7" s="99">
        <v>177</v>
      </c>
      <c r="AN7" s="99">
        <v>177</v>
      </c>
      <c r="AO7" s="99">
        <v>245</v>
      </c>
      <c r="AP7" s="99">
        <v>179</v>
      </c>
      <c r="AQ7" s="99">
        <v>179</v>
      </c>
      <c r="AR7" s="99">
        <v>184</v>
      </c>
      <c r="AS7" s="99">
        <v>184</v>
      </c>
      <c r="AT7" s="99">
        <v>184</v>
      </c>
      <c r="AU7" s="99">
        <v>184</v>
      </c>
      <c r="AV7" s="99">
        <v>184</v>
      </c>
      <c r="AW7" s="99">
        <v>184</v>
      </c>
      <c r="AX7" s="99">
        <v>213</v>
      </c>
      <c r="AY7" s="99">
        <v>213</v>
      </c>
      <c r="AZ7" s="99">
        <v>213</v>
      </c>
      <c r="BA7" s="99">
        <v>213</v>
      </c>
      <c r="BB7" s="99">
        <v>540</v>
      </c>
      <c r="BC7" s="99">
        <v>216</v>
      </c>
      <c r="BD7" s="99">
        <v>216</v>
      </c>
      <c r="BE7" s="99">
        <v>188</v>
      </c>
      <c r="BF7" s="99">
        <v>188</v>
      </c>
      <c r="BG7" s="99">
        <v>188</v>
      </c>
      <c r="BH7" s="99">
        <v>188</v>
      </c>
      <c r="BI7" s="99">
        <v>298</v>
      </c>
      <c r="BJ7" s="99">
        <v>298</v>
      </c>
      <c r="BK7" s="99">
        <v>298</v>
      </c>
      <c r="BL7" s="99">
        <v>216</v>
      </c>
      <c r="BM7" s="99">
        <v>216</v>
      </c>
      <c r="BN7" s="99">
        <v>216</v>
      </c>
      <c r="BO7" s="99">
        <v>216</v>
      </c>
      <c r="BP7" s="99">
        <v>216</v>
      </c>
      <c r="BQ7" s="99">
        <v>301</v>
      </c>
      <c r="BR7" s="99">
        <v>366</v>
      </c>
      <c r="BS7" s="99">
        <v>366</v>
      </c>
      <c r="BT7" s="99">
        <v>366</v>
      </c>
      <c r="BU7" s="99">
        <v>366</v>
      </c>
      <c r="BV7" s="99">
        <v>366</v>
      </c>
      <c r="BW7" s="99">
        <v>453</v>
      </c>
      <c r="BX7" s="99">
        <v>420</v>
      </c>
      <c r="BY7" s="99">
        <v>420</v>
      </c>
      <c r="BZ7" s="99">
        <v>420</v>
      </c>
      <c r="CA7" s="99">
        <v>453</v>
      </c>
      <c r="CB7" s="99">
        <v>453</v>
      </c>
      <c r="CC7" s="99">
        <v>489</v>
      </c>
      <c r="CD7" s="99">
        <v>489</v>
      </c>
      <c r="CE7" s="99">
        <v>489</v>
      </c>
      <c r="CF7" s="99">
        <v>522</v>
      </c>
      <c r="CG7" s="99">
        <v>522</v>
      </c>
      <c r="CH7" s="99">
        <v>522</v>
      </c>
      <c r="CI7" s="99">
        <v>540</v>
      </c>
      <c r="CJ7" s="99">
        <v>540</v>
      </c>
      <c r="CK7" s="99">
        <v>555</v>
      </c>
      <c r="CL7" s="99">
        <v>555</v>
      </c>
    </row>
    <row r="8" spans="1:90" ht="15" customHeight="1">
      <c r="A8" s="2">
        <v>700</v>
      </c>
      <c r="B8" s="64">
        <v>0.4</v>
      </c>
      <c r="C8" s="64">
        <v>1</v>
      </c>
      <c r="D8" s="64"/>
      <c r="E8" s="99">
        <v>265</v>
      </c>
      <c r="F8" s="99">
        <v>265</v>
      </c>
      <c r="G8" s="99">
        <v>265</v>
      </c>
      <c r="H8" s="99">
        <v>265</v>
      </c>
      <c r="I8" s="99">
        <v>265</v>
      </c>
      <c r="J8" s="99">
        <v>265</v>
      </c>
      <c r="K8" s="99">
        <v>265</v>
      </c>
      <c r="L8" s="99">
        <v>265</v>
      </c>
      <c r="M8" s="99">
        <v>265</v>
      </c>
      <c r="N8" s="99">
        <v>265</v>
      </c>
      <c r="O8" s="99">
        <v>204</v>
      </c>
      <c r="P8" s="99">
        <v>204</v>
      </c>
      <c r="Q8" s="99">
        <v>204</v>
      </c>
      <c r="R8" s="99">
        <v>204</v>
      </c>
      <c r="S8" s="99">
        <v>204</v>
      </c>
      <c r="T8" s="99">
        <v>204</v>
      </c>
      <c r="U8" s="99">
        <v>204</v>
      </c>
      <c r="V8" s="99">
        <v>204</v>
      </c>
      <c r="W8" s="99">
        <v>204</v>
      </c>
      <c r="X8" s="99">
        <v>204</v>
      </c>
      <c r="Y8" s="99">
        <v>213</v>
      </c>
      <c r="Z8" s="99">
        <v>213</v>
      </c>
      <c r="AA8" s="99">
        <v>213</v>
      </c>
      <c r="AB8" s="99">
        <v>213</v>
      </c>
      <c r="AC8" s="99">
        <v>213</v>
      </c>
      <c r="AD8" s="99">
        <v>213</v>
      </c>
      <c r="AE8" s="99">
        <v>213</v>
      </c>
      <c r="AF8" s="99">
        <v>215</v>
      </c>
      <c r="AG8" s="99">
        <v>215</v>
      </c>
      <c r="AH8" s="99">
        <v>219</v>
      </c>
      <c r="AI8" s="99">
        <v>219</v>
      </c>
      <c r="AJ8" s="99">
        <v>219</v>
      </c>
      <c r="AK8" s="99">
        <v>219</v>
      </c>
      <c r="AL8" s="99">
        <v>219</v>
      </c>
      <c r="AM8" s="99">
        <v>219</v>
      </c>
      <c r="AN8" s="99">
        <v>219</v>
      </c>
      <c r="AO8" s="99">
        <v>271</v>
      </c>
      <c r="AP8" s="99">
        <v>223</v>
      </c>
      <c r="AQ8" s="99">
        <v>223</v>
      </c>
      <c r="AR8" s="99">
        <v>232</v>
      </c>
      <c r="AS8" s="99">
        <v>232</v>
      </c>
      <c r="AT8" s="99">
        <v>232</v>
      </c>
      <c r="AU8" s="99">
        <v>232</v>
      </c>
      <c r="AV8" s="99">
        <v>232</v>
      </c>
      <c r="AW8" s="99">
        <v>232</v>
      </c>
      <c r="AX8" s="99">
        <v>263</v>
      </c>
      <c r="AY8" s="99">
        <v>263</v>
      </c>
      <c r="AZ8" s="99">
        <v>263</v>
      </c>
      <c r="BA8" s="99">
        <v>263</v>
      </c>
      <c r="BB8" s="99">
        <v>598</v>
      </c>
      <c r="BC8" s="99">
        <v>265</v>
      </c>
      <c r="BD8" s="99">
        <v>265</v>
      </c>
      <c r="BE8" s="99">
        <v>236</v>
      </c>
      <c r="BF8" s="99">
        <v>236</v>
      </c>
      <c r="BG8" s="99">
        <v>236</v>
      </c>
      <c r="BH8" s="99">
        <v>236</v>
      </c>
      <c r="BI8" s="99">
        <v>331</v>
      </c>
      <c r="BJ8" s="99">
        <v>331</v>
      </c>
      <c r="BK8" s="99">
        <v>331</v>
      </c>
      <c r="BL8" s="99">
        <v>265</v>
      </c>
      <c r="BM8" s="99">
        <v>265</v>
      </c>
      <c r="BN8" s="99">
        <v>265</v>
      </c>
      <c r="BO8" s="99">
        <v>265</v>
      </c>
      <c r="BP8" s="99">
        <v>265</v>
      </c>
      <c r="BQ8" s="99">
        <v>334</v>
      </c>
      <c r="BR8" s="99">
        <v>406</v>
      </c>
      <c r="BS8" s="99">
        <v>406</v>
      </c>
      <c r="BT8" s="99">
        <v>406</v>
      </c>
      <c r="BU8" s="99">
        <v>406</v>
      </c>
      <c r="BV8" s="99">
        <v>406</v>
      </c>
      <c r="BW8" s="99">
        <v>503</v>
      </c>
      <c r="BX8" s="99">
        <v>466</v>
      </c>
      <c r="BY8" s="99">
        <v>466</v>
      </c>
      <c r="BZ8" s="99">
        <v>466</v>
      </c>
      <c r="CA8" s="99">
        <v>503</v>
      </c>
      <c r="CB8" s="99">
        <v>503</v>
      </c>
      <c r="CC8" s="99">
        <v>541</v>
      </c>
      <c r="CD8" s="99">
        <v>541</v>
      </c>
      <c r="CE8" s="99">
        <v>541</v>
      </c>
      <c r="CF8" s="99">
        <v>578</v>
      </c>
      <c r="CG8" s="99">
        <v>578</v>
      </c>
      <c r="CH8" s="99">
        <v>578</v>
      </c>
      <c r="CI8" s="99">
        <v>598</v>
      </c>
      <c r="CJ8" s="99">
        <v>598</v>
      </c>
      <c r="CK8" s="99">
        <v>617</v>
      </c>
      <c r="CL8" s="99">
        <v>617</v>
      </c>
    </row>
    <row r="9" spans="1:90" ht="15" customHeight="1">
      <c r="A9" s="2">
        <v>875</v>
      </c>
      <c r="B9" s="64">
        <v>0.5</v>
      </c>
      <c r="C9" s="64"/>
      <c r="D9" s="64">
        <v>1</v>
      </c>
      <c r="E9" s="99">
        <v>299</v>
      </c>
      <c r="F9" s="99">
        <v>299</v>
      </c>
      <c r="G9" s="99">
        <v>299</v>
      </c>
      <c r="H9" s="99">
        <v>299</v>
      </c>
      <c r="I9" s="99">
        <v>299</v>
      </c>
      <c r="J9" s="99">
        <v>299</v>
      </c>
      <c r="K9" s="99">
        <v>299</v>
      </c>
      <c r="L9" s="99">
        <v>299</v>
      </c>
      <c r="M9" s="99">
        <v>299</v>
      </c>
      <c r="N9" s="99">
        <v>299</v>
      </c>
      <c r="O9" s="99">
        <v>227</v>
      </c>
      <c r="P9" s="99">
        <v>227</v>
      </c>
      <c r="Q9" s="99">
        <v>227</v>
      </c>
      <c r="R9" s="99">
        <v>227</v>
      </c>
      <c r="S9" s="99">
        <v>227</v>
      </c>
      <c r="T9" s="99">
        <v>227</v>
      </c>
      <c r="U9" s="99">
        <v>227</v>
      </c>
      <c r="V9" s="99">
        <v>227</v>
      </c>
      <c r="W9" s="99">
        <v>227</v>
      </c>
      <c r="X9" s="99">
        <v>227</v>
      </c>
      <c r="Y9" s="99">
        <v>238</v>
      </c>
      <c r="Z9" s="99">
        <v>238</v>
      </c>
      <c r="AA9" s="99">
        <v>238</v>
      </c>
      <c r="AB9" s="99">
        <v>238</v>
      </c>
      <c r="AC9" s="99">
        <v>238</v>
      </c>
      <c r="AD9" s="99">
        <v>238</v>
      </c>
      <c r="AE9" s="99">
        <v>238</v>
      </c>
      <c r="AF9" s="99">
        <v>240</v>
      </c>
      <c r="AG9" s="99">
        <v>240</v>
      </c>
      <c r="AH9" s="99">
        <v>246</v>
      </c>
      <c r="AI9" s="99">
        <v>246</v>
      </c>
      <c r="AJ9" s="99">
        <v>246</v>
      </c>
      <c r="AK9" s="99">
        <v>246</v>
      </c>
      <c r="AL9" s="99">
        <v>246</v>
      </c>
      <c r="AM9" s="99">
        <v>246</v>
      </c>
      <c r="AN9" s="99">
        <v>246</v>
      </c>
      <c r="AO9" s="99">
        <v>298</v>
      </c>
      <c r="AP9" s="99">
        <v>254</v>
      </c>
      <c r="AQ9" s="99">
        <v>254</v>
      </c>
      <c r="AR9" s="99">
        <v>262</v>
      </c>
      <c r="AS9" s="99">
        <v>262</v>
      </c>
      <c r="AT9" s="99">
        <v>262</v>
      </c>
      <c r="AU9" s="99">
        <v>262</v>
      </c>
      <c r="AV9" s="99">
        <v>262</v>
      </c>
      <c r="AW9" s="99">
        <v>262</v>
      </c>
      <c r="AX9" s="99">
        <v>297</v>
      </c>
      <c r="AY9" s="99">
        <v>297</v>
      </c>
      <c r="AZ9" s="99">
        <v>297</v>
      </c>
      <c r="BA9" s="99">
        <v>297</v>
      </c>
      <c r="BB9" s="99">
        <v>647</v>
      </c>
      <c r="BC9" s="99">
        <v>299</v>
      </c>
      <c r="BD9" s="99">
        <v>299</v>
      </c>
      <c r="BE9" s="99">
        <v>265</v>
      </c>
      <c r="BF9" s="99">
        <v>265</v>
      </c>
      <c r="BG9" s="99">
        <v>265</v>
      </c>
      <c r="BH9" s="99">
        <v>265</v>
      </c>
      <c r="BI9" s="99">
        <v>357</v>
      </c>
      <c r="BJ9" s="99">
        <v>357</v>
      </c>
      <c r="BK9" s="99">
        <v>357</v>
      </c>
      <c r="BL9" s="99">
        <v>299</v>
      </c>
      <c r="BM9" s="99">
        <v>299</v>
      </c>
      <c r="BN9" s="99">
        <v>299</v>
      </c>
      <c r="BO9" s="99">
        <v>299</v>
      </c>
      <c r="BP9" s="99">
        <v>299</v>
      </c>
      <c r="BQ9" s="99">
        <v>370</v>
      </c>
      <c r="BR9" s="99">
        <v>478</v>
      </c>
      <c r="BS9" s="99">
        <v>478</v>
      </c>
      <c r="BT9" s="99">
        <v>478</v>
      </c>
      <c r="BU9" s="99">
        <v>478</v>
      </c>
      <c r="BV9" s="99">
        <v>478</v>
      </c>
      <c r="BW9" s="99">
        <v>593</v>
      </c>
      <c r="BX9" s="99">
        <v>548</v>
      </c>
      <c r="BY9" s="99">
        <v>548</v>
      </c>
      <c r="BZ9" s="99">
        <v>548</v>
      </c>
      <c r="CA9" s="99">
        <v>593</v>
      </c>
      <c r="CB9" s="99">
        <v>593</v>
      </c>
      <c r="CC9" s="99">
        <v>638</v>
      </c>
      <c r="CD9" s="99">
        <v>638</v>
      </c>
      <c r="CE9" s="99">
        <v>638</v>
      </c>
      <c r="CF9" s="99">
        <v>683</v>
      </c>
      <c r="CG9" s="99">
        <v>683</v>
      </c>
      <c r="CH9" s="99">
        <v>683</v>
      </c>
      <c r="CI9" s="99">
        <v>706</v>
      </c>
      <c r="CJ9" s="99">
        <v>706</v>
      </c>
      <c r="CK9" s="99">
        <v>727</v>
      </c>
      <c r="CL9" s="99">
        <v>727</v>
      </c>
    </row>
    <row r="10" spans="1:90" ht="15" customHeight="1">
      <c r="A10" s="2">
        <v>1050</v>
      </c>
      <c r="B10" s="64">
        <v>0.6</v>
      </c>
      <c r="C10" s="64"/>
      <c r="D10" s="64"/>
      <c r="E10" s="99">
        <v>315</v>
      </c>
      <c r="F10" s="99">
        <v>315</v>
      </c>
      <c r="G10" s="99">
        <v>315</v>
      </c>
      <c r="H10" s="99">
        <v>315</v>
      </c>
      <c r="I10" s="99">
        <v>315</v>
      </c>
      <c r="J10" s="99">
        <v>315</v>
      </c>
      <c r="K10" s="99">
        <v>315</v>
      </c>
      <c r="L10" s="99">
        <v>315</v>
      </c>
      <c r="M10" s="99">
        <v>315</v>
      </c>
      <c r="N10" s="99">
        <v>315</v>
      </c>
      <c r="O10" s="99">
        <v>238</v>
      </c>
      <c r="P10" s="99">
        <v>238</v>
      </c>
      <c r="Q10" s="99">
        <v>238</v>
      </c>
      <c r="R10" s="99">
        <v>238</v>
      </c>
      <c r="S10" s="99">
        <v>238</v>
      </c>
      <c r="T10" s="99">
        <v>238</v>
      </c>
      <c r="U10" s="99">
        <v>238</v>
      </c>
      <c r="V10" s="99">
        <v>238</v>
      </c>
      <c r="W10" s="99">
        <v>238</v>
      </c>
      <c r="X10" s="99">
        <v>238</v>
      </c>
      <c r="Y10" s="99">
        <v>250</v>
      </c>
      <c r="Z10" s="99">
        <v>250</v>
      </c>
      <c r="AA10" s="99">
        <v>250</v>
      </c>
      <c r="AB10" s="99">
        <v>250</v>
      </c>
      <c r="AC10" s="99">
        <v>250</v>
      </c>
      <c r="AD10" s="99">
        <v>250</v>
      </c>
      <c r="AE10" s="99">
        <v>250</v>
      </c>
      <c r="AF10" s="99">
        <v>252</v>
      </c>
      <c r="AG10" s="99">
        <v>252</v>
      </c>
      <c r="AH10" s="99">
        <v>258</v>
      </c>
      <c r="AI10" s="99">
        <v>258</v>
      </c>
      <c r="AJ10" s="99">
        <v>258</v>
      </c>
      <c r="AK10" s="99">
        <v>258</v>
      </c>
      <c r="AL10" s="99">
        <v>258</v>
      </c>
      <c r="AM10" s="99">
        <v>258</v>
      </c>
      <c r="AN10" s="99">
        <v>258</v>
      </c>
      <c r="AO10" s="99">
        <v>329</v>
      </c>
      <c r="AP10" s="99">
        <v>264</v>
      </c>
      <c r="AQ10" s="99">
        <v>264</v>
      </c>
      <c r="AR10" s="99">
        <v>276</v>
      </c>
      <c r="AS10" s="99">
        <v>276</v>
      </c>
      <c r="AT10" s="99">
        <v>276</v>
      </c>
      <c r="AU10" s="99">
        <v>276</v>
      </c>
      <c r="AV10" s="99">
        <v>276</v>
      </c>
      <c r="AW10" s="99">
        <v>276</v>
      </c>
      <c r="AX10" s="99">
        <v>312</v>
      </c>
      <c r="AY10" s="99">
        <v>312</v>
      </c>
      <c r="AZ10" s="99">
        <v>312</v>
      </c>
      <c r="BA10" s="99">
        <v>312</v>
      </c>
      <c r="BB10" s="99">
        <v>685</v>
      </c>
      <c r="BC10" s="99">
        <v>315</v>
      </c>
      <c r="BD10" s="99">
        <v>315</v>
      </c>
      <c r="BE10" s="99">
        <v>280</v>
      </c>
      <c r="BF10" s="99">
        <v>280</v>
      </c>
      <c r="BG10" s="99">
        <v>280</v>
      </c>
      <c r="BH10" s="99">
        <v>280</v>
      </c>
      <c r="BI10" s="99">
        <v>394</v>
      </c>
      <c r="BJ10" s="99">
        <v>394</v>
      </c>
      <c r="BK10" s="99">
        <v>394</v>
      </c>
      <c r="BL10" s="99">
        <v>315</v>
      </c>
      <c r="BM10" s="99">
        <v>315</v>
      </c>
      <c r="BN10" s="99">
        <v>315</v>
      </c>
      <c r="BO10" s="99">
        <v>315</v>
      </c>
      <c r="BP10" s="99">
        <v>315</v>
      </c>
      <c r="BQ10" s="99">
        <v>396</v>
      </c>
      <c r="BR10" s="99">
        <v>514</v>
      </c>
      <c r="BS10" s="99">
        <v>514</v>
      </c>
      <c r="BT10" s="99">
        <v>514</v>
      </c>
      <c r="BU10" s="99">
        <v>514</v>
      </c>
      <c r="BV10" s="99">
        <v>514</v>
      </c>
      <c r="BW10" s="99">
        <v>636</v>
      </c>
      <c r="BX10" s="99">
        <v>588</v>
      </c>
      <c r="BY10" s="99">
        <v>588</v>
      </c>
      <c r="BZ10" s="99">
        <v>588</v>
      </c>
      <c r="CA10" s="99">
        <v>636</v>
      </c>
      <c r="CB10" s="99">
        <v>636</v>
      </c>
      <c r="CC10" s="99">
        <v>684</v>
      </c>
      <c r="CD10" s="99">
        <v>684</v>
      </c>
      <c r="CE10" s="99">
        <v>684</v>
      </c>
      <c r="CF10" s="99">
        <v>732</v>
      </c>
      <c r="CG10" s="99">
        <v>732</v>
      </c>
      <c r="CH10" s="99">
        <v>732</v>
      </c>
      <c r="CI10" s="99">
        <v>756</v>
      </c>
      <c r="CJ10" s="99">
        <v>756</v>
      </c>
      <c r="CK10" s="99">
        <v>781</v>
      </c>
      <c r="CL10" s="99">
        <v>781</v>
      </c>
    </row>
    <row r="11" spans="1:90" ht="15" customHeight="1">
      <c r="A11" s="2">
        <v>1400</v>
      </c>
      <c r="B11" s="64">
        <v>0.8</v>
      </c>
      <c r="C11" s="64">
        <v>2</v>
      </c>
      <c r="D11" s="64"/>
      <c r="E11" s="99">
        <v>380</v>
      </c>
      <c r="F11" s="99">
        <v>380</v>
      </c>
      <c r="G11" s="99">
        <v>380</v>
      </c>
      <c r="H11" s="99">
        <v>380</v>
      </c>
      <c r="I11" s="99">
        <v>380</v>
      </c>
      <c r="J11" s="99">
        <v>380</v>
      </c>
      <c r="K11" s="99">
        <v>380</v>
      </c>
      <c r="L11" s="99">
        <v>380</v>
      </c>
      <c r="M11" s="99">
        <v>380</v>
      </c>
      <c r="N11" s="99">
        <v>380</v>
      </c>
      <c r="O11" s="99">
        <v>284</v>
      </c>
      <c r="P11" s="99">
        <v>284</v>
      </c>
      <c r="Q11" s="99">
        <v>284</v>
      </c>
      <c r="R11" s="99">
        <v>284</v>
      </c>
      <c r="S11" s="99">
        <v>284</v>
      </c>
      <c r="T11" s="99">
        <v>284</v>
      </c>
      <c r="U11" s="99">
        <v>284</v>
      </c>
      <c r="V11" s="99">
        <v>284</v>
      </c>
      <c r="W11" s="99">
        <v>284</v>
      </c>
      <c r="X11" s="99">
        <v>284</v>
      </c>
      <c r="Y11" s="99">
        <v>295</v>
      </c>
      <c r="Z11" s="99">
        <v>295</v>
      </c>
      <c r="AA11" s="99">
        <v>295</v>
      </c>
      <c r="AB11" s="99">
        <v>295</v>
      </c>
      <c r="AC11" s="99">
        <v>295</v>
      </c>
      <c r="AD11" s="99">
        <v>295</v>
      </c>
      <c r="AE11" s="99">
        <v>295</v>
      </c>
      <c r="AF11" s="99">
        <v>298</v>
      </c>
      <c r="AG11" s="99">
        <v>298</v>
      </c>
      <c r="AH11" s="99">
        <v>305</v>
      </c>
      <c r="AI11" s="99">
        <v>305</v>
      </c>
      <c r="AJ11" s="99">
        <v>305</v>
      </c>
      <c r="AK11" s="99">
        <v>305</v>
      </c>
      <c r="AL11" s="99">
        <v>305</v>
      </c>
      <c r="AM11" s="99">
        <v>305</v>
      </c>
      <c r="AN11" s="99">
        <v>305</v>
      </c>
      <c r="AO11" s="99">
        <v>360</v>
      </c>
      <c r="AP11" s="99">
        <v>314</v>
      </c>
      <c r="AQ11" s="99">
        <v>314</v>
      </c>
      <c r="AR11" s="99">
        <v>329</v>
      </c>
      <c r="AS11" s="99">
        <v>329</v>
      </c>
      <c r="AT11" s="99">
        <v>329</v>
      </c>
      <c r="AU11" s="99">
        <v>329</v>
      </c>
      <c r="AV11" s="99">
        <v>329</v>
      </c>
      <c r="AW11" s="99">
        <v>329</v>
      </c>
      <c r="AX11" s="99">
        <v>371</v>
      </c>
      <c r="AY11" s="99">
        <v>371</v>
      </c>
      <c r="AZ11" s="99">
        <v>371</v>
      </c>
      <c r="BA11" s="99">
        <v>371</v>
      </c>
      <c r="BB11" s="99">
        <v>743</v>
      </c>
      <c r="BC11" s="99">
        <v>380</v>
      </c>
      <c r="BD11" s="99">
        <v>380</v>
      </c>
      <c r="BE11" s="99">
        <v>333</v>
      </c>
      <c r="BF11" s="99">
        <v>333</v>
      </c>
      <c r="BG11" s="99">
        <v>333</v>
      </c>
      <c r="BH11" s="99">
        <v>333</v>
      </c>
      <c r="BI11" s="99">
        <v>431</v>
      </c>
      <c r="BJ11" s="99">
        <v>431</v>
      </c>
      <c r="BK11" s="99">
        <v>431</v>
      </c>
      <c r="BL11" s="99">
        <v>380</v>
      </c>
      <c r="BM11" s="99">
        <v>380</v>
      </c>
      <c r="BN11" s="99">
        <v>380</v>
      </c>
      <c r="BO11" s="99">
        <v>380</v>
      </c>
      <c r="BP11" s="99">
        <v>380</v>
      </c>
      <c r="BQ11" s="99">
        <v>432</v>
      </c>
      <c r="BR11" s="99">
        <v>559</v>
      </c>
      <c r="BS11" s="99">
        <v>559</v>
      </c>
      <c r="BT11" s="99">
        <v>559</v>
      </c>
      <c r="BU11" s="99">
        <v>559</v>
      </c>
      <c r="BV11" s="99">
        <v>559</v>
      </c>
      <c r="BW11" s="99">
        <v>690</v>
      </c>
      <c r="BX11" s="99">
        <v>639</v>
      </c>
      <c r="BY11" s="99">
        <v>639</v>
      </c>
      <c r="BZ11" s="99">
        <v>639</v>
      </c>
      <c r="CA11" s="99">
        <v>690</v>
      </c>
      <c r="CB11" s="99">
        <v>690</v>
      </c>
      <c r="CC11" s="99">
        <v>742</v>
      </c>
      <c r="CD11" s="99">
        <v>742</v>
      </c>
      <c r="CE11" s="99">
        <v>742</v>
      </c>
      <c r="CF11" s="99">
        <v>794</v>
      </c>
      <c r="CG11" s="99">
        <v>794</v>
      </c>
      <c r="CH11" s="99">
        <v>794</v>
      </c>
      <c r="CI11" s="99">
        <v>820</v>
      </c>
      <c r="CJ11" s="99">
        <v>820</v>
      </c>
      <c r="CK11" s="99">
        <v>846</v>
      </c>
      <c r="CL11" s="99">
        <v>846</v>
      </c>
    </row>
    <row r="12" spans="1:90" ht="15" customHeight="1">
      <c r="A12" s="2">
        <v>1750</v>
      </c>
      <c r="B12" s="64">
        <v>1</v>
      </c>
      <c r="C12" s="64"/>
      <c r="D12" s="64">
        <v>2</v>
      </c>
      <c r="E12" s="99">
        <v>440</v>
      </c>
      <c r="F12" s="99">
        <v>440</v>
      </c>
      <c r="G12" s="99">
        <v>440</v>
      </c>
      <c r="H12" s="99">
        <v>440</v>
      </c>
      <c r="I12" s="99">
        <v>440</v>
      </c>
      <c r="J12" s="99">
        <v>440</v>
      </c>
      <c r="K12" s="99">
        <v>440</v>
      </c>
      <c r="L12" s="99">
        <v>440</v>
      </c>
      <c r="M12" s="99">
        <v>440</v>
      </c>
      <c r="N12" s="99">
        <v>440</v>
      </c>
      <c r="O12" s="99">
        <v>324</v>
      </c>
      <c r="P12" s="99">
        <v>324</v>
      </c>
      <c r="Q12" s="99">
        <v>324</v>
      </c>
      <c r="R12" s="99">
        <v>324</v>
      </c>
      <c r="S12" s="99">
        <v>324</v>
      </c>
      <c r="T12" s="99">
        <v>324</v>
      </c>
      <c r="U12" s="99">
        <v>324</v>
      </c>
      <c r="V12" s="99">
        <v>324</v>
      </c>
      <c r="W12" s="99">
        <v>324</v>
      </c>
      <c r="X12" s="99">
        <v>324</v>
      </c>
      <c r="Y12" s="99">
        <v>337</v>
      </c>
      <c r="Z12" s="99">
        <v>337</v>
      </c>
      <c r="AA12" s="99">
        <v>337</v>
      </c>
      <c r="AB12" s="99">
        <v>337</v>
      </c>
      <c r="AC12" s="99">
        <v>337</v>
      </c>
      <c r="AD12" s="99">
        <v>337</v>
      </c>
      <c r="AE12" s="99">
        <v>337</v>
      </c>
      <c r="AF12" s="99">
        <v>342</v>
      </c>
      <c r="AG12" s="99">
        <v>342</v>
      </c>
      <c r="AH12" s="99">
        <v>348</v>
      </c>
      <c r="AI12" s="99">
        <v>348</v>
      </c>
      <c r="AJ12" s="99">
        <v>348</v>
      </c>
      <c r="AK12" s="99">
        <v>348</v>
      </c>
      <c r="AL12" s="99">
        <v>348</v>
      </c>
      <c r="AM12" s="99">
        <v>348</v>
      </c>
      <c r="AN12" s="99">
        <v>348</v>
      </c>
      <c r="AO12" s="99">
        <v>397</v>
      </c>
      <c r="AP12" s="99">
        <v>357</v>
      </c>
      <c r="AQ12" s="99">
        <v>357</v>
      </c>
      <c r="AR12" s="99">
        <v>378</v>
      </c>
      <c r="AS12" s="99">
        <v>378</v>
      </c>
      <c r="AT12" s="99">
        <v>378</v>
      </c>
      <c r="AU12" s="99">
        <v>378</v>
      </c>
      <c r="AV12" s="99">
        <v>378</v>
      </c>
      <c r="AW12" s="99">
        <v>378</v>
      </c>
      <c r="AX12" s="99">
        <v>427</v>
      </c>
      <c r="AY12" s="99">
        <v>427</v>
      </c>
      <c r="AZ12" s="99">
        <v>427</v>
      </c>
      <c r="BA12" s="99">
        <v>427</v>
      </c>
      <c r="BB12" s="99">
        <v>797</v>
      </c>
      <c r="BC12" s="99">
        <v>440</v>
      </c>
      <c r="BD12" s="99">
        <v>440</v>
      </c>
      <c r="BE12" s="99">
        <v>379</v>
      </c>
      <c r="BF12" s="99">
        <v>379</v>
      </c>
      <c r="BG12" s="99">
        <v>379</v>
      </c>
      <c r="BH12" s="99">
        <v>379</v>
      </c>
      <c r="BI12" s="99">
        <v>506</v>
      </c>
      <c r="BJ12" s="99">
        <v>506</v>
      </c>
      <c r="BK12" s="99">
        <v>506</v>
      </c>
      <c r="BL12" s="99">
        <v>440</v>
      </c>
      <c r="BM12" s="99">
        <v>440</v>
      </c>
      <c r="BN12" s="99">
        <v>440</v>
      </c>
      <c r="BO12" s="99">
        <v>440</v>
      </c>
      <c r="BP12" s="99">
        <v>440</v>
      </c>
      <c r="BQ12" s="99">
        <v>469</v>
      </c>
      <c r="BR12" s="99">
        <v>631</v>
      </c>
      <c r="BS12" s="99">
        <v>631</v>
      </c>
      <c r="BT12" s="99">
        <v>631</v>
      </c>
      <c r="BU12" s="99">
        <v>631</v>
      </c>
      <c r="BV12" s="99">
        <v>631</v>
      </c>
      <c r="BW12" s="99">
        <v>781</v>
      </c>
      <c r="BX12" s="99">
        <v>722</v>
      </c>
      <c r="BY12" s="99">
        <v>722</v>
      </c>
      <c r="BZ12" s="99">
        <v>722</v>
      </c>
      <c r="CA12" s="99">
        <v>781</v>
      </c>
      <c r="CB12" s="99">
        <v>781</v>
      </c>
      <c r="CC12" s="99">
        <v>840</v>
      </c>
      <c r="CD12" s="99">
        <v>840</v>
      </c>
      <c r="CE12" s="99">
        <v>840</v>
      </c>
      <c r="CF12" s="99">
        <v>897</v>
      </c>
      <c r="CG12" s="99">
        <v>897</v>
      </c>
      <c r="CH12" s="99">
        <v>897</v>
      </c>
      <c r="CI12" s="99">
        <v>927</v>
      </c>
      <c r="CJ12" s="99">
        <v>927</v>
      </c>
      <c r="CK12" s="99">
        <v>957</v>
      </c>
      <c r="CL12" s="99">
        <v>957</v>
      </c>
    </row>
    <row r="13" spans="1:90" ht="15" customHeight="1">
      <c r="A13" s="2">
        <v>2100</v>
      </c>
      <c r="B13" s="64">
        <v>1.2</v>
      </c>
      <c r="C13" s="64">
        <v>3</v>
      </c>
      <c r="D13" s="64"/>
      <c r="E13" s="99">
        <v>525</v>
      </c>
      <c r="F13" s="99">
        <v>525</v>
      </c>
      <c r="G13" s="99">
        <v>525</v>
      </c>
      <c r="H13" s="99">
        <v>525</v>
      </c>
      <c r="I13" s="99">
        <v>525</v>
      </c>
      <c r="J13" s="99">
        <v>525</v>
      </c>
      <c r="K13" s="99">
        <v>525</v>
      </c>
      <c r="L13" s="99">
        <v>525</v>
      </c>
      <c r="M13" s="99">
        <v>525</v>
      </c>
      <c r="N13" s="99">
        <v>525</v>
      </c>
      <c r="O13" s="99">
        <v>385</v>
      </c>
      <c r="P13" s="99">
        <v>385</v>
      </c>
      <c r="Q13" s="99">
        <v>385</v>
      </c>
      <c r="R13" s="99">
        <v>385</v>
      </c>
      <c r="S13" s="99">
        <v>385</v>
      </c>
      <c r="T13" s="99">
        <v>385</v>
      </c>
      <c r="U13" s="99">
        <v>385</v>
      </c>
      <c r="V13" s="99">
        <v>385</v>
      </c>
      <c r="W13" s="99">
        <v>385</v>
      </c>
      <c r="X13" s="99">
        <v>385</v>
      </c>
      <c r="Y13" s="99">
        <v>398</v>
      </c>
      <c r="Z13" s="99">
        <v>398</v>
      </c>
      <c r="AA13" s="99">
        <v>398</v>
      </c>
      <c r="AB13" s="99">
        <v>398</v>
      </c>
      <c r="AC13" s="99">
        <v>398</v>
      </c>
      <c r="AD13" s="99">
        <v>398</v>
      </c>
      <c r="AE13" s="99">
        <v>398</v>
      </c>
      <c r="AF13" s="99">
        <v>402</v>
      </c>
      <c r="AG13" s="99">
        <v>402</v>
      </c>
      <c r="AH13" s="99">
        <v>410</v>
      </c>
      <c r="AI13" s="99">
        <v>410</v>
      </c>
      <c r="AJ13" s="99">
        <v>410</v>
      </c>
      <c r="AK13" s="99">
        <v>410</v>
      </c>
      <c r="AL13" s="99">
        <v>410</v>
      </c>
      <c r="AM13" s="99">
        <v>410</v>
      </c>
      <c r="AN13" s="99">
        <v>410</v>
      </c>
      <c r="AO13" s="99">
        <v>452</v>
      </c>
      <c r="AP13" s="99">
        <v>424</v>
      </c>
      <c r="AQ13" s="99">
        <v>424</v>
      </c>
      <c r="AR13" s="99">
        <v>448</v>
      </c>
      <c r="AS13" s="99">
        <v>448</v>
      </c>
      <c r="AT13" s="99">
        <v>448</v>
      </c>
      <c r="AU13" s="99">
        <v>448</v>
      </c>
      <c r="AV13" s="99">
        <v>448</v>
      </c>
      <c r="AW13" s="99">
        <v>448</v>
      </c>
      <c r="AX13" s="99">
        <v>506</v>
      </c>
      <c r="AY13" s="99">
        <v>506</v>
      </c>
      <c r="AZ13" s="99">
        <v>506</v>
      </c>
      <c r="BA13" s="99">
        <v>506</v>
      </c>
      <c r="BB13" s="99">
        <v>870</v>
      </c>
      <c r="BC13" s="99">
        <v>525</v>
      </c>
      <c r="BD13" s="99">
        <v>525</v>
      </c>
      <c r="BE13" s="99">
        <v>450</v>
      </c>
      <c r="BF13" s="99">
        <v>450</v>
      </c>
      <c r="BG13" s="99">
        <v>450</v>
      </c>
      <c r="BH13" s="99">
        <v>450</v>
      </c>
      <c r="BI13" s="99">
        <v>551</v>
      </c>
      <c r="BJ13" s="99">
        <v>551</v>
      </c>
      <c r="BK13" s="99">
        <v>551</v>
      </c>
      <c r="BL13" s="99">
        <v>525</v>
      </c>
      <c r="BM13" s="99">
        <v>525</v>
      </c>
      <c r="BN13" s="99">
        <v>525</v>
      </c>
      <c r="BO13" s="99">
        <v>525</v>
      </c>
      <c r="BP13" s="99">
        <v>525</v>
      </c>
      <c r="BQ13" s="99">
        <v>513</v>
      </c>
      <c r="BR13" s="99">
        <v>711</v>
      </c>
      <c r="BS13" s="99">
        <v>711</v>
      </c>
      <c r="BT13" s="99">
        <v>711</v>
      </c>
      <c r="BU13" s="99">
        <v>711</v>
      </c>
      <c r="BV13" s="99">
        <v>711</v>
      </c>
      <c r="BW13" s="99">
        <v>878</v>
      </c>
      <c r="BX13" s="99">
        <v>812</v>
      </c>
      <c r="BY13" s="99">
        <v>812</v>
      </c>
      <c r="BZ13" s="99">
        <v>812</v>
      </c>
      <c r="CA13" s="99">
        <v>878</v>
      </c>
      <c r="CB13" s="99">
        <v>878</v>
      </c>
      <c r="CC13" s="99">
        <v>943</v>
      </c>
      <c r="CD13" s="99">
        <v>943</v>
      </c>
      <c r="CE13" s="99">
        <v>943</v>
      </c>
      <c r="CF13" s="99">
        <v>1010</v>
      </c>
      <c r="CG13" s="99">
        <v>1010</v>
      </c>
      <c r="CH13" s="99">
        <v>1010</v>
      </c>
      <c r="CI13" s="99">
        <v>1042</v>
      </c>
      <c r="CJ13" s="99">
        <v>1042</v>
      </c>
      <c r="CK13" s="99">
        <v>1076</v>
      </c>
      <c r="CL13" s="99">
        <v>1076</v>
      </c>
    </row>
    <row r="14" spans="1:90" ht="15" customHeight="1">
      <c r="A14" s="2">
        <v>2625</v>
      </c>
      <c r="B14" s="64">
        <v>1.5</v>
      </c>
      <c r="C14" s="64"/>
      <c r="D14" s="64">
        <v>3</v>
      </c>
      <c r="E14" s="99">
        <v>593</v>
      </c>
      <c r="F14" s="99">
        <v>593</v>
      </c>
      <c r="G14" s="99">
        <v>593</v>
      </c>
      <c r="H14" s="99">
        <v>593</v>
      </c>
      <c r="I14" s="99">
        <v>593</v>
      </c>
      <c r="J14" s="99">
        <v>593</v>
      </c>
      <c r="K14" s="99">
        <v>593</v>
      </c>
      <c r="L14" s="99">
        <v>593</v>
      </c>
      <c r="M14" s="99">
        <v>593</v>
      </c>
      <c r="N14" s="99">
        <v>593</v>
      </c>
      <c r="O14" s="99">
        <v>431</v>
      </c>
      <c r="P14" s="99">
        <v>431</v>
      </c>
      <c r="Q14" s="99">
        <v>431</v>
      </c>
      <c r="R14" s="99">
        <v>431</v>
      </c>
      <c r="S14" s="99">
        <v>431</v>
      </c>
      <c r="T14" s="99">
        <v>431</v>
      </c>
      <c r="U14" s="99">
        <v>431</v>
      </c>
      <c r="V14" s="99">
        <v>431</v>
      </c>
      <c r="W14" s="99">
        <v>431</v>
      </c>
      <c r="X14" s="99">
        <v>431</v>
      </c>
      <c r="Y14" s="99">
        <v>445</v>
      </c>
      <c r="Z14" s="99">
        <v>445</v>
      </c>
      <c r="AA14" s="99">
        <v>445</v>
      </c>
      <c r="AB14" s="99">
        <v>445</v>
      </c>
      <c r="AC14" s="99">
        <v>445</v>
      </c>
      <c r="AD14" s="99">
        <v>445</v>
      </c>
      <c r="AE14" s="99">
        <v>445</v>
      </c>
      <c r="AF14" s="99">
        <v>450</v>
      </c>
      <c r="AG14" s="99">
        <v>450</v>
      </c>
      <c r="AH14" s="99">
        <v>459</v>
      </c>
      <c r="AI14" s="99">
        <v>459</v>
      </c>
      <c r="AJ14" s="99">
        <v>459</v>
      </c>
      <c r="AK14" s="99">
        <v>459</v>
      </c>
      <c r="AL14" s="99">
        <v>459</v>
      </c>
      <c r="AM14" s="99">
        <v>459</v>
      </c>
      <c r="AN14" s="99">
        <v>459</v>
      </c>
      <c r="AO14" s="99">
        <v>524</v>
      </c>
      <c r="AP14" s="99">
        <v>472</v>
      </c>
      <c r="AQ14" s="99">
        <v>472</v>
      </c>
      <c r="AR14" s="99">
        <v>502</v>
      </c>
      <c r="AS14" s="99">
        <v>502</v>
      </c>
      <c r="AT14" s="99">
        <v>502</v>
      </c>
      <c r="AU14" s="99">
        <v>502</v>
      </c>
      <c r="AV14" s="99">
        <v>502</v>
      </c>
      <c r="AW14" s="99">
        <v>502</v>
      </c>
      <c r="AX14" s="99">
        <v>570</v>
      </c>
      <c r="AY14" s="99">
        <v>570</v>
      </c>
      <c r="AZ14" s="99">
        <v>570</v>
      </c>
      <c r="BA14" s="99">
        <v>570</v>
      </c>
      <c r="BB14" s="99">
        <v>961</v>
      </c>
      <c r="BC14" s="99">
        <v>593</v>
      </c>
      <c r="BD14" s="99">
        <v>593</v>
      </c>
      <c r="BE14" s="99">
        <v>505</v>
      </c>
      <c r="BF14" s="99">
        <v>505</v>
      </c>
      <c r="BG14" s="99">
        <v>505</v>
      </c>
      <c r="BH14" s="99">
        <v>505</v>
      </c>
      <c r="BI14" s="99">
        <v>621</v>
      </c>
      <c r="BJ14" s="99">
        <v>621</v>
      </c>
      <c r="BK14" s="99">
        <v>621</v>
      </c>
      <c r="BL14" s="99">
        <v>593</v>
      </c>
      <c r="BM14" s="99">
        <v>593</v>
      </c>
      <c r="BN14" s="99">
        <v>593</v>
      </c>
      <c r="BO14" s="99">
        <v>593</v>
      </c>
      <c r="BP14" s="99">
        <v>593</v>
      </c>
      <c r="BQ14" s="99">
        <v>589</v>
      </c>
      <c r="BR14" s="99">
        <v>820</v>
      </c>
      <c r="BS14" s="99">
        <v>820</v>
      </c>
      <c r="BT14" s="99">
        <v>820</v>
      </c>
      <c r="BU14" s="99">
        <v>820</v>
      </c>
      <c r="BV14" s="99">
        <v>820</v>
      </c>
      <c r="BW14" s="99">
        <v>1013</v>
      </c>
      <c r="BX14" s="99">
        <v>937</v>
      </c>
      <c r="BY14" s="99">
        <v>937</v>
      </c>
      <c r="BZ14" s="99">
        <v>937</v>
      </c>
      <c r="CA14" s="99">
        <v>1013</v>
      </c>
      <c r="CB14" s="99">
        <v>1013</v>
      </c>
      <c r="CC14" s="99">
        <v>1088</v>
      </c>
      <c r="CD14" s="99">
        <v>1088</v>
      </c>
      <c r="CE14" s="99">
        <v>1088</v>
      </c>
      <c r="CF14" s="99">
        <v>1165</v>
      </c>
      <c r="CG14" s="99">
        <v>1165</v>
      </c>
      <c r="CH14" s="99">
        <v>1165</v>
      </c>
      <c r="CI14" s="99">
        <v>1203</v>
      </c>
      <c r="CJ14" s="99">
        <v>1203</v>
      </c>
      <c r="CK14" s="99">
        <v>1242</v>
      </c>
      <c r="CL14" s="99">
        <v>1242</v>
      </c>
    </row>
    <row r="15" spans="1:90" ht="15" customHeight="1">
      <c r="A15" s="2">
        <v>2800</v>
      </c>
      <c r="B15" s="64">
        <v>1.6</v>
      </c>
      <c r="C15" s="64">
        <v>4</v>
      </c>
      <c r="D15" s="64"/>
      <c r="E15" s="99">
        <v>598</v>
      </c>
      <c r="F15" s="99">
        <v>598</v>
      </c>
      <c r="G15" s="99">
        <v>598</v>
      </c>
      <c r="H15" s="99">
        <v>598</v>
      </c>
      <c r="I15" s="99">
        <v>598</v>
      </c>
      <c r="J15" s="99">
        <v>598</v>
      </c>
      <c r="K15" s="99">
        <v>598</v>
      </c>
      <c r="L15" s="99">
        <v>598</v>
      </c>
      <c r="M15" s="99">
        <v>598</v>
      </c>
      <c r="N15" s="99">
        <v>598</v>
      </c>
      <c r="O15" s="99">
        <v>436</v>
      </c>
      <c r="P15" s="99">
        <v>436</v>
      </c>
      <c r="Q15" s="99">
        <v>436</v>
      </c>
      <c r="R15" s="99">
        <v>436</v>
      </c>
      <c r="S15" s="99">
        <v>436</v>
      </c>
      <c r="T15" s="99">
        <v>436</v>
      </c>
      <c r="U15" s="99">
        <v>436</v>
      </c>
      <c r="V15" s="99">
        <v>436</v>
      </c>
      <c r="W15" s="99">
        <v>436</v>
      </c>
      <c r="X15" s="99">
        <v>436</v>
      </c>
      <c r="Y15" s="99">
        <v>450</v>
      </c>
      <c r="Z15" s="99">
        <v>450</v>
      </c>
      <c r="AA15" s="99">
        <v>450</v>
      </c>
      <c r="AB15" s="99">
        <v>450</v>
      </c>
      <c r="AC15" s="99">
        <v>450</v>
      </c>
      <c r="AD15" s="99">
        <v>450</v>
      </c>
      <c r="AE15" s="99">
        <v>450</v>
      </c>
      <c r="AF15" s="99">
        <v>455</v>
      </c>
      <c r="AG15" s="99">
        <v>455</v>
      </c>
      <c r="AH15" s="99">
        <v>466</v>
      </c>
      <c r="AI15" s="99">
        <v>466</v>
      </c>
      <c r="AJ15" s="99">
        <v>466</v>
      </c>
      <c r="AK15" s="99">
        <v>466</v>
      </c>
      <c r="AL15" s="99">
        <v>466</v>
      </c>
      <c r="AM15" s="99">
        <v>466</v>
      </c>
      <c r="AN15" s="99">
        <v>466</v>
      </c>
      <c r="AO15" s="99">
        <v>555</v>
      </c>
      <c r="AP15" s="99">
        <v>477</v>
      </c>
      <c r="AQ15" s="99">
        <v>477</v>
      </c>
      <c r="AR15" s="99">
        <v>508</v>
      </c>
      <c r="AS15" s="99">
        <v>508</v>
      </c>
      <c r="AT15" s="99">
        <v>508</v>
      </c>
      <c r="AU15" s="99">
        <v>508</v>
      </c>
      <c r="AV15" s="99">
        <v>508</v>
      </c>
      <c r="AW15" s="99">
        <v>508</v>
      </c>
      <c r="AX15" s="99">
        <v>576</v>
      </c>
      <c r="AY15" s="99">
        <v>576</v>
      </c>
      <c r="AZ15" s="99">
        <v>576</v>
      </c>
      <c r="BA15" s="99">
        <v>576</v>
      </c>
      <c r="BB15" s="99">
        <v>1010</v>
      </c>
      <c r="BC15" s="99">
        <v>598</v>
      </c>
      <c r="BD15" s="99">
        <v>598</v>
      </c>
      <c r="BE15" s="99">
        <v>512</v>
      </c>
      <c r="BF15" s="99">
        <v>512</v>
      </c>
      <c r="BG15" s="99">
        <v>512</v>
      </c>
      <c r="BH15" s="99">
        <v>512</v>
      </c>
      <c r="BI15" s="99">
        <v>660</v>
      </c>
      <c r="BJ15" s="99">
        <v>660</v>
      </c>
      <c r="BK15" s="99">
        <v>660</v>
      </c>
      <c r="BL15" s="99">
        <v>598</v>
      </c>
      <c r="BM15" s="99">
        <v>598</v>
      </c>
      <c r="BN15" s="99">
        <v>598</v>
      </c>
      <c r="BO15" s="99">
        <v>598</v>
      </c>
      <c r="BP15" s="99">
        <v>598</v>
      </c>
      <c r="BQ15" s="99">
        <v>620</v>
      </c>
      <c r="BR15" s="99">
        <v>1008</v>
      </c>
      <c r="BS15" s="99">
        <v>1008</v>
      </c>
      <c r="BT15" s="99">
        <v>1008</v>
      </c>
      <c r="BU15" s="99">
        <v>1008</v>
      </c>
      <c r="BV15" s="99">
        <v>1008</v>
      </c>
      <c r="BW15" s="99">
        <v>1246</v>
      </c>
      <c r="BX15" s="99">
        <v>1152</v>
      </c>
      <c r="BY15" s="99">
        <v>1152</v>
      </c>
      <c r="BZ15" s="99">
        <v>1152</v>
      </c>
      <c r="CA15" s="99">
        <v>1246</v>
      </c>
      <c r="CB15" s="99">
        <v>1246</v>
      </c>
      <c r="CC15" s="99">
        <v>1339</v>
      </c>
      <c r="CD15" s="99">
        <v>1339</v>
      </c>
      <c r="CE15" s="99">
        <v>1339</v>
      </c>
      <c r="CF15" s="99">
        <v>1432</v>
      </c>
      <c r="CG15" s="99">
        <v>1432</v>
      </c>
      <c r="CH15" s="99">
        <v>1432</v>
      </c>
      <c r="CI15" s="99">
        <v>1479</v>
      </c>
      <c r="CJ15" s="99">
        <v>1479</v>
      </c>
      <c r="CK15" s="99">
        <v>1525</v>
      </c>
      <c r="CL15" s="99">
        <v>1525</v>
      </c>
    </row>
    <row r="16" spans="1:90" ht="15" customHeight="1">
      <c r="A16" s="2">
        <v>3500</v>
      </c>
      <c r="B16" s="64">
        <v>2</v>
      </c>
      <c r="C16" s="64">
        <v>5</v>
      </c>
      <c r="D16" s="64">
        <v>4</v>
      </c>
      <c r="E16" s="99">
        <v>721</v>
      </c>
      <c r="F16" s="99">
        <v>721</v>
      </c>
      <c r="G16" s="99">
        <v>721</v>
      </c>
      <c r="H16" s="99">
        <v>721</v>
      </c>
      <c r="I16" s="99">
        <v>721</v>
      </c>
      <c r="J16" s="99">
        <v>721</v>
      </c>
      <c r="K16" s="99">
        <v>721</v>
      </c>
      <c r="L16" s="99">
        <v>721</v>
      </c>
      <c r="M16" s="99">
        <v>721</v>
      </c>
      <c r="N16" s="99">
        <v>721</v>
      </c>
      <c r="O16" s="99">
        <v>518</v>
      </c>
      <c r="P16" s="99">
        <v>518</v>
      </c>
      <c r="Q16" s="99">
        <v>518</v>
      </c>
      <c r="R16" s="99">
        <v>518</v>
      </c>
      <c r="S16" s="99">
        <v>518</v>
      </c>
      <c r="T16" s="99">
        <v>518</v>
      </c>
      <c r="U16" s="99">
        <v>518</v>
      </c>
      <c r="V16" s="99">
        <v>518</v>
      </c>
      <c r="W16" s="99">
        <v>518</v>
      </c>
      <c r="X16" s="99">
        <v>518</v>
      </c>
      <c r="Y16" s="99">
        <v>533</v>
      </c>
      <c r="Z16" s="99">
        <v>533</v>
      </c>
      <c r="AA16" s="99">
        <v>533</v>
      </c>
      <c r="AB16" s="99">
        <v>533</v>
      </c>
      <c r="AC16" s="99">
        <v>533</v>
      </c>
      <c r="AD16" s="99">
        <v>533</v>
      </c>
      <c r="AE16" s="99">
        <v>533</v>
      </c>
      <c r="AF16" s="99">
        <v>542</v>
      </c>
      <c r="AG16" s="99">
        <v>542</v>
      </c>
      <c r="AH16" s="99">
        <v>553</v>
      </c>
      <c r="AI16" s="99">
        <v>553</v>
      </c>
      <c r="AJ16" s="99">
        <v>553</v>
      </c>
      <c r="AK16" s="99">
        <v>553</v>
      </c>
      <c r="AL16" s="99">
        <v>553</v>
      </c>
      <c r="AM16" s="99">
        <v>553</v>
      </c>
      <c r="AN16" s="99">
        <v>553</v>
      </c>
      <c r="AO16" s="99">
        <v>629</v>
      </c>
      <c r="AP16" s="99">
        <v>563</v>
      </c>
      <c r="AQ16" s="99">
        <v>563</v>
      </c>
      <c r="AR16" s="99">
        <v>609</v>
      </c>
      <c r="AS16" s="99">
        <v>609</v>
      </c>
      <c r="AT16" s="99">
        <v>609</v>
      </c>
      <c r="AU16" s="99">
        <v>609</v>
      </c>
      <c r="AV16" s="99">
        <v>609</v>
      </c>
      <c r="AW16" s="99">
        <v>609</v>
      </c>
      <c r="AX16" s="99">
        <v>692</v>
      </c>
      <c r="AY16" s="99">
        <v>692</v>
      </c>
      <c r="AZ16" s="99">
        <v>692</v>
      </c>
      <c r="BA16" s="99">
        <v>692</v>
      </c>
      <c r="BB16" s="99">
        <v>1117</v>
      </c>
      <c r="BC16" s="99">
        <v>721</v>
      </c>
      <c r="BD16" s="99">
        <v>721</v>
      </c>
      <c r="BE16" s="99">
        <v>613</v>
      </c>
      <c r="BF16" s="99">
        <v>613</v>
      </c>
      <c r="BG16" s="99">
        <v>613</v>
      </c>
      <c r="BH16" s="99">
        <v>613</v>
      </c>
      <c r="BI16" s="99">
        <v>732</v>
      </c>
      <c r="BJ16" s="99">
        <v>732</v>
      </c>
      <c r="BK16" s="99">
        <v>732</v>
      </c>
      <c r="BL16" s="99">
        <v>721</v>
      </c>
      <c r="BM16" s="99">
        <v>721</v>
      </c>
      <c r="BN16" s="99">
        <v>721</v>
      </c>
      <c r="BO16" s="99">
        <v>721</v>
      </c>
      <c r="BP16" s="99">
        <v>721</v>
      </c>
      <c r="BQ16" s="99">
        <v>702</v>
      </c>
      <c r="BR16" s="99">
        <v>1153</v>
      </c>
      <c r="BS16" s="99">
        <v>1153</v>
      </c>
      <c r="BT16" s="99">
        <v>1153</v>
      </c>
      <c r="BU16" s="99">
        <v>1153</v>
      </c>
      <c r="BV16" s="99">
        <v>1153</v>
      </c>
      <c r="BW16" s="99">
        <v>1425</v>
      </c>
      <c r="BX16" s="99">
        <v>1318</v>
      </c>
      <c r="BY16" s="99">
        <v>1318</v>
      </c>
      <c r="BZ16" s="99">
        <v>1318</v>
      </c>
      <c r="CA16" s="99">
        <v>1425</v>
      </c>
      <c r="CB16" s="99">
        <v>1425</v>
      </c>
      <c r="CC16" s="99">
        <v>1534</v>
      </c>
      <c r="CD16" s="99">
        <v>1534</v>
      </c>
      <c r="CE16" s="99">
        <v>1534</v>
      </c>
      <c r="CF16" s="99">
        <v>1640</v>
      </c>
      <c r="CG16" s="99">
        <v>1640</v>
      </c>
      <c r="CH16" s="99">
        <v>1640</v>
      </c>
      <c r="CI16" s="99">
        <v>1693</v>
      </c>
      <c r="CJ16" s="99">
        <v>1693</v>
      </c>
      <c r="CK16" s="99">
        <v>1747</v>
      </c>
      <c r="CL16" s="99">
        <v>1747</v>
      </c>
    </row>
    <row r="17" spans="1:90" ht="15" customHeight="1">
      <c r="A17" s="2">
        <v>4200</v>
      </c>
      <c r="B17" s="2">
        <v>2.4</v>
      </c>
      <c r="C17" s="2">
        <v>6</v>
      </c>
      <c r="D17" s="2"/>
      <c r="E17" s="99">
        <v>756</v>
      </c>
      <c r="F17" s="99">
        <v>756</v>
      </c>
      <c r="G17" s="99">
        <v>756</v>
      </c>
      <c r="H17" s="99">
        <v>756</v>
      </c>
      <c r="I17" s="99">
        <v>756</v>
      </c>
      <c r="J17" s="99">
        <v>756</v>
      </c>
      <c r="K17" s="99">
        <v>756</v>
      </c>
      <c r="L17" s="99">
        <v>756</v>
      </c>
      <c r="M17" s="99">
        <v>756</v>
      </c>
      <c r="N17" s="99">
        <v>756</v>
      </c>
      <c r="O17" s="99">
        <v>541</v>
      </c>
      <c r="P17" s="99">
        <v>541</v>
      </c>
      <c r="Q17" s="99">
        <v>541</v>
      </c>
      <c r="R17" s="99">
        <v>541</v>
      </c>
      <c r="S17" s="99">
        <v>541</v>
      </c>
      <c r="T17" s="99">
        <v>541</v>
      </c>
      <c r="U17" s="99">
        <v>541</v>
      </c>
      <c r="V17" s="99">
        <v>541</v>
      </c>
      <c r="W17" s="99">
        <v>541</v>
      </c>
      <c r="X17" s="99">
        <v>541</v>
      </c>
      <c r="Y17" s="99">
        <v>557</v>
      </c>
      <c r="Z17" s="99">
        <v>557</v>
      </c>
      <c r="AA17" s="99">
        <v>557</v>
      </c>
      <c r="AB17" s="99">
        <v>557</v>
      </c>
      <c r="AC17" s="99">
        <v>557</v>
      </c>
      <c r="AD17" s="99">
        <v>557</v>
      </c>
      <c r="AE17" s="99">
        <v>557</v>
      </c>
      <c r="AF17" s="99">
        <v>566</v>
      </c>
      <c r="AG17" s="99">
        <v>566</v>
      </c>
      <c r="AH17" s="99">
        <v>578</v>
      </c>
      <c r="AI17" s="99">
        <v>578</v>
      </c>
      <c r="AJ17" s="99">
        <v>578</v>
      </c>
      <c r="AK17" s="99">
        <v>578</v>
      </c>
      <c r="AL17" s="99">
        <v>578</v>
      </c>
      <c r="AM17" s="99">
        <v>578</v>
      </c>
      <c r="AN17" s="99">
        <v>578</v>
      </c>
      <c r="AO17" s="99">
        <v>667</v>
      </c>
      <c r="AP17" s="99">
        <v>588</v>
      </c>
      <c r="AQ17" s="99">
        <v>588</v>
      </c>
      <c r="AR17" s="99">
        <v>636</v>
      </c>
      <c r="AS17" s="99">
        <v>636</v>
      </c>
      <c r="AT17" s="99">
        <v>636</v>
      </c>
      <c r="AU17" s="99">
        <v>636</v>
      </c>
      <c r="AV17" s="99">
        <v>636</v>
      </c>
      <c r="AW17" s="99">
        <v>636</v>
      </c>
      <c r="AX17" s="99">
        <v>725</v>
      </c>
      <c r="AY17" s="99">
        <v>725</v>
      </c>
      <c r="AZ17" s="99">
        <v>725</v>
      </c>
      <c r="BA17" s="99">
        <v>725</v>
      </c>
      <c r="BB17" s="99">
        <v>1236</v>
      </c>
      <c r="BC17" s="99">
        <v>756</v>
      </c>
      <c r="BD17" s="99">
        <v>756</v>
      </c>
      <c r="BE17" s="99">
        <v>641</v>
      </c>
      <c r="BF17" s="99">
        <v>641</v>
      </c>
      <c r="BG17" s="99">
        <v>641</v>
      </c>
      <c r="BH17" s="99">
        <v>641</v>
      </c>
      <c r="BI17" s="99">
        <v>773</v>
      </c>
      <c r="BJ17" s="99">
        <v>773</v>
      </c>
      <c r="BK17" s="99">
        <v>773</v>
      </c>
      <c r="BL17" s="99">
        <v>756</v>
      </c>
      <c r="BM17" s="99">
        <v>756</v>
      </c>
      <c r="BN17" s="99">
        <v>756</v>
      </c>
      <c r="BO17" s="99">
        <v>756</v>
      </c>
      <c r="BP17" s="99">
        <v>756</v>
      </c>
      <c r="BQ17" s="99">
        <v>877</v>
      </c>
      <c r="BR17" s="99">
        <v>1191</v>
      </c>
      <c r="BS17" s="99">
        <v>1191</v>
      </c>
      <c r="BT17" s="99">
        <v>1191</v>
      </c>
      <c r="BU17" s="99">
        <v>1191</v>
      </c>
      <c r="BV17" s="99">
        <v>1191</v>
      </c>
      <c r="BW17" s="99">
        <v>1470</v>
      </c>
      <c r="BX17" s="99">
        <v>1361</v>
      </c>
      <c r="BY17" s="99">
        <v>1361</v>
      </c>
      <c r="BZ17" s="99">
        <v>1361</v>
      </c>
      <c r="CA17" s="99">
        <v>1470</v>
      </c>
      <c r="CB17" s="99">
        <v>1470</v>
      </c>
      <c r="CC17" s="99">
        <v>1581</v>
      </c>
      <c r="CD17" s="99">
        <v>1581</v>
      </c>
      <c r="CE17" s="99">
        <v>1581</v>
      </c>
      <c r="CF17" s="99">
        <v>1690</v>
      </c>
      <c r="CG17" s="99">
        <v>1690</v>
      </c>
      <c r="CH17" s="99">
        <v>1690</v>
      </c>
      <c r="CI17" s="99">
        <v>1746</v>
      </c>
      <c r="CJ17" s="99">
        <v>1746</v>
      </c>
      <c r="CK17" s="99">
        <v>1801</v>
      </c>
      <c r="CL17" s="99">
        <v>1801</v>
      </c>
    </row>
    <row r="18" spans="1:90" ht="15" customHeight="1">
      <c r="A18" s="2">
        <v>4375</v>
      </c>
      <c r="B18" s="2">
        <v>2.5</v>
      </c>
      <c r="C18" s="2"/>
      <c r="D18" s="2">
        <v>5</v>
      </c>
      <c r="E18" s="99">
        <v>815</v>
      </c>
      <c r="F18" s="99">
        <v>815</v>
      </c>
      <c r="G18" s="99">
        <v>815</v>
      </c>
      <c r="H18" s="99">
        <v>815</v>
      </c>
      <c r="I18" s="99">
        <v>815</v>
      </c>
      <c r="J18" s="99">
        <v>815</v>
      </c>
      <c r="K18" s="99">
        <v>815</v>
      </c>
      <c r="L18" s="99">
        <v>815</v>
      </c>
      <c r="M18" s="99">
        <v>815</v>
      </c>
      <c r="N18" s="99">
        <v>815</v>
      </c>
      <c r="O18" s="99">
        <v>587</v>
      </c>
      <c r="P18" s="99">
        <v>587</v>
      </c>
      <c r="Q18" s="99">
        <v>587</v>
      </c>
      <c r="R18" s="99">
        <v>587</v>
      </c>
      <c r="S18" s="99">
        <v>587</v>
      </c>
      <c r="T18" s="99">
        <v>587</v>
      </c>
      <c r="U18" s="99">
        <v>587</v>
      </c>
      <c r="V18" s="99">
        <v>587</v>
      </c>
      <c r="W18" s="99">
        <v>587</v>
      </c>
      <c r="X18" s="99">
        <v>587</v>
      </c>
      <c r="Y18" s="99">
        <v>599</v>
      </c>
      <c r="Z18" s="99">
        <v>599</v>
      </c>
      <c r="AA18" s="99">
        <v>599</v>
      </c>
      <c r="AB18" s="99">
        <v>599</v>
      </c>
      <c r="AC18" s="99">
        <v>599</v>
      </c>
      <c r="AD18" s="99">
        <v>599</v>
      </c>
      <c r="AE18" s="99">
        <v>599</v>
      </c>
      <c r="AF18" s="99">
        <v>607</v>
      </c>
      <c r="AG18" s="99">
        <v>607</v>
      </c>
      <c r="AH18" s="99">
        <v>621</v>
      </c>
      <c r="AI18" s="99">
        <v>621</v>
      </c>
      <c r="AJ18" s="99">
        <v>621</v>
      </c>
      <c r="AK18" s="99">
        <v>621</v>
      </c>
      <c r="AL18" s="99">
        <v>621</v>
      </c>
      <c r="AM18" s="99">
        <v>621</v>
      </c>
      <c r="AN18" s="99">
        <v>621</v>
      </c>
      <c r="AO18" s="99">
        <v>702</v>
      </c>
      <c r="AP18" s="99">
        <v>624</v>
      </c>
      <c r="AQ18" s="99">
        <v>624</v>
      </c>
      <c r="AR18" s="99">
        <v>684</v>
      </c>
      <c r="AS18" s="99">
        <v>684</v>
      </c>
      <c r="AT18" s="99">
        <v>684</v>
      </c>
      <c r="AU18" s="99">
        <v>684</v>
      </c>
      <c r="AV18" s="99">
        <v>684</v>
      </c>
      <c r="AW18" s="99">
        <v>684</v>
      </c>
      <c r="AX18" s="99">
        <v>781</v>
      </c>
      <c r="AY18" s="99">
        <v>781</v>
      </c>
      <c r="AZ18" s="99">
        <v>781</v>
      </c>
      <c r="BA18" s="99">
        <v>781</v>
      </c>
      <c r="BB18" s="99">
        <v>1284</v>
      </c>
      <c r="BC18" s="99">
        <v>815</v>
      </c>
      <c r="BD18" s="99">
        <v>815</v>
      </c>
      <c r="BE18" s="99">
        <v>689</v>
      </c>
      <c r="BF18" s="99">
        <v>689</v>
      </c>
      <c r="BG18" s="99">
        <v>689</v>
      </c>
      <c r="BH18" s="99">
        <v>689</v>
      </c>
      <c r="BI18" s="99">
        <v>816</v>
      </c>
      <c r="BJ18" s="99">
        <v>816</v>
      </c>
      <c r="BK18" s="99">
        <v>816</v>
      </c>
      <c r="BL18" s="99">
        <v>815</v>
      </c>
      <c r="BM18" s="99">
        <v>815</v>
      </c>
      <c r="BN18" s="99">
        <v>815</v>
      </c>
      <c r="BO18" s="99">
        <v>815</v>
      </c>
      <c r="BP18" s="99">
        <v>815</v>
      </c>
      <c r="BQ18" s="99">
        <v>930</v>
      </c>
      <c r="BR18" s="99">
        <v>1260</v>
      </c>
      <c r="BS18" s="99">
        <v>1260</v>
      </c>
      <c r="BT18" s="99">
        <v>1260</v>
      </c>
      <c r="BU18" s="99">
        <v>1260</v>
      </c>
      <c r="BV18" s="99">
        <v>1260</v>
      </c>
      <c r="BW18" s="99">
        <v>1558</v>
      </c>
      <c r="BX18" s="99">
        <v>1441</v>
      </c>
      <c r="BY18" s="99">
        <v>1441</v>
      </c>
      <c r="BZ18" s="99">
        <v>1441</v>
      </c>
      <c r="CA18" s="99">
        <v>1558</v>
      </c>
      <c r="CB18" s="99">
        <v>1558</v>
      </c>
      <c r="CC18" s="99">
        <v>1674</v>
      </c>
      <c r="CD18" s="99">
        <v>1674</v>
      </c>
      <c r="CE18" s="99">
        <v>1674</v>
      </c>
      <c r="CF18" s="99">
        <v>1791</v>
      </c>
      <c r="CG18" s="99">
        <v>1791</v>
      </c>
      <c r="CH18" s="99">
        <v>1791</v>
      </c>
      <c r="CI18" s="99">
        <v>1850</v>
      </c>
      <c r="CJ18" s="99">
        <v>1850</v>
      </c>
      <c r="CK18" s="99">
        <v>1908</v>
      </c>
      <c r="CL18" s="99">
        <v>1908</v>
      </c>
    </row>
    <row r="19" spans="1:90" ht="15" customHeight="1">
      <c r="A19" s="2">
        <v>4900</v>
      </c>
      <c r="B19" s="2">
        <v>2.8</v>
      </c>
      <c r="C19" s="2">
        <v>7</v>
      </c>
      <c r="D19" s="2"/>
      <c r="E19" s="99">
        <v>928</v>
      </c>
      <c r="F19" s="99">
        <v>928</v>
      </c>
      <c r="G19" s="99">
        <v>928</v>
      </c>
      <c r="H19" s="99">
        <v>928</v>
      </c>
      <c r="I19" s="99">
        <v>928</v>
      </c>
      <c r="J19" s="99">
        <v>928</v>
      </c>
      <c r="K19" s="99">
        <v>928</v>
      </c>
      <c r="L19" s="99">
        <v>928</v>
      </c>
      <c r="M19" s="99">
        <v>928</v>
      </c>
      <c r="N19" s="99">
        <v>928</v>
      </c>
      <c r="O19" s="99">
        <v>665</v>
      </c>
      <c r="P19" s="99">
        <v>665</v>
      </c>
      <c r="Q19" s="99">
        <v>665</v>
      </c>
      <c r="R19" s="99">
        <v>665</v>
      </c>
      <c r="S19" s="99">
        <v>665</v>
      </c>
      <c r="T19" s="99">
        <v>665</v>
      </c>
      <c r="U19" s="99">
        <v>665</v>
      </c>
      <c r="V19" s="99">
        <v>665</v>
      </c>
      <c r="W19" s="99">
        <v>665</v>
      </c>
      <c r="X19" s="99">
        <v>665</v>
      </c>
      <c r="Y19" s="99">
        <v>679</v>
      </c>
      <c r="Z19" s="99">
        <v>679</v>
      </c>
      <c r="AA19" s="99">
        <v>679</v>
      </c>
      <c r="AB19" s="99">
        <v>679</v>
      </c>
      <c r="AC19" s="99">
        <v>679</v>
      </c>
      <c r="AD19" s="99">
        <v>679</v>
      </c>
      <c r="AE19" s="99">
        <v>679</v>
      </c>
      <c r="AF19" s="99">
        <v>689</v>
      </c>
      <c r="AG19" s="99">
        <v>689</v>
      </c>
      <c r="AH19" s="99">
        <v>704</v>
      </c>
      <c r="AI19" s="99">
        <v>704</v>
      </c>
      <c r="AJ19" s="99">
        <v>704</v>
      </c>
      <c r="AK19" s="99">
        <v>704</v>
      </c>
      <c r="AL19" s="99">
        <v>704</v>
      </c>
      <c r="AM19" s="99">
        <v>704</v>
      </c>
      <c r="AN19" s="99">
        <v>704</v>
      </c>
      <c r="AO19" s="99">
        <v>780</v>
      </c>
      <c r="AP19" s="99">
        <v>709</v>
      </c>
      <c r="AQ19" s="99">
        <v>709</v>
      </c>
      <c r="AR19" s="99">
        <v>777</v>
      </c>
      <c r="AS19" s="99">
        <v>777</v>
      </c>
      <c r="AT19" s="99">
        <v>777</v>
      </c>
      <c r="AU19" s="99">
        <v>777</v>
      </c>
      <c r="AV19" s="99">
        <v>777</v>
      </c>
      <c r="AW19" s="99">
        <v>777</v>
      </c>
      <c r="AX19" s="99">
        <v>888</v>
      </c>
      <c r="AY19" s="99">
        <v>888</v>
      </c>
      <c r="AZ19" s="99">
        <v>888</v>
      </c>
      <c r="BA19" s="99">
        <v>888</v>
      </c>
      <c r="BB19" s="99">
        <v>1376</v>
      </c>
      <c r="BC19" s="99">
        <v>928</v>
      </c>
      <c r="BD19" s="99">
        <v>928</v>
      </c>
      <c r="BE19" s="99">
        <v>784</v>
      </c>
      <c r="BF19" s="99">
        <v>784</v>
      </c>
      <c r="BG19" s="99">
        <v>784</v>
      </c>
      <c r="BH19" s="99">
        <v>784</v>
      </c>
      <c r="BI19" s="99">
        <v>928</v>
      </c>
      <c r="BJ19" s="99">
        <v>928</v>
      </c>
      <c r="BK19" s="99">
        <v>928</v>
      </c>
      <c r="BL19" s="99">
        <v>928</v>
      </c>
      <c r="BM19" s="99">
        <v>928</v>
      </c>
      <c r="BN19" s="99">
        <v>928</v>
      </c>
      <c r="BO19" s="99">
        <v>928</v>
      </c>
      <c r="BP19" s="99">
        <v>928</v>
      </c>
      <c r="BQ19" s="99">
        <v>1111</v>
      </c>
      <c r="BR19" s="99">
        <v>1338</v>
      </c>
      <c r="BS19" s="99">
        <v>1338</v>
      </c>
      <c r="BT19" s="99">
        <v>1338</v>
      </c>
      <c r="BU19" s="99">
        <v>1338</v>
      </c>
      <c r="BV19" s="99">
        <v>1338</v>
      </c>
      <c r="BW19" s="99">
        <v>1651</v>
      </c>
      <c r="BX19" s="99">
        <v>1527</v>
      </c>
      <c r="BY19" s="99">
        <v>1527</v>
      </c>
      <c r="BZ19" s="99">
        <v>1527</v>
      </c>
      <c r="CA19" s="99">
        <v>1651</v>
      </c>
      <c r="CB19" s="99">
        <v>1651</v>
      </c>
      <c r="CC19" s="99">
        <v>1776</v>
      </c>
      <c r="CD19" s="99">
        <v>1776</v>
      </c>
      <c r="CE19" s="99">
        <v>1776</v>
      </c>
      <c r="CF19" s="99">
        <v>1899</v>
      </c>
      <c r="CG19" s="99">
        <v>1899</v>
      </c>
      <c r="CH19" s="99">
        <v>1899</v>
      </c>
      <c r="CI19" s="99">
        <v>1960</v>
      </c>
      <c r="CJ19" s="99">
        <v>1960</v>
      </c>
      <c r="CK19" s="99">
        <v>2023</v>
      </c>
      <c r="CL19" s="99">
        <v>2023</v>
      </c>
    </row>
    <row r="20" spans="1:90" ht="15" customHeight="1">
      <c r="A20" s="2">
        <v>5250</v>
      </c>
      <c r="B20" s="2">
        <v>3</v>
      </c>
      <c r="C20" s="2"/>
      <c r="D20" s="2">
        <v>6</v>
      </c>
      <c r="E20" s="99">
        <v>935</v>
      </c>
      <c r="F20" s="99">
        <v>935</v>
      </c>
      <c r="G20" s="99">
        <v>935</v>
      </c>
      <c r="H20" s="99">
        <v>935</v>
      </c>
      <c r="I20" s="99">
        <v>935</v>
      </c>
      <c r="J20" s="99">
        <v>935</v>
      </c>
      <c r="K20" s="99">
        <v>935</v>
      </c>
      <c r="L20" s="99">
        <v>935</v>
      </c>
      <c r="M20" s="99">
        <v>935</v>
      </c>
      <c r="N20" s="99">
        <v>935</v>
      </c>
      <c r="O20" s="99">
        <v>670</v>
      </c>
      <c r="P20" s="99">
        <v>670</v>
      </c>
      <c r="Q20" s="99">
        <v>670</v>
      </c>
      <c r="R20" s="99">
        <v>670</v>
      </c>
      <c r="S20" s="99">
        <v>670</v>
      </c>
      <c r="T20" s="99">
        <v>670</v>
      </c>
      <c r="U20" s="99">
        <v>670</v>
      </c>
      <c r="V20" s="99">
        <v>670</v>
      </c>
      <c r="W20" s="99">
        <v>670</v>
      </c>
      <c r="X20" s="99">
        <v>670</v>
      </c>
      <c r="Y20" s="99">
        <v>685</v>
      </c>
      <c r="Z20" s="99">
        <v>685</v>
      </c>
      <c r="AA20" s="99">
        <v>685</v>
      </c>
      <c r="AB20" s="99">
        <v>685</v>
      </c>
      <c r="AC20" s="99">
        <v>685</v>
      </c>
      <c r="AD20" s="99">
        <v>685</v>
      </c>
      <c r="AE20" s="99">
        <v>685</v>
      </c>
      <c r="AF20" s="99">
        <v>694</v>
      </c>
      <c r="AG20" s="99">
        <v>694</v>
      </c>
      <c r="AH20" s="99">
        <v>710</v>
      </c>
      <c r="AI20" s="99">
        <v>710</v>
      </c>
      <c r="AJ20" s="99">
        <v>710</v>
      </c>
      <c r="AK20" s="99">
        <v>710</v>
      </c>
      <c r="AL20" s="99">
        <v>710</v>
      </c>
      <c r="AM20" s="99">
        <v>710</v>
      </c>
      <c r="AN20" s="99">
        <v>710</v>
      </c>
      <c r="AO20" s="99">
        <v>829</v>
      </c>
      <c r="AP20" s="99">
        <v>714</v>
      </c>
      <c r="AQ20" s="99">
        <v>714</v>
      </c>
      <c r="AR20" s="99">
        <v>783</v>
      </c>
      <c r="AS20" s="99">
        <v>783</v>
      </c>
      <c r="AT20" s="99">
        <v>783</v>
      </c>
      <c r="AU20" s="99">
        <v>783</v>
      </c>
      <c r="AV20" s="99">
        <v>783</v>
      </c>
      <c r="AW20" s="99">
        <v>783</v>
      </c>
      <c r="AX20" s="99">
        <v>894</v>
      </c>
      <c r="AY20" s="99">
        <v>894</v>
      </c>
      <c r="AZ20" s="99">
        <v>894</v>
      </c>
      <c r="BA20" s="99">
        <v>894</v>
      </c>
      <c r="BB20" s="99">
        <v>1439</v>
      </c>
      <c r="BC20" s="99">
        <v>935</v>
      </c>
      <c r="BD20" s="99">
        <v>935</v>
      </c>
      <c r="BE20" s="99">
        <v>789</v>
      </c>
      <c r="BF20" s="99">
        <v>789</v>
      </c>
      <c r="BG20" s="99">
        <v>789</v>
      </c>
      <c r="BH20" s="99">
        <v>789</v>
      </c>
      <c r="BI20" s="99">
        <v>983</v>
      </c>
      <c r="BJ20" s="99">
        <v>983</v>
      </c>
      <c r="BK20" s="99">
        <v>983</v>
      </c>
      <c r="BL20" s="99">
        <v>935</v>
      </c>
      <c r="BM20" s="99">
        <v>935</v>
      </c>
      <c r="BN20" s="99">
        <v>935</v>
      </c>
      <c r="BO20" s="99">
        <v>935</v>
      </c>
      <c r="BP20" s="99">
        <v>935</v>
      </c>
      <c r="BQ20" s="99">
        <v>1217</v>
      </c>
      <c r="BR20" s="99">
        <v>1445</v>
      </c>
      <c r="BS20" s="99">
        <v>1445</v>
      </c>
      <c r="BT20" s="99">
        <v>1445</v>
      </c>
      <c r="BU20" s="99">
        <v>1445</v>
      </c>
      <c r="BV20" s="99">
        <v>1445</v>
      </c>
      <c r="BW20" s="99">
        <v>1784</v>
      </c>
      <c r="BX20" s="99">
        <v>1651</v>
      </c>
      <c r="BY20" s="99">
        <v>1651</v>
      </c>
      <c r="BZ20" s="99">
        <v>1651</v>
      </c>
      <c r="CA20" s="99">
        <v>1784</v>
      </c>
      <c r="CB20" s="99">
        <v>1784</v>
      </c>
      <c r="CC20" s="99">
        <v>1919</v>
      </c>
      <c r="CD20" s="99">
        <v>1919</v>
      </c>
      <c r="CE20" s="99">
        <v>1919</v>
      </c>
      <c r="CF20" s="99">
        <v>2052</v>
      </c>
      <c r="CG20" s="99">
        <v>2052</v>
      </c>
      <c r="CH20" s="99">
        <v>2052</v>
      </c>
      <c r="CI20" s="99">
        <v>2120</v>
      </c>
      <c r="CJ20" s="99">
        <v>2120</v>
      </c>
      <c r="CK20" s="99">
        <v>2187</v>
      </c>
      <c r="CL20" s="99">
        <v>2187</v>
      </c>
    </row>
    <row r="21" spans="1:90" ht="15" customHeight="1">
      <c r="A21" s="2">
        <v>5600</v>
      </c>
      <c r="B21" s="2">
        <v>3.2</v>
      </c>
      <c r="C21" s="2">
        <v>8</v>
      </c>
      <c r="D21" s="2"/>
      <c r="E21" s="99">
        <v>940</v>
      </c>
      <c r="F21" s="99">
        <v>940</v>
      </c>
      <c r="G21" s="99">
        <v>940</v>
      </c>
      <c r="H21" s="99">
        <v>940</v>
      </c>
      <c r="I21" s="99">
        <v>940</v>
      </c>
      <c r="J21" s="99">
        <v>940</v>
      </c>
      <c r="K21" s="99">
        <v>940</v>
      </c>
      <c r="L21" s="99">
        <v>940</v>
      </c>
      <c r="M21" s="99">
        <v>940</v>
      </c>
      <c r="N21" s="99">
        <v>940</v>
      </c>
      <c r="O21" s="99">
        <v>676</v>
      </c>
      <c r="P21" s="99">
        <v>676</v>
      </c>
      <c r="Q21" s="99">
        <v>676</v>
      </c>
      <c r="R21" s="99">
        <v>676</v>
      </c>
      <c r="S21" s="99">
        <v>676</v>
      </c>
      <c r="T21" s="99">
        <v>676</v>
      </c>
      <c r="U21" s="99">
        <v>676</v>
      </c>
      <c r="V21" s="99">
        <v>676</v>
      </c>
      <c r="W21" s="99">
        <v>676</v>
      </c>
      <c r="X21" s="99">
        <v>676</v>
      </c>
      <c r="Y21" s="99">
        <v>691</v>
      </c>
      <c r="Z21" s="99">
        <v>691</v>
      </c>
      <c r="AA21" s="99">
        <v>691</v>
      </c>
      <c r="AB21" s="99">
        <v>691</v>
      </c>
      <c r="AC21" s="99">
        <v>691</v>
      </c>
      <c r="AD21" s="99">
        <v>691</v>
      </c>
      <c r="AE21" s="99">
        <v>691</v>
      </c>
      <c r="AF21" s="99">
        <v>700</v>
      </c>
      <c r="AG21" s="99">
        <v>700</v>
      </c>
      <c r="AH21" s="99">
        <v>715</v>
      </c>
      <c r="AI21" s="99">
        <v>715</v>
      </c>
      <c r="AJ21" s="99">
        <v>715</v>
      </c>
      <c r="AK21" s="99">
        <v>715</v>
      </c>
      <c r="AL21" s="99">
        <v>715</v>
      </c>
      <c r="AM21" s="99">
        <v>715</v>
      </c>
      <c r="AN21" s="99">
        <v>715</v>
      </c>
      <c r="AO21" s="99">
        <v>863</v>
      </c>
      <c r="AP21" s="99">
        <v>721</v>
      </c>
      <c r="AQ21" s="99">
        <v>721</v>
      </c>
      <c r="AR21" s="99">
        <v>788</v>
      </c>
      <c r="AS21" s="99">
        <v>788</v>
      </c>
      <c r="AT21" s="99">
        <v>788</v>
      </c>
      <c r="AU21" s="99">
        <v>788</v>
      </c>
      <c r="AV21" s="99">
        <v>788</v>
      </c>
      <c r="AW21" s="99">
        <v>788</v>
      </c>
      <c r="AX21" s="99">
        <v>900</v>
      </c>
      <c r="AY21" s="99">
        <v>900</v>
      </c>
      <c r="AZ21" s="99">
        <v>900</v>
      </c>
      <c r="BA21" s="99">
        <v>900</v>
      </c>
      <c r="BB21" s="99">
        <v>1490</v>
      </c>
      <c r="BC21" s="99">
        <v>940</v>
      </c>
      <c r="BD21" s="99">
        <v>940</v>
      </c>
      <c r="BE21" s="99">
        <v>796</v>
      </c>
      <c r="BF21" s="99">
        <v>796</v>
      </c>
      <c r="BG21" s="99">
        <v>796</v>
      </c>
      <c r="BH21" s="99">
        <v>796</v>
      </c>
      <c r="BI21" s="99">
        <v>1027</v>
      </c>
      <c r="BJ21" s="99">
        <v>1027</v>
      </c>
      <c r="BK21" s="99">
        <v>1027</v>
      </c>
      <c r="BL21" s="99">
        <v>940</v>
      </c>
      <c r="BM21" s="99">
        <v>940</v>
      </c>
      <c r="BN21" s="99">
        <v>940</v>
      </c>
      <c r="BO21" s="99">
        <v>940</v>
      </c>
      <c r="BP21" s="99">
        <v>940</v>
      </c>
      <c r="BQ21" s="99">
        <v>1258</v>
      </c>
      <c r="BR21" s="99">
        <v>1503</v>
      </c>
      <c r="BS21" s="99">
        <v>1503</v>
      </c>
      <c r="BT21" s="99">
        <v>1503</v>
      </c>
      <c r="BU21" s="99">
        <v>1503</v>
      </c>
      <c r="BV21" s="99">
        <v>1503</v>
      </c>
      <c r="BW21" s="99">
        <v>1856</v>
      </c>
      <c r="BX21" s="99">
        <v>1717</v>
      </c>
      <c r="BY21" s="99">
        <v>1717</v>
      </c>
      <c r="BZ21" s="99">
        <v>1717</v>
      </c>
      <c r="CA21" s="99">
        <v>1856</v>
      </c>
      <c r="CB21" s="99">
        <v>1856</v>
      </c>
      <c r="CC21" s="99">
        <v>1995</v>
      </c>
      <c r="CD21" s="99">
        <v>1995</v>
      </c>
      <c r="CE21" s="99">
        <v>1995</v>
      </c>
      <c r="CF21" s="99">
        <v>2133</v>
      </c>
      <c r="CG21" s="99">
        <v>2133</v>
      </c>
      <c r="CH21" s="99">
        <v>2133</v>
      </c>
      <c r="CI21" s="99">
        <v>2203</v>
      </c>
      <c r="CJ21" s="99">
        <v>2203</v>
      </c>
      <c r="CK21" s="99">
        <v>2272</v>
      </c>
      <c r="CL21" s="99">
        <v>2272</v>
      </c>
    </row>
    <row r="22" spans="1:90" ht="15" customHeight="1">
      <c r="A22" s="2">
        <v>6125</v>
      </c>
      <c r="B22" s="2">
        <v>3.5</v>
      </c>
      <c r="C22" s="2"/>
      <c r="D22" s="2">
        <v>7</v>
      </c>
      <c r="E22" s="99">
        <v>1039</v>
      </c>
      <c r="F22" s="99">
        <v>1039</v>
      </c>
      <c r="G22" s="99">
        <v>1039</v>
      </c>
      <c r="H22" s="99">
        <v>1039</v>
      </c>
      <c r="I22" s="99">
        <v>1039</v>
      </c>
      <c r="J22" s="99">
        <v>1039</v>
      </c>
      <c r="K22" s="99">
        <v>1039</v>
      </c>
      <c r="L22" s="99">
        <v>1039</v>
      </c>
      <c r="M22" s="99">
        <v>1039</v>
      </c>
      <c r="N22" s="99">
        <v>1039</v>
      </c>
      <c r="O22" s="99">
        <v>740</v>
      </c>
      <c r="P22" s="99">
        <v>740</v>
      </c>
      <c r="Q22" s="99">
        <v>740</v>
      </c>
      <c r="R22" s="99">
        <v>740</v>
      </c>
      <c r="S22" s="99">
        <v>740</v>
      </c>
      <c r="T22" s="99">
        <v>740</v>
      </c>
      <c r="U22" s="99">
        <v>740</v>
      </c>
      <c r="V22" s="99">
        <v>740</v>
      </c>
      <c r="W22" s="99">
        <v>740</v>
      </c>
      <c r="X22" s="99">
        <v>740</v>
      </c>
      <c r="Y22" s="99">
        <v>758</v>
      </c>
      <c r="Z22" s="99">
        <v>758</v>
      </c>
      <c r="AA22" s="99">
        <v>758</v>
      </c>
      <c r="AB22" s="99">
        <v>758</v>
      </c>
      <c r="AC22" s="99">
        <v>758</v>
      </c>
      <c r="AD22" s="99">
        <v>758</v>
      </c>
      <c r="AE22" s="99">
        <v>758</v>
      </c>
      <c r="AF22" s="99">
        <v>768</v>
      </c>
      <c r="AG22" s="99">
        <v>768</v>
      </c>
      <c r="AH22" s="99">
        <v>785</v>
      </c>
      <c r="AI22" s="99">
        <v>785</v>
      </c>
      <c r="AJ22" s="99">
        <v>785</v>
      </c>
      <c r="AK22" s="99">
        <v>785</v>
      </c>
      <c r="AL22" s="99">
        <v>785</v>
      </c>
      <c r="AM22" s="99">
        <v>785</v>
      </c>
      <c r="AN22" s="99">
        <v>785</v>
      </c>
      <c r="AO22" s="99">
        <v>905</v>
      </c>
      <c r="AP22" s="99">
        <v>791</v>
      </c>
      <c r="AQ22" s="99">
        <v>791</v>
      </c>
      <c r="AR22" s="99">
        <v>868</v>
      </c>
      <c r="AS22" s="99">
        <v>868</v>
      </c>
      <c r="AT22" s="99">
        <v>868</v>
      </c>
      <c r="AU22" s="99">
        <v>868</v>
      </c>
      <c r="AV22" s="99">
        <v>868</v>
      </c>
      <c r="AW22" s="99">
        <v>868</v>
      </c>
      <c r="AX22" s="99">
        <v>993</v>
      </c>
      <c r="AY22" s="99">
        <v>993</v>
      </c>
      <c r="AZ22" s="99">
        <v>993</v>
      </c>
      <c r="BA22" s="99">
        <v>993</v>
      </c>
      <c r="BB22" s="99">
        <v>1560</v>
      </c>
      <c r="BC22" s="99">
        <v>1039</v>
      </c>
      <c r="BD22" s="99">
        <v>1039</v>
      </c>
      <c r="BE22" s="99">
        <v>877</v>
      </c>
      <c r="BF22" s="99">
        <v>877</v>
      </c>
      <c r="BG22" s="99">
        <v>877</v>
      </c>
      <c r="BH22" s="99">
        <v>877</v>
      </c>
      <c r="BI22" s="99">
        <v>1082</v>
      </c>
      <c r="BJ22" s="99">
        <v>1082</v>
      </c>
      <c r="BK22" s="99">
        <v>1082</v>
      </c>
      <c r="BL22" s="99">
        <v>1039</v>
      </c>
      <c r="BM22" s="99">
        <v>1039</v>
      </c>
      <c r="BN22" s="99">
        <v>1039</v>
      </c>
      <c r="BO22" s="99">
        <v>1039</v>
      </c>
      <c r="BP22" s="99">
        <v>1039</v>
      </c>
      <c r="BQ22" s="99">
        <v>1310</v>
      </c>
      <c r="BR22" s="99">
        <v>1557</v>
      </c>
      <c r="BS22" s="99">
        <v>1557</v>
      </c>
      <c r="BT22" s="99">
        <v>1557</v>
      </c>
      <c r="BU22" s="99">
        <v>1557</v>
      </c>
      <c r="BV22" s="99">
        <v>1557</v>
      </c>
      <c r="BW22" s="99">
        <v>1922</v>
      </c>
      <c r="BX22" s="99">
        <v>1778</v>
      </c>
      <c r="BY22" s="99">
        <v>1778</v>
      </c>
      <c r="BZ22" s="99">
        <v>1778</v>
      </c>
      <c r="CA22" s="99">
        <v>1922</v>
      </c>
      <c r="CB22" s="99">
        <v>1922</v>
      </c>
      <c r="CC22" s="99">
        <v>2065</v>
      </c>
      <c r="CD22" s="99">
        <v>2065</v>
      </c>
      <c r="CE22" s="99">
        <v>2065</v>
      </c>
      <c r="CF22" s="99">
        <v>2209</v>
      </c>
      <c r="CG22" s="99">
        <v>2209</v>
      </c>
      <c r="CH22" s="99">
        <v>2209</v>
      </c>
      <c r="CI22" s="99">
        <v>2281</v>
      </c>
      <c r="CJ22" s="99">
        <v>2281</v>
      </c>
      <c r="CK22" s="99">
        <v>2353</v>
      </c>
      <c r="CL22" s="99">
        <v>2353</v>
      </c>
    </row>
    <row r="23" spans="1:90" ht="15" customHeight="1">
      <c r="A23" s="2">
        <v>6300</v>
      </c>
      <c r="B23" s="2">
        <v>3.6</v>
      </c>
      <c r="C23" s="2">
        <v>9</v>
      </c>
      <c r="D23" s="2"/>
      <c r="E23" s="99">
        <v>1045</v>
      </c>
      <c r="F23" s="99">
        <v>1045</v>
      </c>
      <c r="G23" s="99">
        <v>1045</v>
      </c>
      <c r="H23" s="99">
        <v>1045</v>
      </c>
      <c r="I23" s="99">
        <v>1045</v>
      </c>
      <c r="J23" s="99">
        <v>1045</v>
      </c>
      <c r="K23" s="99">
        <v>1045</v>
      </c>
      <c r="L23" s="99">
        <v>1045</v>
      </c>
      <c r="M23" s="99">
        <v>1045</v>
      </c>
      <c r="N23" s="99">
        <v>1045</v>
      </c>
      <c r="O23" s="99">
        <v>746</v>
      </c>
      <c r="P23" s="99">
        <v>746</v>
      </c>
      <c r="Q23" s="99">
        <v>746</v>
      </c>
      <c r="R23" s="99">
        <v>746</v>
      </c>
      <c r="S23" s="99">
        <v>746</v>
      </c>
      <c r="T23" s="99">
        <v>746</v>
      </c>
      <c r="U23" s="99">
        <v>746</v>
      </c>
      <c r="V23" s="99">
        <v>746</v>
      </c>
      <c r="W23" s="99">
        <v>746</v>
      </c>
      <c r="X23" s="99">
        <v>746</v>
      </c>
      <c r="Y23" s="99">
        <v>763</v>
      </c>
      <c r="Z23" s="99">
        <v>763</v>
      </c>
      <c r="AA23" s="99">
        <v>763</v>
      </c>
      <c r="AB23" s="99">
        <v>763</v>
      </c>
      <c r="AC23" s="99">
        <v>763</v>
      </c>
      <c r="AD23" s="99">
        <v>763</v>
      </c>
      <c r="AE23" s="99">
        <v>763</v>
      </c>
      <c r="AF23" s="99">
        <v>773</v>
      </c>
      <c r="AG23" s="99">
        <v>773</v>
      </c>
      <c r="AH23" s="99">
        <v>792</v>
      </c>
      <c r="AI23" s="99">
        <v>792</v>
      </c>
      <c r="AJ23" s="99">
        <v>792</v>
      </c>
      <c r="AK23" s="99">
        <v>792</v>
      </c>
      <c r="AL23" s="99">
        <v>792</v>
      </c>
      <c r="AM23" s="99">
        <v>792</v>
      </c>
      <c r="AN23" s="99">
        <v>792</v>
      </c>
      <c r="AO23" s="99">
        <v>926</v>
      </c>
      <c r="AP23" s="99">
        <v>797</v>
      </c>
      <c r="AQ23" s="99">
        <v>797</v>
      </c>
      <c r="AR23" s="99">
        <v>873</v>
      </c>
      <c r="AS23" s="99">
        <v>873</v>
      </c>
      <c r="AT23" s="99">
        <v>873</v>
      </c>
      <c r="AU23" s="99">
        <v>873</v>
      </c>
      <c r="AV23" s="99">
        <v>873</v>
      </c>
      <c r="AW23" s="99">
        <v>873</v>
      </c>
      <c r="AX23" s="99">
        <v>1000</v>
      </c>
      <c r="AY23" s="99">
        <v>1000</v>
      </c>
      <c r="AZ23" s="99">
        <v>1000</v>
      </c>
      <c r="BA23" s="99">
        <v>1000</v>
      </c>
      <c r="BB23" s="99">
        <v>1599</v>
      </c>
      <c r="BC23" s="99">
        <v>1045</v>
      </c>
      <c r="BD23" s="99">
        <v>1045</v>
      </c>
      <c r="BE23" s="99">
        <v>882</v>
      </c>
      <c r="BF23" s="99">
        <v>882</v>
      </c>
      <c r="BG23" s="99">
        <v>882</v>
      </c>
      <c r="BH23" s="99">
        <v>882</v>
      </c>
      <c r="BI23" s="99">
        <v>1107</v>
      </c>
      <c r="BJ23" s="99">
        <v>1107</v>
      </c>
      <c r="BK23" s="99">
        <v>1107</v>
      </c>
      <c r="BL23" s="99">
        <v>1045</v>
      </c>
      <c r="BM23" s="99">
        <v>1045</v>
      </c>
      <c r="BN23" s="99">
        <v>1045</v>
      </c>
      <c r="BO23" s="99">
        <v>1045</v>
      </c>
      <c r="BP23" s="99">
        <v>1045</v>
      </c>
      <c r="BQ23" s="99">
        <v>1335</v>
      </c>
      <c r="BR23" s="99">
        <v>1581</v>
      </c>
      <c r="BS23" s="99">
        <v>1581</v>
      </c>
      <c r="BT23" s="99">
        <v>1581</v>
      </c>
      <c r="BU23" s="99">
        <v>1581</v>
      </c>
      <c r="BV23" s="99">
        <v>1581</v>
      </c>
      <c r="BW23" s="99">
        <v>1950</v>
      </c>
      <c r="BX23" s="99">
        <v>1805</v>
      </c>
      <c r="BY23" s="99">
        <v>1805</v>
      </c>
      <c r="BZ23" s="99">
        <v>1805</v>
      </c>
      <c r="CA23" s="99">
        <v>1950</v>
      </c>
      <c r="CB23" s="99">
        <v>1950</v>
      </c>
      <c r="CC23" s="99">
        <v>2097</v>
      </c>
      <c r="CD23" s="99">
        <v>2097</v>
      </c>
      <c r="CE23" s="99">
        <v>2097</v>
      </c>
      <c r="CF23" s="99">
        <v>2242</v>
      </c>
      <c r="CG23" s="99">
        <v>2242</v>
      </c>
      <c r="CH23" s="99">
        <v>2242</v>
      </c>
      <c r="CI23" s="99">
        <v>2315</v>
      </c>
      <c r="CJ23" s="99">
        <v>2315</v>
      </c>
      <c r="CK23" s="99">
        <v>2387</v>
      </c>
      <c r="CL23" s="99">
        <v>2387</v>
      </c>
    </row>
    <row r="24" spans="1:90" ht="15" customHeight="1">
      <c r="A24" s="2">
        <v>7000</v>
      </c>
      <c r="B24" s="2">
        <v>4</v>
      </c>
      <c r="C24" s="2">
        <v>10</v>
      </c>
      <c r="D24" s="2">
        <v>8</v>
      </c>
      <c r="E24" s="99">
        <v>1148</v>
      </c>
      <c r="F24" s="99">
        <v>1148</v>
      </c>
      <c r="G24" s="99">
        <v>1148</v>
      </c>
      <c r="H24" s="99">
        <v>1148</v>
      </c>
      <c r="I24" s="99">
        <v>1148</v>
      </c>
      <c r="J24" s="99">
        <v>1148</v>
      </c>
      <c r="K24" s="99">
        <v>1148</v>
      </c>
      <c r="L24" s="99">
        <v>1148</v>
      </c>
      <c r="M24" s="99">
        <v>1148</v>
      </c>
      <c r="N24" s="99">
        <v>1148</v>
      </c>
      <c r="O24" s="99">
        <v>815</v>
      </c>
      <c r="P24" s="99">
        <v>815</v>
      </c>
      <c r="Q24" s="99">
        <v>815</v>
      </c>
      <c r="R24" s="99">
        <v>815</v>
      </c>
      <c r="S24" s="99">
        <v>815</v>
      </c>
      <c r="T24" s="99">
        <v>815</v>
      </c>
      <c r="U24" s="99">
        <v>815</v>
      </c>
      <c r="V24" s="99">
        <v>815</v>
      </c>
      <c r="W24" s="99">
        <v>815</v>
      </c>
      <c r="X24" s="99">
        <v>815</v>
      </c>
      <c r="Y24" s="99">
        <v>834</v>
      </c>
      <c r="Z24" s="99">
        <v>834</v>
      </c>
      <c r="AA24" s="99">
        <v>834</v>
      </c>
      <c r="AB24" s="99">
        <v>834</v>
      </c>
      <c r="AC24" s="99">
        <v>834</v>
      </c>
      <c r="AD24" s="99">
        <v>834</v>
      </c>
      <c r="AE24" s="99">
        <v>834</v>
      </c>
      <c r="AF24" s="99">
        <v>845</v>
      </c>
      <c r="AG24" s="99">
        <v>845</v>
      </c>
      <c r="AH24" s="99">
        <v>865</v>
      </c>
      <c r="AI24" s="99">
        <v>865</v>
      </c>
      <c r="AJ24" s="99">
        <v>865</v>
      </c>
      <c r="AK24" s="99">
        <v>865</v>
      </c>
      <c r="AL24" s="99">
        <v>865</v>
      </c>
      <c r="AM24" s="99">
        <v>865</v>
      </c>
      <c r="AN24" s="99">
        <v>865</v>
      </c>
      <c r="AO24" s="99">
        <v>968</v>
      </c>
      <c r="AP24" s="99">
        <v>871</v>
      </c>
      <c r="AQ24" s="99">
        <v>871</v>
      </c>
      <c r="AR24" s="99">
        <v>958</v>
      </c>
      <c r="AS24" s="99">
        <v>958</v>
      </c>
      <c r="AT24" s="99">
        <v>958</v>
      </c>
      <c r="AU24" s="99">
        <v>958</v>
      </c>
      <c r="AV24" s="99">
        <v>958</v>
      </c>
      <c r="AW24" s="99">
        <v>958</v>
      </c>
      <c r="AX24" s="99">
        <v>1097</v>
      </c>
      <c r="AY24" s="99">
        <v>1097</v>
      </c>
      <c r="AZ24" s="99">
        <v>1097</v>
      </c>
      <c r="BA24" s="99">
        <v>1097</v>
      </c>
      <c r="BB24" s="99">
        <v>1685</v>
      </c>
      <c r="BC24" s="99">
        <v>1148</v>
      </c>
      <c r="BD24" s="99">
        <v>1148</v>
      </c>
      <c r="BE24" s="99">
        <v>966</v>
      </c>
      <c r="BF24" s="99">
        <v>966</v>
      </c>
      <c r="BG24" s="99">
        <v>966</v>
      </c>
      <c r="BH24" s="99">
        <v>966</v>
      </c>
      <c r="BI24" s="99">
        <v>1163</v>
      </c>
      <c r="BJ24" s="99">
        <v>1163</v>
      </c>
      <c r="BK24" s="99">
        <v>1163</v>
      </c>
      <c r="BL24" s="99">
        <v>1148</v>
      </c>
      <c r="BM24" s="99">
        <v>1148</v>
      </c>
      <c r="BN24" s="99">
        <v>1148</v>
      </c>
      <c r="BO24" s="99">
        <v>1148</v>
      </c>
      <c r="BP24" s="99">
        <v>1148</v>
      </c>
      <c r="BQ24" s="99">
        <v>1388</v>
      </c>
      <c r="BR24" s="99">
        <v>1634</v>
      </c>
      <c r="BS24" s="99">
        <v>1634</v>
      </c>
      <c r="BT24" s="99">
        <v>1634</v>
      </c>
      <c r="BU24" s="99">
        <v>1634</v>
      </c>
      <c r="BV24" s="99">
        <v>1634</v>
      </c>
      <c r="BW24" s="99">
        <v>2016</v>
      </c>
      <c r="BX24" s="99">
        <v>1865</v>
      </c>
      <c r="BY24" s="99">
        <v>1865</v>
      </c>
      <c r="BZ24" s="99">
        <v>1865</v>
      </c>
      <c r="CA24" s="99">
        <v>2016</v>
      </c>
      <c r="CB24" s="99">
        <v>2016</v>
      </c>
      <c r="CC24" s="99">
        <v>2167</v>
      </c>
      <c r="CD24" s="99">
        <v>2167</v>
      </c>
      <c r="CE24" s="99">
        <v>2167</v>
      </c>
      <c r="CF24" s="99">
        <v>2317</v>
      </c>
      <c r="CG24" s="99">
        <v>2317</v>
      </c>
      <c r="CH24" s="99">
        <v>2317</v>
      </c>
      <c r="CI24" s="99">
        <v>2393</v>
      </c>
      <c r="CJ24" s="99">
        <v>2393</v>
      </c>
      <c r="CK24" s="99">
        <v>2468</v>
      </c>
      <c r="CL24" s="99">
        <v>2468</v>
      </c>
    </row>
    <row r="25" spans="1:90" ht="15" customHeight="1">
      <c r="A25" s="2">
        <v>10500</v>
      </c>
      <c r="B25" s="2">
        <v>6</v>
      </c>
      <c r="C25" s="2">
        <v>15</v>
      </c>
      <c r="D25" s="2">
        <v>12</v>
      </c>
      <c r="E25" s="99"/>
      <c r="F25" s="99"/>
      <c r="G25" s="99"/>
      <c r="H25" s="99"/>
      <c r="I25" s="99"/>
      <c r="J25" s="99"/>
      <c r="K25" s="99"/>
      <c r="L25" s="99"/>
      <c r="M25" s="99"/>
      <c r="N25" s="99"/>
      <c r="O25" s="99"/>
      <c r="P25" s="99"/>
      <c r="Q25" s="99"/>
      <c r="R25" s="99"/>
      <c r="S25" s="99"/>
      <c r="T25" s="99">
        <v>1087</v>
      </c>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v>2108</v>
      </c>
      <c r="BC25" s="99"/>
      <c r="BD25" s="99"/>
      <c r="BE25" s="99"/>
      <c r="BF25" s="99"/>
      <c r="BG25" s="99"/>
      <c r="BH25" s="99"/>
      <c r="BI25" s="99"/>
      <c r="BJ25" s="99"/>
      <c r="BK25" s="99"/>
      <c r="BL25" s="99"/>
      <c r="BM25" s="99"/>
      <c r="BN25" s="99"/>
      <c r="BO25" s="99"/>
      <c r="BP25" s="99"/>
      <c r="BQ25" s="99"/>
      <c r="BR25" s="99"/>
      <c r="BS25" s="99">
        <v>1979</v>
      </c>
      <c r="BT25" s="99"/>
      <c r="BU25" s="99"/>
      <c r="BV25" s="99"/>
      <c r="BW25" s="99"/>
      <c r="BX25" s="99"/>
      <c r="BY25" s="99"/>
      <c r="BZ25" s="99"/>
      <c r="CA25" s="99"/>
      <c r="CB25" s="99"/>
      <c r="CC25" s="99"/>
      <c r="CD25" s="99"/>
      <c r="CE25" s="99"/>
      <c r="CF25" s="99"/>
      <c r="CG25" s="99"/>
      <c r="CH25" s="99"/>
      <c r="CI25" s="99"/>
      <c r="CJ25" s="99"/>
      <c r="CK25" s="99"/>
      <c r="CL25" s="99"/>
    </row>
    <row r="26" spans="1:90" ht="15" customHeight="1">
      <c r="A26" s="2" t="s">
        <v>216</v>
      </c>
      <c r="B26" s="2">
        <v>13.6</v>
      </c>
      <c r="C26" s="2">
        <v>33</v>
      </c>
      <c r="D26" s="2"/>
      <c r="E26" s="99"/>
      <c r="F26" s="99"/>
      <c r="G26" s="99"/>
      <c r="H26" s="99"/>
      <c r="I26" s="99"/>
      <c r="J26" s="99"/>
      <c r="K26" s="99"/>
      <c r="L26" s="99"/>
      <c r="M26" s="99"/>
      <c r="N26" s="99"/>
      <c r="O26" s="99"/>
      <c r="P26" s="99"/>
      <c r="Q26" s="99"/>
      <c r="R26" s="99"/>
      <c r="S26" s="99"/>
      <c r="T26" s="99">
        <v>2152</v>
      </c>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v>4087</v>
      </c>
      <c r="BC26" s="99"/>
      <c r="BD26" s="99"/>
      <c r="BE26" s="99"/>
      <c r="BF26" s="99"/>
      <c r="BG26" s="99"/>
      <c r="BH26" s="99"/>
      <c r="BI26" s="99"/>
      <c r="BJ26" s="99"/>
      <c r="BK26" s="99"/>
      <c r="BL26" s="99"/>
      <c r="BM26" s="99"/>
      <c r="BN26" s="99"/>
      <c r="BO26" s="99"/>
      <c r="BP26" s="99"/>
      <c r="BQ26" s="99"/>
      <c r="BR26" s="99"/>
      <c r="BS26" s="99">
        <v>3532</v>
      </c>
      <c r="BT26" s="99"/>
      <c r="BU26" s="99"/>
      <c r="BV26" s="99"/>
      <c r="BW26" s="99"/>
      <c r="BX26" s="99"/>
      <c r="BY26" s="99"/>
      <c r="BZ26" s="99"/>
      <c r="CA26" s="99"/>
      <c r="CB26" s="99"/>
      <c r="CC26" s="99"/>
      <c r="CD26" s="99"/>
      <c r="CE26" s="99"/>
      <c r="CF26" s="99"/>
      <c r="CG26" s="99"/>
      <c r="CH26" s="99"/>
      <c r="CI26" s="99"/>
      <c r="CJ26" s="99"/>
      <c r="CK26" s="99"/>
      <c r="CL26" s="99"/>
    </row>
    <row r="27" spans="1:90" ht="15" customHeight="1">
      <c r="A27" s="3"/>
      <c r="B27" s="3"/>
      <c r="C27" s="3"/>
      <c r="D27" s="3"/>
    </row>
    <row r="28" spans="1:90" ht="15" customHeight="1">
      <c r="A28" s="4" t="s">
        <v>24</v>
      </c>
      <c r="B28" s="3"/>
      <c r="C28" s="3"/>
      <c r="D28" s="3"/>
    </row>
    <row r="29" spans="1:90" ht="15" customHeight="1">
      <c r="A29" s="3"/>
      <c r="B29" s="3"/>
      <c r="C29" s="3"/>
      <c r="D29" s="3"/>
    </row>
    <row r="30" spans="1:90" ht="15" customHeight="1">
      <c r="A30" s="100" t="s">
        <v>55</v>
      </c>
      <c r="B30" s="101"/>
      <c r="C30" s="6" t="s">
        <v>26</v>
      </c>
      <c r="D30" s="27"/>
      <c r="E30" s="95"/>
      <c r="F30" s="96"/>
      <c r="G30" s="71" t="s">
        <v>27</v>
      </c>
      <c r="H30" s="96"/>
      <c r="I30" s="96"/>
      <c r="J30" s="96"/>
      <c r="K30" s="96"/>
      <c r="L30" s="96"/>
      <c r="M30" s="96"/>
      <c r="N30" s="96"/>
      <c r="O30" s="96"/>
      <c r="P30" s="96"/>
      <c r="Q30" s="96"/>
      <c r="R30" s="96"/>
      <c r="S30" s="96"/>
      <c r="T30" s="71" t="s">
        <v>27</v>
      </c>
      <c r="U30" s="96"/>
      <c r="V30" s="96"/>
      <c r="W30" s="96"/>
      <c r="X30" s="96"/>
      <c r="Y30" s="96"/>
      <c r="Z30" s="96"/>
      <c r="AA30" s="96"/>
      <c r="AB30" s="96"/>
      <c r="AC30" s="96"/>
      <c r="AD30" s="96"/>
      <c r="AE30" s="96"/>
      <c r="AF30" s="96"/>
      <c r="AG30" s="71"/>
      <c r="AH30" s="71" t="s">
        <v>27</v>
      </c>
      <c r="AI30" s="96"/>
      <c r="AJ30" s="96"/>
      <c r="AK30" s="96"/>
      <c r="AL30" s="96"/>
      <c r="AM30" s="96"/>
      <c r="AN30" s="96"/>
      <c r="AO30" s="96"/>
      <c r="AP30" s="70"/>
      <c r="AQ30" s="96"/>
      <c r="AR30" s="96"/>
      <c r="AS30" s="71"/>
      <c r="AT30" s="96"/>
      <c r="AU30" s="71" t="s">
        <v>27</v>
      </c>
      <c r="AV30" s="96"/>
      <c r="AW30" s="96"/>
      <c r="AX30" s="96"/>
      <c r="AY30" s="96"/>
      <c r="AZ30" s="96"/>
      <c r="BA30" s="96"/>
      <c r="BB30" s="96"/>
      <c r="BC30" s="96"/>
      <c r="BD30" s="71"/>
      <c r="BE30" s="96"/>
      <c r="BF30" s="96"/>
      <c r="BG30" s="96"/>
      <c r="BH30" s="96"/>
      <c r="BI30" s="96"/>
      <c r="BJ30" s="96"/>
      <c r="BK30" s="96"/>
      <c r="BL30" s="96"/>
      <c r="BM30" s="96"/>
      <c r="BN30" s="96"/>
      <c r="BO30" s="96"/>
      <c r="BP30" s="96"/>
      <c r="BQ30" s="96"/>
      <c r="BR30" s="96"/>
      <c r="BS30" s="71"/>
      <c r="BT30" s="71"/>
      <c r="BU30" s="71" t="s">
        <v>27</v>
      </c>
      <c r="BV30" s="96"/>
      <c r="BW30" s="96"/>
      <c r="BX30" s="96"/>
      <c r="BY30" s="96"/>
      <c r="BZ30" s="96"/>
      <c r="CA30" s="96"/>
      <c r="CB30" s="96"/>
      <c r="CC30" s="96"/>
      <c r="CD30" s="96"/>
      <c r="CE30" s="96"/>
      <c r="CF30" s="96"/>
      <c r="CG30" s="71"/>
      <c r="CH30" s="71" t="s">
        <v>27</v>
      </c>
      <c r="CI30" s="96"/>
      <c r="CJ30" s="96"/>
      <c r="CK30" s="96"/>
      <c r="CL30" s="76"/>
    </row>
    <row r="31" spans="1:90" ht="15" customHeight="1">
      <c r="A31" s="222" t="s">
        <v>28</v>
      </c>
      <c r="B31" s="223"/>
      <c r="C31" s="104" t="s">
        <v>202</v>
      </c>
      <c r="D31" s="114"/>
      <c r="E31" s="74" t="s">
        <v>217</v>
      </c>
      <c r="F31" s="74" t="s">
        <v>217</v>
      </c>
      <c r="G31" s="74" t="s">
        <v>217</v>
      </c>
      <c r="H31" s="74" t="s">
        <v>217</v>
      </c>
      <c r="I31" s="74" t="s">
        <v>217</v>
      </c>
      <c r="J31" s="74" t="s">
        <v>217</v>
      </c>
      <c r="K31" s="74" t="s">
        <v>217</v>
      </c>
      <c r="L31" s="74" t="s">
        <v>217</v>
      </c>
      <c r="M31" s="74" t="s">
        <v>217</v>
      </c>
      <c r="N31" s="74" t="s">
        <v>217</v>
      </c>
      <c r="O31" s="74" t="s">
        <v>217</v>
      </c>
      <c r="P31" s="74" t="s">
        <v>217</v>
      </c>
      <c r="Q31" s="74" t="s">
        <v>217</v>
      </c>
      <c r="R31" s="74" t="s">
        <v>217</v>
      </c>
      <c r="S31" s="74" t="s">
        <v>217</v>
      </c>
      <c r="T31" s="74" t="s">
        <v>217</v>
      </c>
      <c r="U31" s="74" t="s">
        <v>217</v>
      </c>
      <c r="V31" s="74" t="s">
        <v>217</v>
      </c>
      <c r="W31" s="74" t="s">
        <v>217</v>
      </c>
      <c r="X31" s="74" t="s">
        <v>217</v>
      </c>
      <c r="Y31" s="74" t="s">
        <v>217</v>
      </c>
      <c r="Z31" s="74" t="s">
        <v>217</v>
      </c>
      <c r="AA31" s="74" t="s">
        <v>217</v>
      </c>
      <c r="AB31" s="74" t="s">
        <v>217</v>
      </c>
      <c r="AC31" s="74" t="s">
        <v>217</v>
      </c>
      <c r="AD31" s="74" t="s">
        <v>217</v>
      </c>
      <c r="AE31" s="74" t="s">
        <v>217</v>
      </c>
      <c r="AF31" s="74" t="s">
        <v>217</v>
      </c>
      <c r="AG31" s="74" t="s">
        <v>217</v>
      </c>
      <c r="AH31" s="74" t="s">
        <v>217</v>
      </c>
      <c r="AI31" s="74" t="s">
        <v>217</v>
      </c>
      <c r="AJ31" s="74" t="s">
        <v>217</v>
      </c>
      <c r="AK31" s="74" t="s">
        <v>217</v>
      </c>
      <c r="AL31" s="74" t="s">
        <v>217</v>
      </c>
      <c r="AM31" s="74" t="s">
        <v>217</v>
      </c>
      <c r="AN31" s="74" t="s">
        <v>217</v>
      </c>
      <c r="AO31" s="74" t="s">
        <v>217</v>
      </c>
      <c r="AP31" s="74" t="s">
        <v>217</v>
      </c>
      <c r="AQ31" s="74" t="s">
        <v>217</v>
      </c>
      <c r="AR31" s="74" t="s">
        <v>217</v>
      </c>
      <c r="AS31" s="74" t="s">
        <v>217</v>
      </c>
      <c r="AT31" s="74" t="s">
        <v>217</v>
      </c>
      <c r="AU31" s="74" t="s">
        <v>217</v>
      </c>
      <c r="AV31" s="74" t="s">
        <v>217</v>
      </c>
      <c r="AW31" s="74" t="s">
        <v>217</v>
      </c>
      <c r="AX31" s="74" t="s">
        <v>217</v>
      </c>
      <c r="AY31" s="74" t="s">
        <v>217</v>
      </c>
      <c r="AZ31" s="74" t="s">
        <v>217</v>
      </c>
      <c r="BA31" s="74" t="s">
        <v>217</v>
      </c>
      <c r="BB31" s="74" t="s">
        <v>217</v>
      </c>
      <c r="BC31" s="74" t="s">
        <v>72</v>
      </c>
      <c r="BD31" s="74" t="s">
        <v>217</v>
      </c>
      <c r="BE31" s="74" t="s">
        <v>217</v>
      </c>
      <c r="BF31" s="74" t="s">
        <v>217</v>
      </c>
      <c r="BG31" s="74" t="s">
        <v>217</v>
      </c>
      <c r="BH31" s="74" t="s">
        <v>217</v>
      </c>
      <c r="BI31" s="74" t="s">
        <v>217</v>
      </c>
      <c r="BJ31" s="74" t="s">
        <v>217</v>
      </c>
      <c r="BK31" s="74" t="s">
        <v>217</v>
      </c>
      <c r="BL31" s="74" t="s">
        <v>217</v>
      </c>
      <c r="BM31" s="74" t="s">
        <v>217</v>
      </c>
      <c r="BN31" s="74" t="s">
        <v>217</v>
      </c>
      <c r="BO31" s="74" t="s">
        <v>217</v>
      </c>
      <c r="BP31" s="74" t="s">
        <v>217</v>
      </c>
      <c r="BQ31" s="74" t="s">
        <v>217</v>
      </c>
      <c r="BR31" s="74" t="s">
        <v>217</v>
      </c>
      <c r="BS31" s="74" t="s">
        <v>217</v>
      </c>
      <c r="BT31" s="74" t="s">
        <v>217</v>
      </c>
      <c r="BU31" s="74" t="s">
        <v>41</v>
      </c>
      <c r="BV31" s="74" t="s">
        <v>41</v>
      </c>
      <c r="BW31" s="74" t="s">
        <v>41</v>
      </c>
      <c r="BX31" s="74" t="s">
        <v>41</v>
      </c>
      <c r="BY31" s="74" t="s">
        <v>41</v>
      </c>
      <c r="BZ31" s="74" t="s">
        <v>41</v>
      </c>
      <c r="CA31" s="74" t="s">
        <v>41</v>
      </c>
      <c r="CB31" s="74" t="s">
        <v>41</v>
      </c>
      <c r="CC31" s="74" t="s">
        <v>41</v>
      </c>
      <c r="CD31" s="74" t="s">
        <v>41</v>
      </c>
      <c r="CE31" s="74" t="s">
        <v>41</v>
      </c>
      <c r="CF31" s="74" t="s">
        <v>41</v>
      </c>
      <c r="CG31" s="74" t="s">
        <v>41</v>
      </c>
      <c r="CH31" s="74" t="s">
        <v>41</v>
      </c>
      <c r="CI31" s="74" t="s">
        <v>41</v>
      </c>
      <c r="CJ31" s="74" t="s">
        <v>41</v>
      </c>
      <c r="CK31" s="74" t="s">
        <v>41</v>
      </c>
      <c r="CL31" s="74" t="s">
        <v>41</v>
      </c>
    </row>
    <row r="32" spans="1:90" ht="15" customHeight="1">
      <c r="A32" s="222" t="s">
        <v>32</v>
      </c>
      <c r="B32" s="223"/>
      <c r="C32" s="104" t="s">
        <v>202</v>
      </c>
      <c r="D32" s="73"/>
      <c r="E32" s="74" t="s">
        <v>31</v>
      </c>
      <c r="F32" s="74" t="s">
        <v>31</v>
      </c>
      <c r="G32" s="74" t="s">
        <v>31</v>
      </c>
      <c r="H32" s="74" t="s">
        <v>31</v>
      </c>
      <c r="I32" s="74" t="s">
        <v>31</v>
      </c>
      <c r="J32" s="74" t="s">
        <v>31</v>
      </c>
      <c r="K32" s="74" t="s">
        <v>31</v>
      </c>
      <c r="L32" s="74" t="s">
        <v>31</v>
      </c>
      <c r="M32" s="74" t="s">
        <v>31</v>
      </c>
      <c r="N32" s="74" t="s">
        <v>31</v>
      </c>
      <c r="O32" s="74" t="s">
        <v>31</v>
      </c>
      <c r="P32" s="74" t="s">
        <v>31</v>
      </c>
      <c r="Q32" s="74" t="s">
        <v>31</v>
      </c>
      <c r="R32" s="74" t="s">
        <v>31</v>
      </c>
      <c r="S32" s="74" t="s">
        <v>31</v>
      </c>
      <c r="T32" s="74" t="s">
        <v>31</v>
      </c>
      <c r="U32" s="74" t="s">
        <v>31</v>
      </c>
      <c r="V32" s="74" t="s">
        <v>31</v>
      </c>
      <c r="W32" s="74" t="s">
        <v>31</v>
      </c>
      <c r="X32" s="74" t="s">
        <v>31</v>
      </c>
      <c r="Y32" s="74" t="s">
        <v>31</v>
      </c>
      <c r="Z32" s="74" t="s">
        <v>31</v>
      </c>
      <c r="AA32" s="74" t="s">
        <v>31</v>
      </c>
      <c r="AB32" s="74" t="s">
        <v>31</v>
      </c>
      <c r="AC32" s="74" t="s">
        <v>31</v>
      </c>
      <c r="AD32" s="74" t="s">
        <v>31</v>
      </c>
      <c r="AE32" s="74" t="s">
        <v>31</v>
      </c>
      <c r="AF32" s="74" t="s">
        <v>31</v>
      </c>
      <c r="AG32" s="74" t="s">
        <v>31</v>
      </c>
      <c r="AH32" s="74" t="s">
        <v>31</v>
      </c>
      <c r="AI32" s="74" t="s">
        <v>31</v>
      </c>
      <c r="AJ32" s="74" t="s">
        <v>31</v>
      </c>
      <c r="AK32" s="74" t="s">
        <v>31</v>
      </c>
      <c r="AL32" s="74" t="s">
        <v>31</v>
      </c>
      <c r="AM32" s="74" t="s">
        <v>31</v>
      </c>
      <c r="AN32" s="74" t="s">
        <v>31</v>
      </c>
      <c r="AO32" s="74" t="s">
        <v>31</v>
      </c>
      <c r="AP32" s="74" t="s">
        <v>31</v>
      </c>
      <c r="AQ32" s="74" t="s">
        <v>31</v>
      </c>
      <c r="AR32" s="74" t="s">
        <v>31</v>
      </c>
      <c r="AS32" s="74" t="s">
        <v>31</v>
      </c>
      <c r="AT32" s="74" t="s">
        <v>31</v>
      </c>
      <c r="AU32" s="74" t="s">
        <v>31</v>
      </c>
      <c r="AV32" s="74" t="s">
        <v>31</v>
      </c>
      <c r="AW32" s="74" t="s">
        <v>31</v>
      </c>
      <c r="AX32" s="74" t="s">
        <v>31</v>
      </c>
      <c r="AY32" s="74" t="s">
        <v>31</v>
      </c>
      <c r="AZ32" s="74" t="s">
        <v>31</v>
      </c>
      <c r="BA32" s="74" t="s">
        <v>31</v>
      </c>
      <c r="BB32" s="74" t="s">
        <v>31</v>
      </c>
      <c r="BC32" s="74" t="s">
        <v>72</v>
      </c>
      <c r="BD32" s="74" t="s">
        <v>31</v>
      </c>
      <c r="BE32" s="74" t="s">
        <v>31</v>
      </c>
      <c r="BF32" s="74" t="s">
        <v>31</v>
      </c>
      <c r="BG32" s="74" t="s">
        <v>31</v>
      </c>
      <c r="BH32" s="74" t="s">
        <v>31</v>
      </c>
      <c r="BI32" s="74" t="s">
        <v>31</v>
      </c>
      <c r="BJ32" s="74" t="s">
        <v>31</v>
      </c>
      <c r="BK32" s="74" t="s">
        <v>31</v>
      </c>
      <c r="BL32" s="74" t="s">
        <v>31</v>
      </c>
      <c r="BM32" s="74" t="s">
        <v>31</v>
      </c>
      <c r="BN32" s="74" t="s">
        <v>31</v>
      </c>
      <c r="BO32" s="74" t="s">
        <v>31</v>
      </c>
      <c r="BP32" s="74" t="s">
        <v>31</v>
      </c>
      <c r="BQ32" s="74" t="s">
        <v>31</v>
      </c>
      <c r="BR32" s="74" t="s">
        <v>31</v>
      </c>
      <c r="BS32" s="74" t="s">
        <v>31</v>
      </c>
      <c r="BT32" s="74" t="s">
        <v>31</v>
      </c>
      <c r="BU32" s="74" t="s">
        <v>41</v>
      </c>
      <c r="BV32" s="74" t="s">
        <v>41</v>
      </c>
      <c r="BW32" s="74" t="s">
        <v>41</v>
      </c>
      <c r="BX32" s="74" t="s">
        <v>41</v>
      </c>
      <c r="BY32" s="74" t="s">
        <v>41</v>
      </c>
      <c r="BZ32" s="74" t="s">
        <v>41</v>
      </c>
      <c r="CA32" s="74" t="s">
        <v>41</v>
      </c>
      <c r="CB32" s="74" t="s">
        <v>41</v>
      </c>
      <c r="CC32" s="74" t="s">
        <v>41</v>
      </c>
      <c r="CD32" s="74" t="s">
        <v>41</v>
      </c>
      <c r="CE32" s="74" t="s">
        <v>41</v>
      </c>
      <c r="CF32" s="74" t="s">
        <v>72</v>
      </c>
      <c r="CG32" s="74" t="s">
        <v>72</v>
      </c>
      <c r="CH32" s="74" t="s">
        <v>72</v>
      </c>
      <c r="CI32" s="74" t="s">
        <v>72</v>
      </c>
      <c r="CJ32" s="74" t="s">
        <v>72</v>
      </c>
      <c r="CK32" s="74" t="s">
        <v>72</v>
      </c>
      <c r="CL32" s="74" t="s">
        <v>72</v>
      </c>
    </row>
    <row r="33" spans="1:90" ht="15" customHeight="1">
      <c r="A33" s="227" t="s">
        <v>33</v>
      </c>
      <c r="B33" s="228"/>
      <c r="C33" s="6" t="s">
        <v>29</v>
      </c>
      <c r="D33" s="76"/>
      <c r="E33" s="107">
        <v>2</v>
      </c>
      <c r="F33" s="107">
        <v>2</v>
      </c>
      <c r="G33" s="107">
        <v>2</v>
      </c>
      <c r="H33" s="107">
        <v>2</v>
      </c>
      <c r="I33" s="107">
        <v>2</v>
      </c>
      <c r="J33" s="107">
        <v>2</v>
      </c>
      <c r="K33" s="107">
        <v>2</v>
      </c>
      <c r="L33" s="107">
        <v>2</v>
      </c>
      <c r="M33" s="107">
        <v>2</v>
      </c>
      <c r="N33" s="107">
        <v>2</v>
      </c>
      <c r="O33" s="107">
        <v>2</v>
      </c>
      <c r="P33" s="107">
        <v>2</v>
      </c>
      <c r="Q33" s="107">
        <v>2</v>
      </c>
      <c r="R33" s="107">
        <v>2</v>
      </c>
      <c r="S33" s="107">
        <v>2</v>
      </c>
      <c r="T33" s="107">
        <v>2</v>
      </c>
      <c r="U33" s="107">
        <v>2</v>
      </c>
      <c r="V33" s="107">
        <v>2</v>
      </c>
      <c r="W33" s="107">
        <v>2</v>
      </c>
      <c r="X33" s="107">
        <v>2</v>
      </c>
      <c r="Y33" s="107">
        <v>2</v>
      </c>
      <c r="Z33" s="107">
        <v>2</v>
      </c>
      <c r="AA33" s="107">
        <v>2</v>
      </c>
      <c r="AB33" s="107">
        <v>2</v>
      </c>
      <c r="AC33" s="107">
        <v>2</v>
      </c>
      <c r="AD33" s="107">
        <v>2</v>
      </c>
      <c r="AE33" s="107">
        <v>2</v>
      </c>
      <c r="AF33" s="107">
        <v>2</v>
      </c>
      <c r="AG33" s="107">
        <v>2</v>
      </c>
      <c r="AH33" s="107">
        <v>2</v>
      </c>
      <c r="AI33" s="107">
        <v>2</v>
      </c>
      <c r="AJ33" s="107">
        <v>2</v>
      </c>
      <c r="AK33" s="107">
        <v>2</v>
      </c>
      <c r="AL33" s="107">
        <v>2</v>
      </c>
      <c r="AM33" s="107">
        <v>2</v>
      </c>
      <c r="AN33" s="107">
        <v>2</v>
      </c>
      <c r="AO33" s="107">
        <v>2</v>
      </c>
      <c r="AP33" s="107">
        <v>2</v>
      </c>
      <c r="AQ33" s="107">
        <v>2</v>
      </c>
      <c r="AR33" s="107">
        <v>2</v>
      </c>
      <c r="AS33" s="107">
        <v>2</v>
      </c>
      <c r="AT33" s="107">
        <v>2</v>
      </c>
      <c r="AU33" s="107">
        <v>2</v>
      </c>
      <c r="AV33" s="107">
        <v>2</v>
      </c>
      <c r="AW33" s="107">
        <v>2</v>
      </c>
      <c r="AX33" s="107">
        <v>2</v>
      </c>
      <c r="AY33" s="107">
        <v>2</v>
      </c>
      <c r="AZ33" s="107">
        <v>2</v>
      </c>
      <c r="BA33" s="107">
        <v>2</v>
      </c>
      <c r="BB33" s="107">
        <v>2</v>
      </c>
      <c r="BC33" s="74" t="s">
        <v>72</v>
      </c>
      <c r="BD33" s="107">
        <v>2</v>
      </c>
      <c r="BE33" s="107">
        <v>2</v>
      </c>
      <c r="BF33" s="107">
        <v>2</v>
      </c>
      <c r="BG33" s="107">
        <v>2</v>
      </c>
      <c r="BH33" s="107">
        <v>2</v>
      </c>
      <c r="BI33" s="107">
        <v>2</v>
      </c>
      <c r="BJ33" s="107">
        <v>2</v>
      </c>
      <c r="BK33" s="107">
        <v>2</v>
      </c>
      <c r="BL33" s="107">
        <v>2</v>
      </c>
      <c r="BM33" s="107">
        <v>2</v>
      </c>
      <c r="BN33" s="107">
        <v>2</v>
      </c>
      <c r="BO33" s="107">
        <v>2</v>
      </c>
      <c r="BP33" s="107">
        <v>2</v>
      </c>
      <c r="BQ33" s="107">
        <v>2</v>
      </c>
      <c r="BR33" s="107">
        <v>2</v>
      </c>
      <c r="BS33" s="107">
        <v>2</v>
      </c>
      <c r="BT33" s="107">
        <v>2</v>
      </c>
      <c r="BU33" s="107">
        <v>3</v>
      </c>
      <c r="BV33" s="107">
        <v>3</v>
      </c>
      <c r="BW33" s="107">
        <v>3</v>
      </c>
      <c r="BX33" s="107">
        <v>3</v>
      </c>
      <c r="BY33" s="107">
        <v>3</v>
      </c>
      <c r="BZ33" s="107">
        <v>3</v>
      </c>
      <c r="CA33" s="107">
        <v>3</v>
      </c>
      <c r="CB33" s="107">
        <v>3</v>
      </c>
      <c r="CC33" s="107">
        <v>3</v>
      </c>
      <c r="CD33" s="107">
        <v>3</v>
      </c>
      <c r="CE33" s="107">
        <v>3</v>
      </c>
      <c r="CF33" s="115" t="s">
        <v>72</v>
      </c>
      <c r="CG33" s="115" t="s">
        <v>72</v>
      </c>
      <c r="CH33" s="115" t="s">
        <v>72</v>
      </c>
      <c r="CI33" s="115" t="s">
        <v>72</v>
      </c>
      <c r="CJ33" s="115" t="s">
        <v>72</v>
      </c>
      <c r="CK33" s="115" t="s">
        <v>72</v>
      </c>
      <c r="CL33" s="115" t="s">
        <v>72</v>
      </c>
    </row>
    <row r="35" spans="1:90">
      <c r="A35" s="89" t="s">
        <v>52</v>
      </c>
    </row>
    <row r="36" spans="1:90">
      <c r="A36" s="26" t="s">
        <v>56</v>
      </c>
    </row>
    <row r="37" spans="1:90">
      <c r="A37" s="3"/>
    </row>
  </sheetData>
  <mergeCells count="3">
    <mergeCell ref="A31:B31"/>
    <mergeCell ref="A32:B32"/>
    <mergeCell ref="A33:B33"/>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3334-BE20-436B-8579-21FC05611A92}">
  <dimension ref="A1:E35"/>
  <sheetViews>
    <sheetView showGridLines="0" workbookViewId="0">
      <pane ySplit="6" topLeftCell="A7" activePane="bottomLeft" state="frozen"/>
      <selection pane="bottomLeft" activeCell="A7" sqref="A7"/>
      <selection activeCell="E1" sqref="E1:MB1048576"/>
    </sheetView>
  </sheetViews>
  <sheetFormatPr defaultRowHeight="15"/>
  <cols>
    <col min="1" max="4" width="11.7109375" style="1" customWidth="1"/>
    <col min="5" max="5" width="10.5703125" style="3" customWidth="1"/>
    <col min="6" max="340" width="10.5703125" customWidth="1"/>
  </cols>
  <sheetData>
    <row r="1" spans="1:5" ht="15" customHeight="1"/>
    <row r="2" spans="1:5" ht="15" customHeight="1">
      <c r="A2" s="9"/>
      <c r="B2" s="7"/>
      <c r="C2" s="7"/>
      <c r="D2" s="7"/>
      <c r="E2" s="7"/>
    </row>
    <row r="3" spans="1:5" ht="20.45" customHeight="1">
      <c r="A3" s="9" t="str">
        <f>Voorblad!A5</f>
        <v>Team Freight Forwarding Logistics</v>
      </c>
      <c r="B3" s="8"/>
      <c r="C3" s="8"/>
      <c r="D3" s="8"/>
      <c r="E3" s="48"/>
    </row>
    <row r="4" spans="1:5" s="51" customFormat="1" ht="15.75">
      <c r="A4" s="62" t="s">
        <v>218</v>
      </c>
      <c r="B4" s="49"/>
      <c r="C4" s="50"/>
      <c r="D4" s="50"/>
      <c r="E4" s="50"/>
    </row>
    <row r="5" spans="1:5" ht="15" customHeight="1">
      <c r="A5" s="7"/>
      <c r="B5" s="7"/>
      <c r="C5" s="7"/>
      <c r="D5" s="7"/>
      <c r="E5" s="26"/>
    </row>
    <row r="6" spans="1:5" ht="15" customHeight="1">
      <c r="A6" s="67" t="s">
        <v>20</v>
      </c>
      <c r="B6" s="67" t="s">
        <v>21</v>
      </c>
      <c r="C6" s="67" t="s">
        <v>22</v>
      </c>
      <c r="D6" s="67" t="s">
        <v>23</v>
      </c>
      <c r="E6" s="110" t="s">
        <v>219</v>
      </c>
    </row>
    <row r="7" spans="1:5" ht="15" customHeight="1">
      <c r="A7" s="67">
        <v>300</v>
      </c>
      <c r="B7" s="64">
        <v>0.2</v>
      </c>
      <c r="C7" s="64">
        <v>0.5</v>
      </c>
      <c r="D7" s="67"/>
      <c r="E7" s="68">
        <v>274</v>
      </c>
    </row>
    <row r="8" spans="1:5" ht="15" customHeight="1">
      <c r="A8" s="67">
        <v>700</v>
      </c>
      <c r="B8" s="67">
        <v>0.4</v>
      </c>
      <c r="C8" s="67">
        <v>1</v>
      </c>
      <c r="D8" s="67"/>
      <c r="E8" s="68">
        <v>286</v>
      </c>
    </row>
    <row r="9" spans="1:5" ht="15" customHeight="1">
      <c r="A9" s="67">
        <v>875</v>
      </c>
      <c r="B9" s="67">
        <v>0.5</v>
      </c>
      <c r="C9" s="67"/>
      <c r="D9" s="67">
        <v>1</v>
      </c>
      <c r="E9" s="68">
        <v>310</v>
      </c>
    </row>
    <row r="10" spans="1:5" ht="15" customHeight="1">
      <c r="A10" s="67">
        <v>1050</v>
      </c>
      <c r="B10" s="67">
        <v>0.6</v>
      </c>
      <c r="C10" s="67"/>
      <c r="D10" s="67"/>
      <c r="E10" s="68">
        <v>338</v>
      </c>
    </row>
    <row r="11" spans="1:5" ht="15" customHeight="1">
      <c r="A11" s="67">
        <v>1400</v>
      </c>
      <c r="B11" s="67">
        <v>0.8</v>
      </c>
      <c r="C11" s="67">
        <v>2</v>
      </c>
      <c r="D11" s="67"/>
      <c r="E11" s="68">
        <v>366</v>
      </c>
    </row>
    <row r="12" spans="1:5" ht="15" customHeight="1">
      <c r="A12" s="67">
        <v>1750</v>
      </c>
      <c r="B12" s="67">
        <v>1</v>
      </c>
      <c r="C12" s="67"/>
      <c r="D12" s="67">
        <v>2</v>
      </c>
      <c r="E12" s="68">
        <v>397</v>
      </c>
    </row>
    <row r="13" spans="1:5" ht="15" customHeight="1">
      <c r="A13" s="67">
        <v>2100</v>
      </c>
      <c r="B13" s="67">
        <v>1.2</v>
      </c>
      <c r="C13" s="67">
        <v>3</v>
      </c>
      <c r="D13" s="67"/>
      <c r="E13" s="68">
        <v>435</v>
      </c>
    </row>
    <row r="14" spans="1:5" ht="15" customHeight="1">
      <c r="A14" s="67">
        <v>2625</v>
      </c>
      <c r="B14" s="67">
        <v>1.5</v>
      </c>
      <c r="C14" s="67"/>
      <c r="D14" s="67">
        <v>3</v>
      </c>
      <c r="E14" s="68">
        <v>474</v>
      </c>
    </row>
    <row r="15" spans="1:5" ht="15" customHeight="1">
      <c r="A15" s="67">
        <v>2800</v>
      </c>
      <c r="B15" s="67">
        <v>1.6</v>
      </c>
      <c r="C15" s="67">
        <v>4</v>
      </c>
      <c r="D15" s="67"/>
      <c r="E15" s="68">
        <v>513</v>
      </c>
    </row>
    <row r="16" spans="1:5" ht="15" customHeight="1">
      <c r="A16" s="67">
        <v>3500</v>
      </c>
      <c r="B16" s="67">
        <v>2</v>
      </c>
      <c r="C16" s="67">
        <v>5</v>
      </c>
      <c r="D16" s="67">
        <v>4</v>
      </c>
      <c r="E16" s="68">
        <v>551</v>
      </c>
    </row>
    <row r="17" spans="1:5" ht="15" customHeight="1">
      <c r="A17" s="67">
        <v>4200</v>
      </c>
      <c r="B17" s="67">
        <v>2.4</v>
      </c>
      <c r="C17" s="67">
        <v>6</v>
      </c>
      <c r="D17" s="67"/>
      <c r="E17" s="68">
        <v>574</v>
      </c>
    </row>
    <row r="18" spans="1:5" ht="15" customHeight="1">
      <c r="A18" s="67">
        <v>4375</v>
      </c>
      <c r="B18" s="67">
        <v>2.5</v>
      </c>
      <c r="C18" s="67"/>
      <c r="D18" s="67">
        <v>5</v>
      </c>
      <c r="E18" s="68">
        <v>597</v>
      </c>
    </row>
    <row r="19" spans="1:5" ht="15" customHeight="1">
      <c r="A19" s="67">
        <v>4900</v>
      </c>
      <c r="B19" s="67">
        <v>2.8</v>
      </c>
      <c r="C19" s="67">
        <v>7</v>
      </c>
      <c r="D19" s="67"/>
      <c r="E19" s="68">
        <v>620</v>
      </c>
    </row>
    <row r="20" spans="1:5" ht="15" customHeight="1">
      <c r="A20" s="67">
        <v>5250</v>
      </c>
      <c r="B20" s="67">
        <v>3</v>
      </c>
      <c r="C20" s="67"/>
      <c r="D20" s="67">
        <v>6</v>
      </c>
      <c r="E20" s="68">
        <v>642</v>
      </c>
    </row>
    <row r="21" spans="1:5" ht="15" customHeight="1">
      <c r="A21" s="67">
        <v>5600</v>
      </c>
      <c r="B21" s="67">
        <v>3.2</v>
      </c>
      <c r="C21" s="67">
        <v>8</v>
      </c>
      <c r="D21" s="67"/>
      <c r="E21" s="68">
        <v>664</v>
      </c>
    </row>
    <row r="22" spans="1:5" ht="15" customHeight="1">
      <c r="A22" s="67">
        <v>6125</v>
      </c>
      <c r="B22" s="67">
        <v>3.5</v>
      </c>
      <c r="C22" s="67"/>
      <c r="D22" s="67">
        <v>7</v>
      </c>
      <c r="E22" s="68">
        <v>687</v>
      </c>
    </row>
    <row r="23" spans="1:5" ht="15" customHeight="1">
      <c r="A23" s="67">
        <v>6300</v>
      </c>
      <c r="B23" s="67">
        <v>3.6</v>
      </c>
      <c r="C23" s="67">
        <v>9</v>
      </c>
      <c r="D23" s="67"/>
      <c r="E23" s="68">
        <v>710</v>
      </c>
    </row>
    <row r="24" spans="1:5" ht="15" customHeight="1">
      <c r="A24" s="67">
        <v>7000</v>
      </c>
      <c r="B24" s="67">
        <v>4</v>
      </c>
      <c r="C24" s="67">
        <v>10</v>
      </c>
      <c r="D24" s="67">
        <v>8</v>
      </c>
      <c r="E24" s="68">
        <v>732</v>
      </c>
    </row>
    <row r="25" spans="1:5" ht="15" customHeight="1">
      <c r="A25" s="3"/>
      <c r="B25" s="3"/>
      <c r="C25" s="3"/>
      <c r="D25" s="3"/>
    </row>
    <row r="26" spans="1:5" ht="15" customHeight="1">
      <c r="A26" s="4" t="s">
        <v>24</v>
      </c>
      <c r="B26" s="3"/>
      <c r="C26" s="3"/>
      <c r="D26" s="3"/>
    </row>
    <row r="27" spans="1:5" ht="15" customHeight="1">
      <c r="A27" s="3"/>
      <c r="B27" s="3"/>
      <c r="C27" s="3"/>
      <c r="D27" s="3"/>
    </row>
    <row r="28" spans="1:5" ht="15" customHeight="1">
      <c r="A28" s="5" t="s">
        <v>25</v>
      </c>
      <c r="B28" s="5"/>
      <c r="C28" s="225" t="s">
        <v>26</v>
      </c>
      <c r="D28" s="226"/>
      <c r="E28" s="2" t="s">
        <v>37</v>
      </c>
    </row>
    <row r="29" spans="1:5" ht="15" customHeight="1">
      <c r="A29" s="224" t="s">
        <v>28</v>
      </c>
      <c r="B29" s="224"/>
      <c r="C29" s="6" t="s">
        <v>39</v>
      </c>
      <c r="D29" s="73"/>
      <c r="E29" s="74" t="s">
        <v>31</v>
      </c>
    </row>
    <row r="30" spans="1:5" ht="15" customHeight="1">
      <c r="A30" s="224" t="s">
        <v>32</v>
      </c>
      <c r="B30" s="224"/>
      <c r="C30" s="6" t="s">
        <v>42</v>
      </c>
      <c r="D30" s="73"/>
      <c r="E30" s="74" t="s">
        <v>31</v>
      </c>
    </row>
    <row r="31" spans="1:5" ht="15" customHeight="1">
      <c r="A31" s="224" t="s">
        <v>33</v>
      </c>
      <c r="B31" s="224"/>
      <c r="C31" s="6" t="s">
        <v>42</v>
      </c>
      <c r="D31" s="76"/>
      <c r="E31" s="107">
        <v>2</v>
      </c>
    </row>
    <row r="33" spans="1:1">
      <c r="A33" s="4"/>
    </row>
    <row r="34" spans="1:1">
      <c r="A34" s="3"/>
    </row>
    <row r="35" spans="1:1">
      <c r="A35" s="3"/>
    </row>
  </sheetData>
  <mergeCells count="4">
    <mergeCell ref="C28:D28"/>
    <mergeCell ref="A29:B29"/>
    <mergeCell ref="A30:B30"/>
    <mergeCell ref="A31:B31"/>
  </mergeCells>
  <conditionalFormatting sqref="E7:E24">
    <cfRule type="cellIs" dxfId="7" priority="1" stopIfTrue="1" operator="lessThan">
      <formula>#REF!</formula>
    </cfRule>
    <cfRule type="cellIs" dxfId="6" priority="3" operator="lessThan">
      <formula>#REF!</formula>
    </cfRule>
  </conditionalFormatting>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AEEBF-4511-4092-AADC-C9CE68742593}">
  <dimension ref="A1:AB35"/>
  <sheetViews>
    <sheetView showGridLines="0" workbookViewId="0">
      <pane xSplit="4" ySplit="6" topLeftCell="E7" activePane="bottomRight" state="frozen"/>
      <selection pane="bottomRight" activeCell="E7" sqref="E7"/>
      <selection pane="bottomLeft" activeCell="E1" sqref="E1:MB1048576"/>
      <selection pane="topRight" activeCell="E1" sqref="E1:MB1048576"/>
    </sheetView>
  </sheetViews>
  <sheetFormatPr defaultRowHeight="15"/>
  <cols>
    <col min="1" max="4" width="11.7109375" style="1" customWidth="1"/>
    <col min="5" max="5" width="10.5703125" style="3" customWidth="1"/>
    <col min="6" max="340" width="10.5703125" customWidth="1"/>
  </cols>
  <sheetData>
    <row r="1" spans="1:28" ht="15" customHeight="1"/>
    <row r="2" spans="1:28" ht="15" customHeight="1">
      <c r="A2" s="9"/>
      <c r="B2" s="7"/>
      <c r="C2" s="7"/>
      <c r="D2" s="7"/>
      <c r="E2" s="7"/>
    </row>
    <row r="3" spans="1:28" ht="20.45" customHeight="1">
      <c r="A3" s="9" t="str">
        <f>Voorblad!A5</f>
        <v>Team Freight Forwarding Logistics</v>
      </c>
      <c r="B3" s="8"/>
      <c r="C3" s="8"/>
      <c r="D3" s="8"/>
      <c r="E3" s="48"/>
    </row>
    <row r="4" spans="1:28" s="51" customFormat="1" ht="15.75">
      <c r="A4" s="62" t="s">
        <v>220</v>
      </c>
      <c r="B4" s="49"/>
      <c r="C4" s="50"/>
      <c r="D4" s="50"/>
      <c r="E4" s="50"/>
    </row>
    <row r="5" spans="1:28" ht="15" customHeight="1">
      <c r="A5" s="7"/>
      <c r="B5" s="7"/>
      <c r="C5" s="7"/>
      <c r="D5" s="7"/>
      <c r="E5" s="26"/>
    </row>
    <row r="6" spans="1:28" ht="15" customHeight="1">
      <c r="A6" s="63" t="s">
        <v>20</v>
      </c>
      <c r="B6" s="63" t="s">
        <v>21</v>
      </c>
      <c r="C6" s="64" t="s">
        <v>22</v>
      </c>
      <c r="D6" s="64" t="s">
        <v>23</v>
      </c>
      <c r="E6" s="119">
        <v>1</v>
      </c>
      <c r="F6" s="119">
        <v>2</v>
      </c>
      <c r="G6" s="119">
        <v>3</v>
      </c>
      <c r="H6" s="119">
        <v>4</v>
      </c>
      <c r="I6" s="119">
        <v>5</v>
      </c>
      <c r="J6" s="119">
        <v>6</v>
      </c>
      <c r="K6" s="119">
        <v>7</v>
      </c>
      <c r="L6" s="119">
        <v>8</v>
      </c>
      <c r="M6" s="119">
        <v>9</v>
      </c>
      <c r="N6" s="2">
        <v>81</v>
      </c>
      <c r="O6" s="2">
        <v>82</v>
      </c>
      <c r="P6" s="2">
        <v>83</v>
      </c>
      <c r="Q6" s="2">
        <v>84</v>
      </c>
      <c r="R6" s="2">
        <v>85</v>
      </c>
      <c r="S6" s="2">
        <v>90</v>
      </c>
      <c r="T6" s="2">
        <v>91</v>
      </c>
      <c r="U6" s="2">
        <v>92</v>
      </c>
      <c r="V6" s="65">
        <v>93</v>
      </c>
      <c r="W6" s="2">
        <v>94</v>
      </c>
      <c r="X6" s="2">
        <v>95</v>
      </c>
      <c r="Y6" s="2">
        <v>96</v>
      </c>
      <c r="Z6" s="2">
        <v>97</v>
      </c>
      <c r="AA6" s="2">
        <v>98</v>
      </c>
      <c r="AB6" s="2">
        <v>99</v>
      </c>
    </row>
    <row r="7" spans="1:28" ht="15" customHeight="1">
      <c r="A7" s="67">
        <v>300</v>
      </c>
      <c r="B7" s="64">
        <v>0.2</v>
      </c>
      <c r="C7" s="64">
        <v>0.5</v>
      </c>
      <c r="D7" s="64"/>
      <c r="E7" s="130">
        <v>127</v>
      </c>
      <c r="F7" s="130">
        <v>127</v>
      </c>
      <c r="G7" s="130">
        <v>127</v>
      </c>
      <c r="H7" s="130">
        <v>144</v>
      </c>
      <c r="I7" s="130">
        <v>144</v>
      </c>
      <c r="J7" s="130">
        <v>158</v>
      </c>
      <c r="K7" s="130">
        <v>158</v>
      </c>
      <c r="L7" s="130">
        <v>158</v>
      </c>
      <c r="M7" s="130">
        <v>158</v>
      </c>
      <c r="N7" s="130">
        <v>105</v>
      </c>
      <c r="O7" s="130">
        <v>105</v>
      </c>
      <c r="P7" s="130">
        <v>105</v>
      </c>
      <c r="Q7" s="130">
        <v>105</v>
      </c>
      <c r="R7" s="130">
        <v>105</v>
      </c>
      <c r="S7" s="130">
        <v>120</v>
      </c>
      <c r="T7" s="130">
        <v>120</v>
      </c>
      <c r="U7" s="130">
        <v>120</v>
      </c>
      <c r="V7" s="130">
        <v>120</v>
      </c>
      <c r="W7" s="130">
        <v>120</v>
      </c>
      <c r="X7" s="130">
        <v>127</v>
      </c>
      <c r="Y7" s="130">
        <v>127</v>
      </c>
      <c r="Z7" s="130">
        <v>127</v>
      </c>
      <c r="AA7" s="130">
        <v>144</v>
      </c>
      <c r="AB7" s="130">
        <v>144</v>
      </c>
    </row>
    <row r="8" spans="1:28" ht="15" customHeight="1">
      <c r="A8" s="2">
        <v>700</v>
      </c>
      <c r="B8" s="64">
        <v>0.4</v>
      </c>
      <c r="C8" s="64">
        <v>1</v>
      </c>
      <c r="D8" s="64"/>
      <c r="E8" s="130">
        <v>197</v>
      </c>
      <c r="F8" s="130">
        <v>197</v>
      </c>
      <c r="G8" s="130">
        <v>197</v>
      </c>
      <c r="H8" s="130">
        <v>221</v>
      </c>
      <c r="I8" s="130">
        <v>221</v>
      </c>
      <c r="J8" s="130">
        <v>243</v>
      </c>
      <c r="K8" s="130">
        <v>243</v>
      </c>
      <c r="L8" s="130">
        <v>243</v>
      </c>
      <c r="M8" s="130">
        <v>243</v>
      </c>
      <c r="N8" s="130">
        <v>161</v>
      </c>
      <c r="O8" s="130">
        <v>161</v>
      </c>
      <c r="P8" s="130">
        <v>161</v>
      </c>
      <c r="Q8" s="130">
        <v>161</v>
      </c>
      <c r="R8" s="130">
        <v>161</v>
      </c>
      <c r="S8" s="130">
        <v>177</v>
      </c>
      <c r="T8" s="130">
        <v>177</v>
      </c>
      <c r="U8" s="130">
        <v>177</v>
      </c>
      <c r="V8" s="130">
        <v>177</v>
      </c>
      <c r="W8" s="130">
        <v>177</v>
      </c>
      <c r="X8" s="130">
        <v>197</v>
      </c>
      <c r="Y8" s="130">
        <v>197</v>
      </c>
      <c r="Z8" s="130">
        <v>197</v>
      </c>
      <c r="AA8" s="130">
        <v>221</v>
      </c>
      <c r="AB8" s="130">
        <v>221</v>
      </c>
    </row>
    <row r="9" spans="1:28" ht="15" customHeight="1">
      <c r="A9" s="2">
        <v>875</v>
      </c>
      <c r="B9" s="64">
        <v>0.5</v>
      </c>
      <c r="C9" s="64"/>
      <c r="D9" s="64">
        <v>1</v>
      </c>
      <c r="E9" s="130">
        <v>228</v>
      </c>
      <c r="F9" s="130">
        <v>228</v>
      </c>
      <c r="G9" s="130">
        <v>228</v>
      </c>
      <c r="H9" s="130">
        <v>250</v>
      </c>
      <c r="I9" s="130">
        <v>250</v>
      </c>
      <c r="J9" s="130">
        <v>274</v>
      </c>
      <c r="K9" s="130">
        <v>274</v>
      </c>
      <c r="L9" s="130">
        <v>274</v>
      </c>
      <c r="M9" s="130">
        <v>274</v>
      </c>
      <c r="N9" s="130">
        <v>185</v>
      </c>
      <c r="O9" s="130">
        <v>185</v>
      </c>
      <c r="P9" s="130">
        <v>185</v>
      </c>
      <c r="Q9" s="130">
        <v>185</v>
      </c>
      <c r="R9" s="130">
        <v>185</v>
      </c>
      <c r="S9" s="130">
        <v>202</v>
      </c>
      <c r="T9" s="130">
        <v>202</v>
      </c>
      <c r="U9" s="130">
        <v>202</v>
      </c>
      <c r="V9" s="130">
        <v>202</v>
      </c>
      <c r="W9" s="130">
        <v>202</v>
      </c>
      <c r="X9" s="130">
        <v>228</v>
      </c>
      <c r="Y9" s="130">
        <v>228</v>
      </c>
      <c r="Z9" s="130">
        <v>228</v>
      </c>
      <c r="AA9" s="130">
        <v>250</v>
      </c>
      <c r="AB9" s="130">
        <v>250</v>
      </c>
    </row>
    <row r="10" spans="1:28" ht="15" customHeight="1">
      <c r="A10" s="2">
        <v>1050</v>
      </c>
      <c r="B10" s="64">
        <v>0.6</v>
      </c>
      <c r="C10" s="64"/>
      <c r="D10" s="64"/>
      <c r="E10" s="130">
        <v>252</v>
      </c>
      <c r="F10" s="130">
        <v>261</v>
      </c>
      <c r="G10" s="130">
        <v>252</v>
      </c>
      <c r="H10" s="130">
        <v>276</v>
      </c>
      <c r="I10" s="130">
        <v>276</v>
      </c>
      <c r="J10" s="130">
        <v>288</v>
      </c>
      <c r="K10" s="130">
        <v>288</v>
      </c>
      <c r="L10" s="130">
        <v>288</v>
      </c>
      <c r="M10" s="130">
        <v>288</v>
      </c>
      <c r="N10" s="130">
        <v>231</v>
      </c>
      <c r="O10" s="130">
        <v>231</v>
      </c>
      <c r="P10" s="130">
        <v>231</v>
      </c>
      <c r="Q10" s="130">
        <v>231</v>
      </c>
      <c r="R10" s="130">
        <v>231</v>
      </c>
      <c r="S10" s="130">
        <v>240</v>
      </c>
      <c r="T10" s="130">
        <v>236</v>
      </c>
      <c r="U10" s="130">
        <v>240</v>
      </c>
      <c r="V10" s="130">
        <v>240</v>
      </c>
      <c r="W10" s="130">
        <v>247</v>
      </c>
      <c r="X10" s="130">
        <v>248</v>
      </c>
      <c r="Y10" s="130">
        <v>252</v>
      </c>
      <c r="Z10" s="130">
        <v>261</v>
      </c>
      <c r="AA10" s="130">
        <v>272</v>
      </c>
      <c r="AB10" s="130">
        <v>272</v>
      </c>
    </row>
    <row r="11" spans="1:28" ht="15" customHeight="1">
      <c r="A11" s="2">
        <v>1400</v>
      </c>
      <c r="B11" s="64">
        <v>0.8</v>
      </c>
      <c r="C11" s="64">
        <v>2</v>
      </c>
      <c r="D11" s="64"/>
      <c r="E11" s="130">
        <v>276</v>
      </c>
      <c r="F11" s="130">
        <v>292</v>
      </c>
      <c r="G11" s="130">
        <v>276</v>
      </c>
      <c r="H11" s="130">
        <v>300</v>
      </c>
      <c r="I11" s="130">
        <v>300</v>
      </c>
      <c r="J11" s="130">
        <v>300</v>
      </c>
      <c r="K11" s="130">
        <v>300</v>
      </c>
      <c r="L11" s="130">
        <v>300</v>
      </c>
      <c r="M11" s="130">
        <v>300</v>
      </c>
      <c r="N11" s="130">
        <v>276</v>
      </c>
      <c r="O11" s="130">
        <v>276</v>
      </c>
      <c r="P11" s="130">
        <v>276</v>
      </c>
      <c r="Q11" s="130">
        <v>276</v>
      </c>
      <c r="R11" s="130">
        <v>276</v>
      </c>
      <c r="S11" s="130">
        <v>276</v>
      </c>
      <c r="T11" s="130">
        <v>269</v>
      </c>
      <c r="U11" s="130">
        <v>276</v>
      </c>
      <c r="V11" s="130">
        <v>276</v>
      </c>
      <c r="W11" s="130">
        <v>292</v>
      </c>
      <c r="X11" s="130">
        <v>269</v>
      </c>
      <c r="Y11" s="130">
        <v>276</v>
      </c>
      <c r="Z11" s="130">
        <v>292</v>
      </c>
      <c r="AA11" s="130">
        <v>292</v>
      </c>
      <c r="AB11" s="130">
        <v>292</v>
      </c>
    </row>
    <row r="12" spans="1:28" ht="15" customHeight="1">
      <c r="A12" s="2">
        <v>1750</v>
      </c>
      <c r="B12" s="64">
        <v>1</v>
      </c>
      <c r="C12" s="64"/>
      <c r="D12" s="64">
        <v>2</v>
      </c>
      <c r="E12" s="130">
        <v>299</v>
      </c>
      <c r="F12" s="130">
        <v>319</v>
      </c>
      <c r="G12" s="130">
        <v>299</v>
      </c>
      <c r="H12" s="130">
        <v>328</v>
      </c>
      <c r="I12" s="130">
        <v>328</v>
      </c>
      <c r="J12" s="130">
        <v>328</v>
      </c>
      <c r="K12" s="130">
        <v>328</v>
      </c>
      <c r="L12" s="130">
        <v>328</v>
      </c>
      <c r="M12" s="130">
        <v>328</v>
      </c>
      <c r="N12" s="130">
        <v>299</v>
      </c>
      <c r="O12" s="130">
        <v>299</v>
      </c>
      <c r="P12" s="130">
        <v>299</v>
      </c>
      <c r="Q12" s="130">
        <v>299</v>
      </c>
      <c r="R12" s="130">
        <v>299</v>
      </c>
      <c r="S12" s="130">
        <v>299</v>
      </c>
      <c r="T12" s="130">
        <v>291</v>
      </c>
      <c r="U12" s="130">
        <v>299</v>
      </c>
      <c r="V12" s="130">
        <v>299</v>
      </c>
      <c r="W12" s="130">
        <v>319</v>
      </c>
      <c r="X12" s="130">
        <v>291</v>
      </c>
      <c r="Y12" s="130">
        <v>299</v>
      </c>
      <c r="Z12" s="130">
        <v>319</v>
      </c>
      <c r="AA12" s="130">
        <v>319</v>
      </c>
      <c r="AB12" s="130">
        <v>319</v>
      </c>
    </row>
    <row r="13" spans="1:28" ht="15" customHeight="1">
      <c r="A13" s="2">
        <v>2100</v>
      </c>
      <c r="B13" s="64">
        <v>1.2</v>
      </c>
      <c r="C13" s="64">
        <v>3</v>
      </c>
      <c r="D13" s="64"/>
      <c r="E13" s="130">
        <v>346</v>
      </c>
      <c r="F13" s="130">
        <v>361</v>
      </c>
      <c r="G13" s="130">
        <v>346</v>
      </c>
      <c r="H13" s="130">
        <v>369</v>
      </c>
      <c r="I13" s="130">
        <v>369</v>
      </c>
      <c r="J13" s="130">
        <v>369</v>
      </c>
      <c r="K13" s="130">
        <v>369</v>
      </c>
      <c r="L13" s="130">
        <v>369</v>
      </c>
      <c r="M13" s="130">
        <v>369</v>
      </c>
      <c r="N13" s="130">
        <v>346</v>
      </c>
      <c r="O13" s="130">
        <v>346</v>
      </c>
      <c r="P13" s="130">
        <v>346</v>
      </c>
      <c r="Q13" s="130">
        <v>346</v>
      </c>
      <c r="R13" s="130">
        <v>346</v>
      </c>
      <c r="S13" s="130">
        <v>346</v>
      </c>
      <c r="T13" s="130">
        <v>333</v>
      </c>
      <c r="U13" s="130">
        <v>346</v>
      </c>
      <c r="V13" s="130">
        <v>346</v>
      </c>
      <c r="W13" s="130">
        <v>361</v>
      </c>
      <c r="X13" s="130">
        <v>333</v>
      </c>
      <c r="Y13" s="130">
        <v>346</v>
      </c>
      <c r="Z13" s="130">
        <v>361</v>
      </c>
      <c r="AA13" s="130">
        <v>361</v>
      </c>
      <c r="AB13" s="130">
        <v>361</v>
      </c>
    </row>
    <row r="14" spans="1:28" ht="15" customHeight="1">
      <c r="A14" s="2">
        <v>2625</v>
      </c>
      <c r="B14" s="64">
        <v>1.5</v>
      </c>
      <c r="C14" s="64"/>
      <c r="D14" s="64">
        <v>3</v>
      </c>
      <c r="E14" s="130">
        <v>394</v>
      </c>
      <c r="F14" s="130">
        <v>415</v>
      </c>
      <c r="G14" s="130">
        <v>394</v>
      </c>
      <c r="H14" s="130">
        <v>432</v>
      </c>
      <c r="I14" s="130">
        <v>432</v>
      </c>
      <c r="J14" s="130">
        <v>432</v>
      </c>
      <c r="K14" s="130">
        <v>432</v>
      </c>
      <c r="L14" s="130">
        <v>432</v>
      </c>
      <c r="M14" s="130">
        <v>432</v>
      </c>
      <c r="N14" s="130">
        <v>394</v>
      </c>
      <c r="O14" s="130">
        <v>394</v>
      </c>
      <c r="P14" s="130">
        <v>394</v>
      </c>
      <c r="Q14" s="130">
        <v>394</v>
      </c>
      <c r="R14" s="130">
        <v>394</v>
      </c>
      <c r="S14" s="130">
        <v>394</v>
      </c>
      <c r="T14" s="130">
        <v>381</v>
      </c>
      <c r="U14" s="130">
        <v>394</v>
      </c>
      <c r="V14" s="130">
        <v>394</v>
      </c>
      <c r="W14" s="130">
        <v>415</v>
      </c>
      <c r="X14" s="130">
        <v>381</v>
      </c>
      <c r="Y14" s="130">
        <v>394</v>
      </c>
      <c r="Z14" s="130">
        <v>415</v>
      </c>
      <c r="AA14" s="130">
        <v>415</v>
      </c>
      <c r="AB14" s="130">
        <v>415</v>
      </c>
    </row>
    <row r="15" spans="1:28" ht="15" customHeight="1">
      <c r="A15" s="2">
        <v>2800</v>
      </c>
      <c r="B15" s="64">
        <v>1.6</v>
      </c>
      <c r="C15" s="64">
        <v>4</v>
      </c>
      <c r="D15" s="64"/>
      <c r="E15" s="130">
        <v>415</v>
      </c>
      <c r="F15" s="130">
        <v>437</v>
      </c>
      <c r="G15" s="130">
        <v>415</v>
      </c>
      <c r="H15" s="130">
        <v>468</v>
      </c>
      <c r="I15" s="130">
        <v>468</v>
      </c>
      <c r="J15" s="130">
        <v>468</v>
      </c>
      <c r="K15" s="130">
        <v>468</v>
      </c>
      <c r="L15" s="130">
        <v>468</v>
      </c>
      <c r="M15" s="130">
        <v>468</v>
      </c>
      <c r="N15" s="130">
        <v>415</v>
      </c>
      <c r="O15" s="130">
        <v>415</v>
      </c>
      <c r="P15" s="130">
        <v>415</v>
      </c>
      <c r="Q15" s="130">
        <v>415</v>
      </c>
      <c r="R15" s="130">
        <v>415</v>
      </c>
      <c r="S15" s="130">
        <v>415</v>
      </c>
      <c r="T15" s="130">
        <v>403</v>
      </c>
      <c r="U15" s="130">
        <v>415</v>
      </c>
      <c r="V15" s="130">
        <v>415</v>
      </c>
      <c r="W15" s="130">
        <v>437</v>
      </c>
      <c r="X15" s="130">
        <v>403</v>
      </c>
      <c r="Y15" s="130">
        <v>415</v>
      </c>
      <c r="Z15" s="130">
        <v>437</v>
      </c>
      <c r="AA15" s="130">
        <v>437</v>
      </c>
      <c r="AB15" s="130">
        <v>437</v>
      </c>
    </row>
    <row r="16" spans="1:28" ht="15" customHeight="1">
      <c r="A16" s="2">
        <v>3500</v>
      </c>
      <c r="B16" s="64">
        <v>2</v>
      </c>
      <c r="C16" s="64">
        <v>5</v>
      </c>
      <c r="D16" s="64">
        <v>4</v>
      </c>
      <c r="E16" s="130">
        <v>502</v>
      </c>
      <c r="F16" s="130">
        <v>524</v>
      </c>
      <c r="G16" s="130">
        <v>502</v>
      </c>
      <c r="H16" s="130">
        <v>556</v>
      </c>
      <c r="I16" s="130">
        <v>556</v>
      </c>
      <c r="J16" s="130">
        <v>556</v>
      </c>
      <c r="K16" s="130">
        <v>556</v>
      </c>
      <c r="L16" s="130">
        <v>556</v>
      </c>
      <c r="M16" s="130">
        <v>556</v>
      </c>
      <c r="N16" s="130">
        <v>502</v>
      </c>
      <c r="O16" s="130">
        <v>502</v>
      </c>
      <c r="P16" s="130">
        <v>502</v>
      </c>
      <c r="Q16" s="130">
        <v>502</v>
      </c>
      <c r="R16" s="130">
        <v>502</v>
      </c>
      <c r="S16" s="130">
        <v>502</v>
      </c>
      <c r="T16" s="130">
        <v>476</v>
      </c>
      <c r="U16" s="130">
        <v>502</v>
      </c>
      <c r="V16" s="130">
        <v>502</v>
      </c>
      <c r="W16" s="130">
        <v>524</v>
      </c>
      <c r="X16" s="130">
        <v>476</v>
      </c>
      <c r="Y16" s="130">
        <v>502</v>
      </c>
      <c r="Z16" s="130">
        <v>524</v>
      </c>
      <c r="AA16" s="130">
        <v>524</v>
      </c>
      <c r="AB16" s="130">
        <v>524</v>
      </c>
    </row>
    <row r="17" spans="1:28" ht="15" customHeight="1">
      <c r="A17" s="2">
        <v>4200</v>
      </c>
      <c r="B17" s="2">
        <v>2.4</v>
      </c>
      <c r="C17" s="2">
        <v>6</v>
      </c>
      <c r="D17" s="2"/>
      <c r="E17" s="130">
        <v>560</v>
      </c>
      <c r="F17" s="130">
        <v>577</v>
      </c>
      <c r="G17" s="130">
        <v>560</v>
      </c>
      <c r="H17" s="130">
        <v>621</v>
      </c>
      <c r="I17" s="130">
        <v>621</v>
      </c>
      <c r="J17" s="130">
        <v>621</v>
      </c>
      <c r="K17" s="130">
        <v>621</v>
      </c>
      <c r="L17" s="130">
        <v>621</v>
      </c>
      <c r="M17" s="130">
        <v>621</v>
      </c>
      <c r="N17" s="130">
        <v>560</v>
      </c>
      <c r="O17" s="130">
        <v>560</v>
      </c>
      <c r="P17" s="130">
        <v>560</v>
      </c>
      <c r="Q17" s="130">
        <v>560</v>
      </c>
      <c r="R17" s="130">
        <v>560</v>
      </c>
      <c r="S17" s="130">
        <v>560</v>
      </c>
      <c r="T17" s="130">
        <v>532</v>
      </c>
      <c r="U17" s="130">
        <v>560</v>
      </c>
      <c r="V17" s="130">
        <v>560</v>
      </c>
      <c r="W17" s="130">
        <v>577</v>
      </c>
      <c r="X17" s="130">
        <v>532</v>
      </c>
      <c r="Y17" s="130">
        <v>560</v>
      </c>
      <c r="Z17" s="130">
        <v>577</v>
      </c>
      <c r="AA17" s="130">
        <v>577</v>
      </c>
      <c r="AB17" s="130">
        <v>577</v>
      </c>
    </row>
    <row r="18" spans="1:28" ht="15" customHeight="1">
      <c r="A18" s="2">
        <v>4375</v>
      </c>
      <c r="B18" s="2">
        <v>2.5</v>
      </c>
      <c r="C18" s="2"/>
      <c r="D18" s="2">
        <v>5</v>
      </c>
      <c r="E18" s="130">
        <v>577</v>
      </c>
      <c r="F18" s="130">
        <v>605</v>
      </c>
      <c r="G18" s="130">
        <v>577</v>
      </c>
      <c r="H18" s="130">
        <v>629</v>
      </c>
      <c r="I18" s="130">
        <v>629</v>
      </c>
      <c r="J18" s="130">
        <v>629</v>
      </c>
      <c r="K18" s="130">
        <v>629</v>
      </c>
      <c r="L18" s="130">
        <v>629</v>
      </c>
      <c r="M18" s="130">
        <v>629</v>
      </c>
      <c r="N18" s="130">
        <v>577</v>
      </c>
      <c r="O18" s="130">
        <v>577</v>
      </c>
      <c r="P18" s="130">
        <v>577</v>
      </c>
      <c r="Q18" s="130">
        <v>577</v>
      </c>
      <c r="R18" s="130">
        <v>577</v>
      </c>
      <c r="S18" s="130">
        <v>577</v>
      </c>
      <c r="T18" s="130">
        <v>550</v>
      </c>
      <c r="U18" s="130">
        <v>577</v>
      </c>
      <c r="V18" s="130">
        <v>577</v>
      </c>
      <c r="W18" s="130">
        <v>605</v>
      </c>
      <c r="X18" s="130">
        <v>550</v>
      </c>
      <c r="Y18" s="130">
        <v>577</v>
      </c>
      <c r="Z18" s="130">
        <v>605</v>
      </c>
      <c r="AA18" s="130">
        <v>605</v>
      </c>
      <c r="AB18" s="130">
        <v>605</v>
      </c>
    </row>
    <row r="19" spans="1:28" ht="15" customHeight="1">
      <c r="A19" s="2">
        <v>4900</v>
      </c>
      <c r="B19" s="2">
        <v>2.8</v>
      </c>
      <c r="C19" s="2">
        <v>7</v>
      </c>
      <c r="D19" s="2"/>
      <c r="E19" s="130">
        <v>627</v>
      </c>
      <c r="F19" s="130">
        <v>652</v>
      </c>
      <c r="G19" s="130">
        <v>627</v>
      </c>
      <c r="H19" s="130">
        <v>690</v>
      </c>
      <c r="I19" s="130">
        <v>690</v>
      </c>
      <c r="J19" s="130">
        <v>690</v>
      </c>
      <c r="K19" s="130">
        <v>690</v>
      </c>
      <c r="L19" s="130">
        <v>690</v>
      </c>
      <c r="M19" s="130">
        <v>690</v>
      </c>
      <c r="N19" s="130">
        <v>627</v>
      </c>
      <c r="O19" s="130">
        <v>627</v>
      </c>
      <c r="P19" s="130">
        <v>627</v>
      </c>
      <c r="Q19" s="130">
        <v>627</v>
      </c>
      <c r="R19" s="130">
        <v>627</v>
      </c>
      <c r="S19" s="130">
        <v>627</v>
      </c>
      <c r="T19" s="130">
        <v>591</v>
      </c>
      <c r="U19" s="130">
        <v>627</v>
      </c>
      <c r="V19" s="130">
        <v>627</v>
      </c>
      <c r="W19" s="130">
        <v>652</v>
      </c>
      <c r="X19" s="130">
        <v>591</v>
      </c>
      <c r="Y19" s="130">
        <v>627</v>
      </c>
      <c r="Z19" s="130">
        <v>652</v>
      </c>
      <c r="AA19" s="130">
        <v>652</v>
      </c>
      <c r="AB19" s="130">
        <v>652</v>
      </c>
    </row>
    <row r="20" spans="1:28" ht="15" customHeight="1">
      <c r="A20" s="2">
        <v>5250</v>
      </c>
      <c r="B20" s="2">
        <v>3</v>
      </c>
      <c r="C20" s="2"/>
      <c r="D20" s="2">
        <v>6</v>
      </c>
      <c r="E20" s="130">
        <v>652</v>
      </c>
      <c r="F20" s="130">
        <v>683</v>
      </c>
      <c r="G20" s="130">
        <v>652</v>
      </c>
      <c r="H20" s="130">
        <v>732</v>
      </c>
      <c r="I20" s="130">
        <v>732</v>
      </c>
      <c r="J20" s="130">
        <v>732</v>
      </c>
      <c r="K20" s="130">
        <v>732</v>
      </c>
      <c r="L20" s="130">
        <v>732</v>
      </c>
      <c r="M20" s="130">
        <v>732</v>
      </c>
      <c r="N20" s="130">
        <v>652</v>
      </c>
      <c r="O20" s="130">
        <v>652</v>
      </c>
      <c r="P20" s="130">
        <v>652</v>
      </c>
      <c r="Q20" s="130">
        <v>652</v>
      </c>
      <c r="R20" s="130">
        <v>652</v>
      </c>
      <c r="S20" s="130">
        <v>652</v>
      </c>
      <c r="T20" s="130">
        <v>622</v>
      </c>
      <c r="U20" s="130">
        <v>652</v>
      </c>
      <c r="V20" s="130">
        <v>652</v>
      </c>
      <c r="W20" s="130">
        <v>683</v>
      </c>
      <c r="X20" s="130">
        <v>622</v>
      </c>
      <c r="Y20" s="130">
        <v>652</v>
      </c>
      <c r="Z20" s="130">
        <v>683</v>
      </c>
      <c r="AA20" s="130">
        <v>683</v>
      </c>
      <c r="AB20" s="130">
        <v>683</v>
      </c>
    </row>
    <row r="21" spans="1:28" ht="15" customHeight="1">
      <c r="A21" s="2">
        <v>5600</v>
      </c>
      <c r="B21" s="2">
        <v>3.2</v>
      </c>
      <c r="C21" s="2">
        <v>8</v>
      </c>
      <c r="D21" s="2"/>
      <c r="E21" s="130">
        <v>683</v>
      </c>
      <c r="F21" s="130">
        <v>718</v>
      </c>
      <c r="G21" s="130">
        <v>683</v>
      </c>
      <c r="H21" s="130">
        <v>762</v>
      </c>
      <c r="I21" s="130">
        <v>762</v>
      </c>
      <c r="J21" s="130">
        <v>762</v>
      </c>
      <c r="K21" s="130">
        <v>762</v>
      </c>
      <c r="L21" s="130">
        <v>762</v>
      </c>
      <c r="M21" s="130">
        <v>762</v>
      </c>
      <c r="N21" s="130">
        <v>683</v>
      </c>
      <c r="O21" s="130">
        <v>683</v>
      </c>
      <c r="P21" s="130">
        <v>683</v>
      </c>
      <c r="Q21" s="130">
        <v>683</v>
      </c>
      <c r="R21" s="130">
        <v>683</v>
      </c>
      <c r="S21" s="130">
        <v>683</v>
      </c>
      <c r="T21" s="130">
        <v>649</v>
      </c>
      <c r="U21" s="130">
        <v>683</v>
      </c>
      <c r="V21" s="130">
        <v>683</v>
      </c>
      <c r="W21" s="130">
        <v>718</v>
      </c>
      <c r="X21" s="130">
        <v>649</v>
      </c>
      <c r="Y21" s="130">
        <v>683</v>
      </c>
      <c r="Z21" s="130">
        <v>718</v>
      </c>
      <c r="AA21" s="130">
        <v>718</v>
      </c>
      <c r="AB21" s="130">
        <v>718</v>
      </c>
    </row>
    <row r="22" spans="1:28" ht="15" customHeight="1">
      <c r="A22" s="2">
        <v>6125</v>
      </c>
      <c r="B22" s="2">
        <v>3.5</v>
      </c>
      <c r="C22" s="2"/>
      <c r="D22" s="2">
        <v>7</v>
      </c>
      <c r="E22" s="130">
        <v>737</v>
      </c>
      <c r="F22" s="130">
        <v>771</v>
      </c>
      <c r="G22" s="130">
        <v>737</v>
      </c>
      <c r="H22" s="130">
        <v>804</v>
      </c>
      <c r="I22" s="130">
        <v>804</v>
      </c>
      <c r="J22" s="130">
        <v>804</v>
      </c>
      <c r="K22" s="130">
        <v>804</v>
      </c>
      <c r="L22" s="130">
        <v>804</v>
      </c>
      <c r="M22" s="130">
        <v>804</v>
      </c>
      <c r="N22" s="130">
        <v>737</v>
      </c>
      <c r="O22" s="130">
        <v>737</v>
      </c>
      <c r="P22" s="130">
        <v>737</v>
      </c>
      <c r="Q22" s="130">
        <v>737</v>
      </c>
      <c r="R22" s="130">
        <v>737</v>
      </c>
      <c r="S22" s="130">
        <v>737</v>
      </c>
      <c r="T22" s="130">
        <v>698</v>
      </c>
      <c r="U22" s="130">
        <v>737</v>
      </c>
      <c r="V22" s="130">
        <v>737</v>
      </c>
      <c r="W22" s="130">
        <v>771</v>
      </c>
      <c r="X22" s="130">
        <v>698</v>
      </c>
      <c r="Y22" s="130">
        <v>737</v>
      </c>
      <c r="Z22" s="130">
        <v>771</v>
      </c>
      <c r="AA22" s="130">
        <v>771</v>
      </c>
      <c r="AB22" s="130">
        <v>771</v>
      </c>
    </row>
    <row r="23" spans="1:28" ht="15" customHeight="1">
      <c r="A23" s="2">
        <v>6300</v>
      </c>
      <c r="B23" s="2">
        <v>3.6</v>
      </c>
      <c r="C23" s="2">
        <v>9</v>
      </c>
      <c r="D23" s="2"/>
      <c r="E23" s="130">
        <v>750</v>
      </c>
      <c r="F23" s="130">
        <v>794</v>
      </c>
      <c r="G23" s="130">
        <v>750</v>
      </c>
      <c r="H23" s="130">
        <v>829</v>
      </c>
      <c r="I23" s="130">
        <v>829</v>
      </c>
      <c r="J23" s="130">
        <v>829</v>
      </c>
      <c r="K23" s="130">
        <v>829</v>
      </c>
      <c r="L23" s="130">
        <v>829</v>
      </c>
      <c r="M23" s="130">
        <v>829</v>
      </c>
      <c r="N23" s="130">
        <v>750</v>
      </c>
      <c r="O23" s="130">
        <v>750</v>
      </c>
      <c r="P23" s="130">
        <v>750</v>
      </c>
      <c r="Q23" s="130">
        <v>750</v>
      </c>
      <c r="R23" s="130">
        <v>750</v>
      </c>
      <c r="S23" s="130">
        <v>750</v>
      </c>
      <c r="T23" s="130">
        <v>738</v>
      </c>
      <c r="U23" s="130">
        <v>750</v>
      </c>
      <c r="V23" s="130">
        <v>750</v>
      </c>
      <c r="W23" s="130">
        <v>794</v>
      </c>
      <c r="X23" s="130">
        <v>738</v>
      </c>
      <c r="Y23" s="130">
        <v>750</v>
      </c>
      <c r="Z23" s="130">
        <v>794</v>
      </c>
      <c r="AA23" s="130">
        <v>794</v>
      </c>
      <c r="AB23" s="130">
        <v>794</v>
      </c>
    </row>
    <row r="24" spans="1:28" ht="15" customHeight="1">
      <c r="A24" s="2">
        <v>7000</v>
      </c>
      <c r="B24" s="2">
        <v>4</v>
      </c>
      <c r="C24" s="2">
        <v>10</v>
      </c>
      <c r="D24" s="2">
        <v>8</v>
      </c>
      <c r="E24" s="130">
        <v>817</v>
      </c>
      <c r="F24" s="130">
        <v>849</v>
      </c>
      <c r="G24" s="130">
        <v>817</v>
      </c>
      <c r="H24" s="130">
        <v>892</v>
      </c>
      <c r="I24" s="130">
        <v>892</v>
      </c>
      <c r="J24" s="130">
        <v>892</v>
      </c>
      <c r="K24" s="130">
        <v>892</v>
      </c>
      <c r="L24" s="130">
        <v>892</v>
      </c>
      <c r="M24" s="130">
        <v>892</v>
      </c>
      <c r="N24" s="130">
        <v>817</v>
      </c>
      <c r="O24" s="130">
        <v>817</v>
      </c>
      <c r="P24" s="130">
        <v>817</v>
      </c>
      <c r="Q24" s="130">
        <v>817</v>
      </c>
      <c r="R24" s="130">
        <v>817</v>
      </c>
      <c r="S24" s="130">
        <v>817</v>
      </c>
      <c r="T24" s="130">
        <v>776</v>
      </c>
      <c r="U24" s="130">
        <v>817</v>
      </c>
      <c r="V24" s="130">
        <v>817</v>
      </c>
      <c r="W24" s="130">
        <v>849</v>
      </c>
      <c r="X24" s="130">
        <v>776</v>
      </c>
      <c r="Y24" s="130">
        <v>817</v>
      </c>
      <c r="Z24" s="130">
        <v>849</v>
      </c>
      <c r="AA24" s="130">
        <v>849</v>
      </c>
      <c r="AB24" s="130">
        <v>849</v>
      </c>
    </row>
    <row r="25" spans="1:28" ht="15" customHeight="1">
      <c r="A25" s="3"/>
      <c r="B25" s="3"/>
      <c r="C25" s="3"/>
      <c r="D25" s="3"/>
    </row>
    <row r="26" spans="1:28" ht="15" customHeight="1">
      <c r="A26" s="4" t="s">
        <v>24</v>
      </c>
      <c r="B26" s="3"/>
      <c r="C26" s="3"/>
      <c r="D26" s="3"/>
    </row>
    <row r="27" spans="1:28" ht="15" customHeight="1">
      <c r="A27" s="3"/>
      <c r="B27" s="3"/>
      <c r="C27" s="3"/>
      <c r="D27" s="3"/>
    </row>
    <row r="28" spans="1:28" ht="15" customHeight="1">
      <c r="A28" s="100" t="s">
        <v>55</v>
      </c>
      <c r="B28" s="101"/>
      <c r="C28" s="6" t="s">
        <v>26</v>
      </c>
      <c r="D28" s="27"/>
      <c r="E28" s="69"/>
      <c r="F28" s="70"/>
      <c r="G28" s="71" t="s">
        <v>27</v>
      </c>
      <c r="H28" s="70"/>
      <c r="I28" s="70"/>
      <c r="J28" s="70"/>
      <c r="K28" s="70"/>
      <c r="L28" s="70"/>
      <c r="M28" s="70"/>
      <c r="N28" s="70"/>
      <c r="O28" s="70"/>
      <c r="P28" s="70"/>
      <c r="Q28" s="70"/>
      <c r="R28" s="70"/>
      <c r="S28" s="70"/>
      <c r="T28" s="71" t="s">
        <v>27</v>
      </c>
      <c r="U28" s="70"/>
      <c r="V28" s="71"/>
      <c r="W28" s="70"/>
      <c r="X28" s="70"/>
      <c r="Y28" s="70"/>
      <c r="Z28" s="70"/>
      <c r="AA28" s="70"/>
      <c r="AB28" s="72"/>
    </row>
    <row r="29" spans="1:28" ht="15" customHeight="1">
      <c r="A29" s="222" t="s">
        <v>28</v>
      </c>
      <c r="B29" s="223"/>
      <c r="C29" s="6" t="s">
        <v>39</v>
      </c>
      <c r="D29" s="73"/>
      <c r="E29" s="74" t="s">
        <v>31</v>
      </c>
      <c r="F29" s="74" t="s">
        <v>31</v>
      </c>
      <c r="G29" s="74" t="s">
        <v>31</v>
      </c>
      <c r="H29" s="74" t="s">
        <v>31</v>
      </c>
      <c r="I29" s="74" t="s">
        <v>31</v>
      </c>
      <c r="J29" s="74" t="s">
        <v>31</v>
      </c>
      <c r="K29" s="74" t="s">
        <v>31</v>
      </c>
      <c r="L29" s="74" t="s">
        <v>31</v>
      </c>
      <c r="M29" s="74" t="s">
        <v>31</v>
      </c>
      <c r="N29" s="74" t="s">
        <v>31</v>
      </c>
      <c r="O29" s="74" t="s">
        <v>31</v>
      </c>
      <c r="P29" s="74" t="s">
        <v>31</v>
      </c>
      <c r="Q29" s="74" t="s">
        <v>31</v>
      </c>
      <c r="R29" s="74" t="s">
        <v>31</v>
      </c>
      <c r="S29" s="74" t="s">
        <v>31</v>
      </c>
      <c r="T29" s="74" t="s">
        <v>31</v>
      </c>
      <c r="U29" s="74" t="s">
        <v>31</v>
      </c>
      <c r="V29" s="74" t="s">
        <v>31</v>
      </c>
      <c r="W29" s="74" t="s">
        <v>31</v>
      </c>
      <c r="X29" s="74" t="s">
        <v>31</v>
      </c>
      <c r="Y29" s="74" t="s">
        <v>31</v>
      </c>
      <c r="Z29" s="74" t="s">
        <v>31</v>
      </c>
      <c r="AA29" s="74" t="s">
        <v>31</v>
      </c>
      <c r="AB29" s="74" t="s">
        <v>31</v>
      </c>
    </row>
    <row r="30" spans="1:28" ht="15" customHeight="1">
      <c r="A30" s="222" t="s">
        <v>32</v>
      </c>
      <c r="B30" s="223"/>
      <c r="C30" s="6" t="s">
        <v>42</v>
      </c>
      <c r="D30" s="73"/>
      <c r="E30" s="112">
        <v>3</v>
      </c>
      <c r="F30" s="112">
        <v>3</v>
      </c>
      <c r="G30" s="112">
        <v>3</v>
      </c>
      <c r="H30" s="74" t="s">
        <v>31</v>
      </c>
      <c r="I30" s="74" t="s">
        <v>31</v>
      </c>
      <c r="J30" s="74" t="s">
        <v>31</v>
      </c>
      <c r="K30" s="74" t="s">
        <v>31</v>
      </c>
      <c r="L30" s="74" t="s">
        <v>31</v>
      </c>
      <c r="M30" s="74" t="s">
        <v>31</v>
      </c>
      <c r="N30" s="112">
        <v>3</v>
      </c>
      <c r="O30" s="112">
        <v>3</v>
      </c>
      <c r="P30" s="112">
        <v>3</v>
      </c>
      <c r="Q30" s="112">
        <v>3</v>
      </c>
      <c r="R30" s="112">
        <v>3</v>
      </c>
      <c r="S30" s="112">
        <v>3</v>
      </c>
      <c r="T30" s="112">
        <v>3</v>
      </c>
      <c r="U30" s="112">
        <v>3</v>
      </c>
      <c r="V30" s="112">
        <v>3</v>
      </c>
      <c r="W30" s="112">
        <v>3</v>
      </c>
      <c r="X30" s="112">
        <v>3</v>
      </c>
      <c r="Y30" s="112">
        <v>3</v>
      </c>
      <c r="Z30" s="74" t="s">
        <v>31</v>
      </c>
      <c r="AA30" s="74" t="s">
        <v>31</v>
      </c>
      <c r="AB30" s="74" t="s">
        <v>31</v>
      </c>
    </row>
    <row r="31" spans="1:28" ht="15" customHeight="1">
      <c r="A31" s="227" t="s">
        <v>33</v>
      </c>
      <c r="B31" s="228"/>
      <c r="C31" s="6" t="s">
        <v>29</v>
      </c>
      <c r="D31" s="76"/>
      <c r="E31" s="112">
        <v>2</v>
      </c>
      <c r="F31" s="112">
        <v>2</v>
      </c>
      <c r="G31" s="112">
        <v>2</v>
      </c>
      <c r="H31" s="112">
        <v>3</v>
      </c>
      <c r="I31" s="112">
        <v>3</v>
      </c>
      <c r="J31" s="112">
        <v>3</v>
      </c>
      <c r="K31" s="112">
        <v>3</v>
      </c>
      <c r="L31" s="112">
        <v>3</v>
      </c>
      <c r="M31" s="112">
        <v>3</v>
      </c>
      <c r="N31" s="112">
        <v>2</v>
      </c>
      <c r="O31" s="112">
        <v>2</v>
      </c>
      <c r="P31" s="112">
        <v>2</v>
      </c>
      <c r="Q31" s="112">
        <v>2</v>
      </c>
      <c r="R31" s="112">
        <v>2</v>
      </c>
      <c r="S31" s="112">
        <v>2</v>
      </c>
      <c r="T31" s="112">
        <v>2</v>
      </c>
      <c r="U31" s="112">
        <v>2</v>
      </c>
      <c r="V31" s="112">
        <v>2</v>
      </c>
      <c r="W31" s="112">
        <v>2</v>
      </c>
      <c r="X31" s="112">
        <v>2</v>
      </c>
      <c r="Y31" s="112">
        <v>2</v>
      </c>
      <c r="Z31" s="112">
        <v>3</v>
      </c>
      <c r="AA31" s="112">
        <v>3</v>
      </c>
      <c r="AB31" s="112">
        <v>3</v>
      </c>
    </row>
    <row r="33" spans="1:1">
      <c r="A33" s="89"/>
    </row>
    <row r="34" spans="1:1">
      <c r="A34" s="26"/>
    </row>
    <row r="35" spans="1:1">
      <c r="A35" s="3"/>
    </row>
  </sheetData>
  <mergeCells count="3">
    <mergeCell ref="A29:B29"/>
    <mergeCell ref="A30:B30"/>
    <mergeCell ref="A31:B31"/>
  </mergeCells>
  <conditionalFormatting sqref="E7:AB24">
    <cfRule type="cellIs" dxfId="5" priority="1" stopIfTrue="1" operator="lessThan">
      <formula>#REF!</formula>
    </cfRule>
    <cfRule type="cellIs" dxfId="4" priority="3" operator="lessThan">
      <formula>#REF!</formula>
    </cfRule>
    <cfRule type="cellIs" dxfId="3" priority="5" stopIfTrue="1" operator="lessThan">
      <formula>#REF!</formula>
    </cfRule>
    <cfRule type="cellIs" dxfId="2" priority="6" operator="lessThan">
      <formula>#REF!</formula>
    </cfRule>
  </conditionalFormatting>
  <conditionalFormatting sqref="E8:AB24">
    <cfRule type="cellIs" dxfId="1" priority="12" stopIfTrue="1" operator="lessThan">
      <formula>#REF!</formula>
    </cfRule>
    <cfRule type="cellIs" dxfId="0" priority="13" operator="lessThan">
      <formula>#REF!</formula>
    </cfRule>
  </conditionalFormatting>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E7ECA-BA08-485D-BA76-ABEAA8344C57}">
  <sheetPr>
    <pageSetUpPr fitToPage="1"/>
  </sheetPr>
  <dimension ref="B1:P254"/>
  <sheetViews>
    <sheetView showGridLines="0" zoomScaleNormal="100" zoomScaleSheetLayoutView="145" workbookViewId="0">
      <pane ySplit="3" topLeftCell="A4" activePane="bottomLeft" state="frozen"/>
      <selection pane="bottomLeft" activeCell="A4" sqref="A4"/>
      <selection activeCell="A4" sqref="A4"/>
    </sheetView>
  </sheetViews>
  <sheetFormatPr defaultColWidth="10.5703125" defaultRowHeight="15"/>
  <cols>
    <col min="1" max="1" width="2.85546875" style="7" customWidth="1"/>
    <col min="2" max="9" width="10.5703125" style="7"/>
    <col min="10" max="12" width="10.5703125" style="7" customWidth="1"/>
    <col min="13" max="13" width="10.5703125" style="7"/>
    <col min="14" max="14" width="10.5703125" style="7" customWidth="1"/>
    <col min="15" max="15" width="10.5703125" style="7"/>
    <col min="16" max="16" width="10.5703125" style="7" customWidth="1"/>
    <col min="17" max="16384" width="10.5703125" style="7"/>
  </cols>
  <sheetData>
    <row r="1" spans="2:4" ht="15" customHeight="1"/>
    <row r="2" spans="2:4" s="8" customFormat="1" ht="27" customHeight="1">
      <c r="B2" s="139" t="s">
        <v>221</v>
      </c>
      <c r="C2" s="46"/>
      <c r="D2" s="46"/>
    </row>
    <row r="3" spans="2:4" ht="15" customHeight="1">
      <c r="B3" s="9"/>
      <c r="C3" s="9"/>
      <c r="D3" s="9"/>
    </row>
    <row r="4" spans="2:4" ht="18.75">
      <c r="B4" s="19" t="s">
        <v>222</v>
      </c>
      <c r="C4" s="9"/>
      <c r="D4" s="9"/>
    </row>
    <row r="5" spans="2:4" s="10" customFormat="1" ht="12">
      <c r="B5" s="10" t="s">
        <v>223</v>
      </c>
    </row>
    <row r="6" spans="2:4" s="10" customFormat="1" ht="12">
      <c r="B6" s="10" t="s">
        <v>224</v>
      </c>
    </row>
    <row r="7" spans="2:4" s="10" customFormat="1" ht="12">
      <c r="B7" s="10" t="s">
        <v>225</v>
      </c>
    </row>
    <row r="8" spans="2:4" s="10" customFormat="1" ht="12">
      <c r="B8" s="10" t="s">
        <v>226</v>
      </c>
    </row>
    <row r="9" spans="2:4" s="10" customFormat="1" ht="12">
      <c r="B9" s="10" t="s">
        <v>227</v>
      </c>
    </row>
    <row r="10" spans="2:4" s="10" customFormat="1" ht="12">
      <c r="B10" s="10" t="s">
        <v>228</v>
      </c>
    </row>
    <row r="11" spans="2:4" s="10" customFormat="1" ht="15" customHeight="1"/>
    <row r="12" spans="2:4" s="10" customFormat="1" ht="12">
      <c r="B12" s="19" t="s">
        <v>229</v>
      </c>
    </row>
    <row r="13" spans="2:4" s="10" customFormat="1" ht="12">
      <c r="B13" s="10" t="s">
        <v>230</v>
      </c>
    </row>
    <row r="14" spans="2:4" s="10" customFormat="1" ht="12">
      <c r="B14" s="10" t="s">
        <v>231</v>
      </c>
    </row>
    <row r="15" spans="2:4" s="10" customFormat="1" ht="12">
      <c r="B15" s="10" t="s">
        <v>232</v>
      </c>
    </row>
    <row r="16" spans="2:4" s="10" customFormat="1" ht="12">
      <c r="B16" s="10" t="s">
        <v>233</v>
      </c>
    </row>
    <row r="17" spans="2:2" s="10" customFormat="1" ht="12">
      <c r="B17" s="10" t="s">
        <v>234</v>
      </c>
    </row>
    <row r="18" spans="2:2" s="10" customFormat="1" ht="15" customHeight="1"/>
    <row r="19" spans="2:2" s="10" customFormat="1" ht="12">
      <c r="B19" s="19" t="s">
        <v>235</v>
      </c>
    </row>
    <row r="20" spans="2:2" s="10" customFormat="1" ht="12">
      <c r="B20" s="10" t="s">
        <v>236</v>
      </c>
    </row>
    <row r="21" spans="2:2" s="10" customFormat="1" ht="12">
      <c r="B21" s="10" t="s">
        <v>237</v>
      </c>
    </row>
    <row r="22" spans="2:2" s="10" customFormat="1" ht="15" customHeight="1"/>
    <row r="23" spans="2:2" s="10" customFormat="1" ht="12">
      <c r="B23" s="19" t="s">
        <v>238</v>
      </c>
    </row>
    <row r="24" spans="2:2" s="10" customFormat="1" ht="12">
      <c r="B24" s="10" t="s">
        <v>239</v>
      </c>
    </row>
    <row r="25" spans="2:2" s="10" customFormat="1" ht="12">
      <c r="B25" s="10" t="s">
        <v>240</v>
      </c>
    </row>
    <row r="26" spans="2:2" s="10" customFormat="1" ht="12">
      <c r="B26" s="10" t="s">
        <v>241</v>
      </c>
    </row>
    <row r="27" spans="2:2" s="10" customFormat="1" ht="12">
      <c r="B27" s="10" t="s">
        <v>15</v>
      </c>
    </row>
    <row r="28" spans="2:2" s="10" customFormat="1" ht="12"/>
    <row r="29" spans="2:2" s="10" customFormat="1" ht="12">
      <c r="B29" s="19" t="s">
        <v>242</v>
      </c>
    </row>
    <row r="30" spans="2:2" s="10" customFormat="1" ht="12">
      <c r="B30" s="10" t="s">
        <v>243</v>
      </c>
    </row>
    <row r="31" spans="2:2" s="10" customFormat="1" ht="12">
      <c r="B31" s="10" t="s">
        <v>244</v>
      </c>
    </row>
    <row r="32" spans="2:2" s="10" customFormat="1" ht="12"/>
    <row r="33" spans="2:2" s="10" customFormat="1" ht="12">
      <c r="B33" s="19" t="s">
        <v>245</v>
      </c>
    </row>
    <row r="34" spans="2:2" s="10" customFormat="1" ht="12">
      <c r="B34" s="10" t="s">
        <v>246</v>
      </c>
    </row>
    <row r="35" spans="2:2" s="10" customFormat="1" ht="12">
      <c r="B35" s="10" t="s">
        <v>247</v>
      </c>
    </row>
    <row r="36" spans="2:2" s="10" customFormat="1" ht="12">
      <c r="B36" s="10" t="s">
        <v>248</v>
      </c>
    </row>
    <row r="37" spans="2:2" s="10" customFormat="1" ht="12"/>
    <row r="38" spans="2:2" s="10" customFormat="1" ht="12">
      <c r="B38" s="19" t="s">
        <v>249</v>
      </c>
    </row>
    <row r="39" spans="2:2" s="10" customFormat="1" ht="12">
      <c r="B39" s="10" t="s">
        <v>250</v>
      </c>
    </row>
    <row r="40" spans="2:2" s="10" customFormat="1" ht="12">
      <c r="B40" s="10" t="s">
        <v>251</v>
      </c>
    </row>
    <row r="41" spans="2:2" s="10" customFormat="1" ht="12">
      <c r="B41" s="10" t="s">
        <v>252</v>
      </c>
    </row>
    <row r="42" spans="2:2" s="10" customFormat="1" ht="12">
      <c r="B42" s="10" t="s">
        <v>253</v>
      </c>
    </row>
    <row r="43" spans="2:2" s="10" customFormat="1" ht="12"/>
    <row r="44" spans="2:2" s="10" customFormat="1" ht="12">
      <c r="B44" s="19" t="s">
        <v>254</v>
      </c>
    </row>
    <row r="45" spans="2:2" s="10" customFormat="1" ht="12">
      <c r="B45" s="10" t="s">
        <v>255</v>
      </c>
    </row>
    <row r="46" spans="2:2" s="10" customFormat="1" ht="12">
      <c r="B46" s="10" t="s">
        <v>256</v>
      </c>
    </row>
    <row r="47" spans="2:2" s="10" customFormat="1" ht="12">
      <c r="B47" s="10" t="s">
        <v>257</v>
      </c>
    </row>
    <row r="48" spans="2:2" s="10" customFormat="1" ht="12">
      <c r="B48" s="10" t="s">
        <v>258</v>
      </c>
    </row>
    <row r="49" spans="2:7" s="10" customFormat="1" ht="12">
      <c r="B49" s="15" t="s">
        <v>259</v>
      </c>
    </row>
    <row r="50" spans="2:7" s="10" customFormat="1" ht="12">
      <c r="B50" s="10" t="s">
        <v>260</v>
      </c>
    </row>
    <row r="51" spans="2:7" s="10" customFormat="1" ht="12">
      <c r="B51" s="10" t="s">
        <v>261</v>
      </c>
    </row>
    <row r="52" spans="2:7" s="10" customFormat="1" ht="12"/>
    <row r="53" spans="2:7" s="10" customFormat="1" ht="12">
      <c r="B53" s="19" t="s">
        <v>262</v>
      </c>
    </row>
    <row r="54" spans="2:7" s="10" customFormat="1" ht="12">
      <c r="B54" s="10" t="s">
        <v>263</v>
      </c>
    </row>
    <row r="55" spans="2:7" s="10" customFormat="1" ht="12">
      <c r="B55" s="10" t="s">
        <v>264</v>
      </c>
    </row>
    <row r="56" spans="2:7" s="10" customFormat="1" ht="12"/>
    <row r="57" spans="2:7" s="10" customFormat="1" ht="12">
      <c r="B57" s="19" t="s">
        <v>265</v>
      </c>
    </row>
    <row r="58" spans="2:7" s="10" customFormat="1" ht="12">
      <c r="B58" s="10" t="s">
        <v>266</v>
      </c>
    </row>
    <row r="59" spans="2:7" s="10" customFormat="1" ht="12">
      <c r="B59" s="10" t="s">
        <v>267</v>
      </c>
    </row>
    <row r="60" spans="2:7" s="10" customFormat="1" ht="12">
      <c r="B60" s="10" t="s">
        <v>268</v>
      </c>
    </row>
    <row r="61" spans="2:7" s="10" customFormat="1" ht="12"/>
    <row r="62" spans="2:7" s="10" customFormat="1" ht="12">
      <c r="B62" s="19" t="s">
        <v>269</v>
      </c>
    </row>
    <row r="63" spans="2:7" s="10" customFormat="1" ht="12">
      <c r="B63" s="140" t="s">
        <v>270</v>
      </c>
    </row>
    <row r="64" spans="2:7" s="10" customFormat="1" ht="12">
      <c r="B64" s="10" t="s">
        <v>271</v>
      </c>
      <c r="E64" s="10" t="s">
        <v>272</v>
      </c>
      <c r="G64" s="10" t="s">
        <v>273</v>
      </c>
    </row>
    <row r="65" spans="2:8" s="10" customFormat="1" ht="12">
      <c r="E65" s="10" t="s">
        <v>274</v>
      </c>
      <c r="G65" s="10" t="s">
        <v>275</v>
      </c>
    </row>
    <row r="66" spans="2:8" s="10" customFormat="1" ht="12">
      <c r="E66" s="14" t="s">
        <v>276</v>
      </c>
      <c r="G66" s="10" t="s">
        <v>277</v>
      </c>
    </row>
    <row r="67" spans="2:8" s="10" customFormat="1" ht="12">
      <c r="E67" s="10" t="s">
        <v>278</v>
      </c>
      <c r="G67" s="10" t="s">
        <v>279</v>
      </c>
    </row>
    <row r="68" spans="2:8" s="10" customFormat="1" ht="12"/>
    <row r="69" spans="2:8" s="10" customFormat="1" ht="12">
      <c r="B69" s="10" t="s">
        <v>280</v>
      </c>
      <c r="E69" s="10" t="s">
        <v>272</v>
      </c>
      <c r="G69" s="10" t="s">
        <v>273</v>
      </c>
    </row>
    <row r="70" spans="2:8" s="10" customFormat="1" ht="12">
      <c r="E70" s="10" t="s">
        <v>274</v>
      </c>
      <c r="G70" s="10" t="s">
        <v>275</v>
      </c>
    </row>
    <row r="71" spans="2:8" s="10" customFormat="1" ht="12">
      <c r="E71" s="14" t="s">
        <v>276</v>
      </c>
      <c r="G71" s="10" t="s">
        <v>277</v>
      </c>
    </row>
    <row r="72" spans="2:8" s="10" customFormat="1" ht="12">
      <c r="E72" s="10" t="s">
        <v>278</v>
      </c>
      <c r="G72" s="10" t="s">
        <v>279</v>
      </c>
    </row>
    <row r="73" spans="2:8" s="10" customFormat="1" ht="12"/>
    <row r="74" spans="2:8" s="10" customFormat="1" ht="12">
      <c r="B74" s="140" t="s">
        <v>281</v>
      </c>
    </row>
    <row r="75" spans="2:8" s="10" customFormat="1" ht="12">
      <c r="B75" s="15" t="s">
        <v>282</v>
      </c>
      <c r="C75" s="15"/>
      <c r="D75" s="15"/>
      <c r="E75" s="15" t="s">
        <v>272</v>
      </c>
      <c r="F75" s="15"/>
      <c r="G75" s="15" t="s">
        <v>273</v>
      </c>
      <c r="H75" s="15"/>
    </row>
    <row r="76" spans="2:8" s="10" customFormat="1" ht="12">
      <c r="B76" s="15"/>
      <c r="C76" s="15"/>
      <c r="D76" s="15"/>
      <c r="E76" s="15" t="s">
        <v>283</v>
      </c>
      <c r="F76" s="15"/>
      <c r="G76" s="15" t="s">
        <v>279</v>
      </c>
      <c r="H76" s="15"/>
    </row>
    <row r="77" spans="2:8" s="10" customFormat="1" ht="12">
      <c r="B77" s="15"/>
      <c r="C77" s="15"/>
      <c r="D77" s="15"/>
      <c r="E77" s="16" t="s">
        <v>284</v>
      </c>
      <c r="F77" s="15"/>
      <c r="G77" s="15" t="s">
        <v>285</v>
      </c>
      <c r="H77" s="15"/>
    </row>
    <row r="78" spans="2:8" s="10" customFormat="1" ht="12"/>
    <row r="79" spans="2:8" s="10" customFormat="1" ht="12">
      <c r="B79" s="10" t="s">
        <v>286</v>
      </c>
      <c r="E79" s="10" t="s">
        <v>272</v>
      </c>
      <c r="G79" s="10" t="s">
        <v>275</v>
      </c>
    </row>
    <row r="80" spans="2:8" s="10" customFormat="1" ht="12">
      <c r="E80" s="10" t="s">
        <v>283</v>
      </c>
      <c r="G80" s="10" t="s">
        <v>279</v>
      </c>
    </row>
    <row r="81" spans="2:7" s="10" customFormat="1" ht="12">
      <c r="E81" s="14" t="s">
        <v>284</v>
      </c>
      <c r="G81" s="10" t="s">
        <v>285</v>
      </c>
    </row>
    <row r="82" spans="2:7" s="10" customFormat="1" ht="12">
      <c r="E82" s="14"/>
    </row>
    <row r="83" spans="2:7" s="10" customFormat="1" ht="12">
      <c r="B83" s="10" t="s">
        <v>287</v>
      </c>
    </row>
    <row r="84" spans="2:7" s="10" customFormat="1" ht="12">
      <c r="B84" s="10" t="s">
        <v>288</v>
      </c>
    </row>
    <row r="85" spans="2:7" s="10" customFormat="1" ht="12"/>
    <row r="86" spans="2:7" s="10" customFormat="1" ht="12">
      <c r="B86" s="19" t="s">
        <v>289</v>
      </c>
    </row>
    <row r="87" spans="2:7" s="10" customFormat="1" ht="12">
      <c r="B87" s="10" t="s">
        <v>290</v>
      </c>
    </row>
    <row r="88" spans="2:7" s="10" customFormat="1" ht="12">
      <c r="B88" s="10" t="s">
        <v>291</v>
      </c>
    </row>
    <row r="89" spans="2:7" s="10" customFormat="1" ht="12"/>
    <row r="90" spans="2:7" s="10" customFormat="1" ht="12">
      <c r="B90" s="19" t="s">
        <v>292</v>
      </c>
    </row>
    <row r="91" spans="2:7" s="10" customFormat="1" ht="12">
      <c r="B91" s="10" t="s">
        <v>293</v>
      </c>
      <c r="D91" s="17" t="s">
        <v>294</v>
      </c>
    </row>
    <row r="92" spans="2:7" s="10" customFormat="1" ht="12">
      <c r="B92" s="10" t="s">
        <v>295</v>
      </c>
      <c r="D92" s="17" t="s">
        <v>296</v>
      </c>
    </row>
    <row r="93" spans="2:7" s="10" customFormat="1" ht="12">
      <c r="B93" s="10" t="s">
        <v>297</v>
      </c>
      <c r="D93" s="10" t="s">
        <v>298</v>
      </c>
    </row>
    <row r="94" spans="2:7" s="10" customFormat="1" ht="12">
      <c r="B94" s="10" t="s">
        <v>299</v>
      </c>
      <c r="D94" s="10" t="s">
        <v>300</v>
      </c>
    </row>
    <row r="95" spans="2:7" s="10" customFormat="1" ht="12"/>
    <row r="96" spans="2:7" s="10" customFormat="1" ht="12">
      <c r="B96" s="10" t="s">
        <v>301</v>
      </c>
    </row>
    <row r="97" spans="2:16" s="10" customFormat="1" ht="12">
      <c r="B97" s="10" t="s">
        <v>302</v>
      </c>
    </row>
    <row r="98" spans="2:16" s="10" customFormat="1" ht="12">
      <c r="B98" s="15" t="s">
        <v>303</v>
      </c>
      <c r="C98" s="56"/>
      <c r="D98" s="56"/>
      <c r="E98" s="56"/>
      <c r="F98" s="56"/>
      <c r="G98" s="56"/>
      <c r="H98" s="56"/>
      <c r="I98" s="56"/>
    </row>
    <row r="99" spans="2:16" s="10" customFormat="1">
      <c r="B99" s="1"/>
    </row>
    <row r="100" spans="2:16" s="10" customFormat="1" ht="12">
      <c r="B100" s="19" t="s">
        <v>304</v>
      </c>
    </row>
    <row r="101" spans="2:16" s="10" customFormat="1" ht="12">
      <c r="B101" s="10" t="s">
        <v>305</v>
      </c>
    </row>
    <row r="102" spans="2:16" s="10" customFormat="1" ht="12">
      <c r="B102" s="10" t="s">
        <v>306</v>
      </c>
    </row>
    <row r="103" spans="2:16" s="10" customFormat="1" ht="12"/>
    <row r="104" spans="2:16" s="10" customFormat="1" ht="12">
      <c r="B104" s="19" t="s">
        <v>307</v>
      </c>
    </row>
    <row r="105" spans="2:16" s="10" customFormat="1" ht="12">
      <c r="B105" s="10" t="s">
        <v>308</v>
      </c>
    </row>
    <row r="106" spans="2:16" s="10" customFormat="1" ht="12">
      <c r="B106" s="10" t="s">
        <v>309</v>
      </c>
    </row>
    <row r="107" spans="2:16" s="10" customFormat="1" ht="12">
      <c r="B107" s="10" t="s">
        <v>310</v>
      </c>
    </row>
    <row r="108" spans="2:16" s="10" customFormat="1" ht="12"/>
    <row r="109" spans="2:16" s="10" customFormat="1" ht="12">
      <c r="B109" s="19" t="s">
        <v>311</v>
      </c>
    </row>
    <row r="110" spans="2:16" s="10" customFormat="1" ht="12">
      <c r="B110" s="10" t="s">
        <v>312</v>
      </c>
    </row>
    <row r="111" spans="2:16" s="10" customFormat="1" ht="12">
      <c r="B111" s="10" t="s">
        <v>313</v>
      </c>
      <c r="P111" s="10" t="s">
        <v>314</v>
      </c>
    </row>
    <row r="112" spans="2:16" s="10" customFormat="1" ht="12">
      <c r="B112" s="10" t="s">
        <v>315</v>
      </c>
    </row>
    <row r="113" spans="2:2" s="10" customFormat="1" ht="12">
      <c r="B113" s="10" t="s">
        <v>316</v>
      </c>
    </row>
    <row r="114" spans="2:2" s="18" customFormat="1" ht="12">
      <c r="B114" s="141" t="s">
        <v>317</v>
      </c>
    </row>
    <row r="115" spans="2:2" s="18" customFormat="1" ht="12">
      <c r="B115" s="141" t="s">
        <v>318</v>
      </c>
    </row>
    <row r="116" spans="2:2" s="18" customFormat="1" ht="12">
      <c r="B116" s="141" t="s">
        <v>319</v>
      </c>
    </row>
    <row r="117" spans="2:2" s="18" customFormat="1" ht="12">
      <c r="B117" s="141" t="s">
        <v>320</v>
      </c>
    </row>
    <row r="118" spans="2:2" s="18" customFormat="1" ht="12">
      <c r="B118" s="141" t="s">
        <v>321</v>
      </c>
    </row>
    <row r="119" spans="2:2" s="10" customFormat="1" ht="12">
      <c r="B119" s="10" t="s">
        <v>322</v>
      </c>
    </row>
    <row r="120" spans="2:2" s="10" customFormat="1" ht="12">
      <c r="B120" s="10" t="s">
        <v>323</v>
      </c>
    </row>
    <row r="121" spans="2:2" s="10" customFormat="1" ht="12"/>
    <row r="122" spans="2:2" s="10" customFormat="1" ht="12">
      <c r="B122" s="19" t="s">
        <v>324</v>
      </c>
    </row>
    <row r="123" spans="2:2" s="10" customFormat="1" ht="12">
      <c r="B123" s="10" t="s">
        <v>325</v>
      </c>
    </row>
    <row r="124" spans="2:2" s="10" customFormat="1" ht="12">
      <c r="B124" s="10" t="s">
        <v>326</v>
      </c>
    </row>
    <row r="125" spans="2:2" s="10" customFormat="1" ht="12"/>
    <row r="126" spans="2:2" s="10" customFormat="1" ht="12">
      <c r="B126" s="19" t="s">
        <v>327</v>
      </c>
    </row>
    <row r="127" spans="2:2" s="10" customFormat="1" ht="12">
      <c r="B127" s="10" t="s">
        <v>328</v>
      </c>
    </row>
    <row r="128" spans="2:2" s="10" customFormat="1" ht="12">
      <c r="B128" s="10" t="s">
        <v>329</v>
      </c>
    </row>
    <row r="129" spans="2:14" s="10" customFormat="1" ht="12"/>
    <row r="130" spans="2:14" s="10" customFormat="1" ht="12">
      <c r="B130" s="19" t="s">
        <v>330</v>
      </c>
    </row>
    <row r="131" spans="2:14" s="10" customFormat="1" ht="12">
      <c r="B131" s="10" t="s">
        <v>331</v>
      </c>
    </row>
    <row r="132" spans="2:14" s="10" customFormat="1" ht="12">
      <c r="B132" s="10" t="s">
        <v>332</v>
      </c>
    </row>
    <row r="133" spans="2:14" s="10" customFormat="1" ht="12"/>
    <row r="134" spans="2:14" s="10" customFormat="1" ht="12">
      <c r="B134" s="19" t="s">
        <v>333</v>
      </c>
    </row>
    <row r="135" spans="2:14" s="10" customFormat="1" ht="12">
      <c r="B135" s="10" t="s">
        <v>334</v>
      </c>
    </row>
    <row r="136" spans="2:14" s="10" customFormat="1" ht="12">
      <c r="B136" s="10" t="s">
        <v>335</v>
      </c>
    </row>
    <row r="137" spans="2:14" s="10" customFormat="1" ht="12">
      <c r="B137" s="10" t="s">
        <v>336</v>
      </c>
    </row>
    <row r="138" spans="2:14" s="10" customFormat="1" ht="12"/>
    <row r="139" spans="2:14" s="10" customFormat="1" ht="12">
      <c r="B139" s="19" t="s">
        <v>337</v>
      </c>
    </row>
    <row r="140" spans="2:14" s="10" customFormat="1" ht="12">
      <c r="B140" s="10" t="s">
        <v>338</v>
      </c>
    </row>
    <row r="141" spans="2:14" s="10" customFormat="1" ht="12">
      <c r="B141" s="10" t="s">
        <v>339</v>
      </c>
      <c r="N141" s="19"/>
    </row>
    <row r="142" spans="2:14" s="10" customFormat="1" ht="12">
      <c r="N142" s="19"/>
    </row>
    <row r="143" spans="2:14" s="10" customFormat="1" ht="12">
      <c r="B143" s="19" t="s">
        <v>340</v>
      </c>
    </row>
    <row r="144" spans="2:14" s="10" customFormat="1" ht="12">
      <c r="B144" s="10" t="s">
        <v>341</v>
      </c>
    </row>
    <row r="145" spans="2:2" s="10" customFormat="1" ht="12">
      <c r="B145" s="10" t="s">
        <v>342</v>
      </c>
    </row>
    <row r="146" spans="2:2" s="10" customFormat="1" ht="12">
      <c r="B146" s="10" t="s">
        <v>343</v>
      </c>
    </row>
    <row r="147" spans="2:2" s="10" customFormat="1" ht="12">
      <c r="B147" s="10" t="s">
        <v>344</v>
      </c>
    </row>
    <row r="148" spans="2:2" s="10" customFormat="1" ht="12">
      <c r="B148" s="10" t="s">
        <v>345</v>
      </c>
    </row>
    <row r="149" spans="2:2" s="10" customFormat="1" ht="12"/>
    <row r="150" spans="2:2" s="10" customFormat="1" ht="12">
      <c r="B150" s="19" t="s">
        <v>346</v>
      </c>
    </row>
    <row r="151" spans="2:2" s="10" customFormat="1" ht="12">
      <c r="B151" s="10" t="s">
        <v>347</v>
      </c>
    </row>
    <row r="152" spans="2:2" s="10" customFormat="1" ht="12">
      <c r="B152" s="10" t="s">
        <v>348</v>
      </c>
    </row>
    <row r="153" spans="2:2" s="10" customFormat="1" ht="12">
      <c r="B153" s="10" t="s">
        <v>349</v>
      </c>
    </row>
    <row r="154" spans="2:2" s="10" customFormat="1" ht="12"/>
    <row r="155" spans="2:2" s="10" customFormat="1" ht="12">
      <c r="B155" s="19" t="s">
        <v>350</v>
      </c>
    </row>
    <row r="156" spans="2:2" s="10" customFormat="1" ht="12">
      <c r="B156" s="142" t="s">
        <v>351</v>
      </c>
    </row>
    <row r="157" spans="2:2" s="10" customFormat="1" ht="12">
      <c r="B157" s="142" t="s">
        <v>352</v>
      </c>
    </row>
    <row r="158" spans="2:2" s="10" customFormat="1" ht="12">
      <c r="B158" s="142" t="s">
        <v>353</v>
      </c>
    </row>
    <row r="159" spans="2:2" s="10" customFormat="1" ht="12">
      <c r="B159" s="142" t="s">
        <v>354</v>
      </c>
    </row>
    <row r="160" spans="2:2" s="10" customFormat="1" ht="12">
      <c r="B160" s="142" t="s">
        <v>355</v>
      </c>
    </row>
    <row r="161" spans="2:2" s="10" customFormat="1" ht="12">
      <c r="B161" s="142"/>
    </row>
    <row r="162" spans="2:2" s="10" customFormat="1" ht="12">
      <c r="B162" s="143" t="s">
        <v>356</v>
      </c>
    </row>
    <row r="163" spans="2:2" s="10" customFormat="1" ht="12">
      <c r="B163" s="142" t="s">
        <v>357</v>
      </c>
    </row>
    <row r="164" spans="2:2" s="10" customFormat="1" ht="12">
      <c r="B164" s="142" t="s">
        <v>358</v>
      </c>
    </row>
    <row r="165" spans="2:2" s="10" customFormat="1" ht="12">
      <c r="B165" s="142" t="s">
        <v>359</v>
      </c>
    </row>
    <row r="166" spans="2:2" s="10" customFormat="1" ht="12">
      <c r="B166" s="142" t="s">
        <v>360</v>
      </c>
    </row>
    <row r="167" spans="2:2" s="10" customFormat="1" ht="12">
      <c r="B167" s="142"/>
    </row>
    <row r="168" spans="2:2" s="10" customFormat="1" ht="12">
      <c r="B168" s="143" t="s">
        <v>361</v>
      </c>
    </row>
    <row r="169" spans="2:2" s="10" customFormat="1" ht="12">
      <c r="B169" s="142" t="s">
        <v>362</v>
      </c>
    </row>
    <row r="170" spans="2:2" s="10" customFormat="1" ht="12">
      <c r="B170" s="142" t="s">
        <v>363</v>
      </c>
    </row>
    <row r="171" spans="2:2" s="10" customFormat="1" ht="12">
      <c r="B171" s="142" t="s">
        <v>364</v>
      </c>
    </row>
    <row r="172" spans="2:2" s="10" customFormat="1" ht="12">
      <c r="B172" s="142"/>
    </row>
    <row r="173" spans="2:2" s="10" customFormat="1" ht="12">
      <c r="B173" s="143" t="s">
        <v>365</v>
      </c>
    </row>
    <row r="174" spans="2:2" s="10" customFormat="1" ht="12">
      <c r="B174" s="142" t="s">
        <v>366</v>
      </c>
    </row>
    <row r="175" spans="2:2" s="10" customFormat="1" ht="12">
      <c r="B175" s="142"/>
    </row>
    <row r="176" spans="2:2" s="10" customFormat="1" ht="12">
      <c r="B176" s="19" t="s">
        <v>367</v>
      </c>
    </row>
    <row r="177" spans="2:5" s="10" customFormat="1" ht="12">
      <c r="B177" s="10" t="s">
        <v>368</v>
      </c>
    </row>
    <row r="178" spans="2:5" s="10" customFormat="1" ht="12">
      <c r="B178" s="10" t="s">
        <v>369</v>
      </c>
    </row>
    <row r="179" spans="2:5" s="10" customFormat="1" ht="12">
      <c r="B179" s="10" t="s">
        <v>370</v>
      </c>
    </row>
    <row r="180" spans="2:5" s="10" customFormat="1" ht="12">
      <c r="B180" s="10" t="s">
        <v>371</v>
      </c>
    </row>
    <row r="181" spans="2:5" s="10" customFormat="1" ht="12">
      <c r="B181" s="15" t="s">
        <v>372</v>
      </c>
    </row>
    <row r="182" spans="2:5" s="10" customFormat="1" ht="12">
      <c r="B182" s="10" t="s">
        <v>373</v>
      </c>
    </row>
    <row r="183" spans="2:5" s="10" customFormat="1" ht="12">
      <c r="B183" s="10" t="s">
        <v>374</v>
      </c>
    </row>
    <row r="184" spans="2:5" s="10" customFormat="1" ht="12">
      <c r="B184" s="10" t="s">
        <v>375</v>
      </c>
    </row>
    <row r="185" spans="2:5" s="10" customFormat="1" ht="12"/>
    <row r="186" spans="2:5" s="10" customFormat="1" ht="12">
      <c r="B186" s="19" t="s">
        <v>376</v>
      </c>
      <c r="C186" s="19"/>
      <c r="D186" s="19"/>
      <c r="E186" s="19"/>
    </row>
    <row r="187" spans="2:5" s="10" customFormat="1" ht="12">
      <c r="B187" s="10" t="s">
        <v>377</v>
      </c>
    </row>
    <row r="188" spans="2:5" s="10" customFormat="1" ht="12"/>
    <row r="189" spans="2:5" s="10" customFormat="1" ht="12">
      <c r="B189" s="19" t="s">
        <v>378</v>
      </c>
    </row>
    <row r="190" spans="2:5" s="10" customFormat="1" ht="12">
      <c r="B190" s="10" t="s">
        <v>379</v>
      </c>
    </row>
    <row r="191" spans="2:5" s="10" customFormat="1" ht="12">
      <c r="B191" s="10" t="s">
        <v>380</v>
      </c>
    </row>
    <row r="192" spans="2:5" s="10" customFormat="1" ht="12">
      <c r="B192" s="10" t="s">
        <v>381</v>
      </c>
    </row>
    <row r="193" spans="2:7" s="10" customFormat="1" ht="12">
      <c r="B193" s="10" t="s">
        <v>382</v>
      </c>
    </row>
    <row r="194" spans="2:7" s="10" customFormat="1" ht="12">
      <c r="G194" s="10" t="s">
        <v>383</v>
      </c>
    </row>
    <row r="195" spans="2:7" s="10" customFormat="1" ht="12">
      <c r="B195" s="19" t="s">
        <v>254</v>
      </c>
    </row>
    <row r="196" spans="2:7" s="10" customFormat="1" ht="12">
      <c r="B196" s="10" t="s">
        <v>384</v>
      </c>
    </row>
    <row r="197" spans="2:7" s="10" customFormat="1" ht="12">
      <c r="B197" s="10" t="s">
        <v>385</v>
      </c>
    </row>
    <row r="198" spans="2:7" s="10" customFormat="1" ht="12"/>
    <row r="199" spans="2:7" s="10" customFormat="1" ht="12">
      <c r="B199" s="19" t="s">
        <v>386</v>
      </c>
    </row>
    <row r="200" spans="2:7" s="10" customFormat="1" ht="12">
      <c r="B200" s="10" t="s">
        <v>387</v>
      </c>
    </row>
    <row r="201" spans="2:7" s="10" customFormat="1" ht="12">
      <c r="B201" s="10" t="s">
        <v>388</v>
      </c>
    </row>
    <row r="202" spans="2:7" s="10" customFormat="1" ht="12">
      <c r="B202" s="10" t="s">
        <v>389</v>
      </c>
    </row>
    <row r="203" spans="2:7" s="10" customFormat="1" ht="12">
      <c r="B203" s="10" t="s">
        <v>390</v>
      </c>
    </row>
    <row r="204" spans="2:7" s="10" customFormat="1" ht="12"/>
    <row r="205" spans="2:7" s="10" customFormat="1" ht="12">
      <c r="B205" s="19" t="s">
        <v>391</v>
      </c>
    </row>
    <row r="206" spans="2:7" s="10" customFormat="1" ht="12">
      <c r="B206" s="10" t="s">
        <v>392</v>
      </c>
    </row>
    <row r="207" spans="2:7" s="10" customFormat="1" ht="12">
      <c r="B207" s="10" t="s">
        <v>393</v>
      </c>
    </row>
    <row r="208" spans="2:7" s="10" customFormat="1" ht="12">
      <c r="B208" s="10" t="s">
        <v>394</v>
      </c>
    </row>
    <row r="209" spans="2:2" s="10" customFormat="1" ht="12"/>
    <row r="210" spans="2:2" s="10" customFormat="1" ht="12">
      <c r="B210" s="19" t="s">
        <v>395</v>
      </c>
    </row>
    <row r="211" spans="2:2" s="10" customFormat="1" ht="12">
      <c r="B211" s="10" t="s">
        <v>396</v>
      </c>
    </row>
    <row r="212" spans="2:2" s="10" customFormat="1" ht="12"/>
    <row r="213" spans="2:2" s="10" customFormat="1" ht="12">
      <c r="B213" s="19" t="s">
        <v>397</v>
      </c>
    </row>
    <row r="214" spans="2:2" s="10" customFormat="1" ht="12">
      <c r="B214" s="10" t="s">
        <v>398</v>
      </c>
    </row>
    <row r="215" spans="2:2" s="10" customFormat="1" ht="12">
      <c r="B215" s="10" t="s">
        <v>399</v>
      </c>
    </row>
    <row r="216" spans="2:2" s="10" customFormat="1" ht="12">
      <c r="B216" s="10" t="s">
        <v>400</v>
      </c>
    </row>
    <row r="217" spans="2:2" s="10" customFormat="1" ht="12"/>
    <row r="218" spans="2:2" s="10" customFormat="1" ht="12">
      <c r="B218" s="19" t="s">
        <v>401</v>
      </c>
    </row>
    <row r="219" spans="2:2" s="10" customFormat="1" ht="12">
      <c r="B219" s="144" t="s">
        <v>402</v>
      </c>
    </row>
    <row r="220" spans="2:2" s="10" customFormat="1" ht="12">
      <c r="B220" s="14" t="s">
        <v>403</v>
      </c>
    </row>
    <row r="221" spans="2:2" s="10" customFormat="1" ht="12">
      <c r="B221" s="10" t="s">
        <v>404</v>
      </c>
    </row>
    <row r="222" spans="2:2" s="10" customFormat="1" ht="7.5" customHeight="1"/>
    <row r="223" spans="2:2" s="53" customFormat="1" ht="12">
      <c r="B223" s="145" t="s">
        <v>405</v>
      </c>
    </row>
    <row r="224" spans="2:2" s="53" customFormat="1" ht="12">
      <c r="B224" s="146" t="s">
        <v>406</v>
      </c>
    </row>
    <row r="225" spans="2:2" s="53" customFormat="1" ht="12">
      <c r="B225" s="146" t="s">
        <v>407</v>
      </c>
    </row>
    <row r="226" spans="2:2" s="53" customFormat="1" ht="12">
      <c r="B226" s="53" t="s">
        <v>408</v>
      </c>
    </row>
    <row r="227" spans="2:2" s="53" customFormat="1" ht="12"/>
    <row r="228" spans="2:2" s="53" customFormat="1" ht="12">
      <c r="B228" s="145" t="s">
        <v>409</v>
      </c>
    </row>
    <row r="229" spans="2:2" s="53" customFormat="1" ht="12">
      <c r="B229" s="53" t="s">
        <v>410</v>
      </c>
    </row>
    <row r="230" spans="2:2" s="53" customFormat="1" ht="12">
      <c r="B230" s="53" t="s">
        <v>411</v>
      </c>
    </row>
    <row r="231" spans="2:2" s="53" customFormat="1" ht="12"/>
    <row r="232" spans="2:2" s="53" customFormat="1" ht="12">
      <c r="B232" s="145" t="s">
        <v>412</v>
      </c>
    </row>
    <row r="233" spans="2:2" s="53" customFormat="1" ht="12">
      <c r="B233" s="147" t="s">
        <v>413</v>
      </c>
    </row>
    <row r="234" spans="2:2" s="53" customFormat="1" ht="12">
      <c r="B234" s="146" t="s">
        <v>414</v>
      </c>
    </row>
    <row r="235" spans="2:2" s="53" customFormat="1" ht="12">
      <c r="B235" s="146"/>
    </row>
    <row r="236" spans="2:2" s="53" customFormat="1" ht="12">
      <c r="B236" s="148" t="s">
        <v>415</v>
      </c>
    </row>
    <row r="237" spans="2:2" s="53" customFormat="1" ht="12">
      <c r="B237" s="149" t="s">
        <v>416</v>
      </c>
    </row>
    <row r="238" spans="2:2" s="53" customFormat="1" ht="12">
      <c r="B238" s="146" t="s">
        <v>417</v>
      </c>
    </row>
    <row r="239" spans="2:2" s="53" customFormat="1" ht="12">
      <c r="B239" s="146" t="s">
        <v>418</v>
      </c>
    </row>
    <row r="240" spans="2:2" s="53" customFormat="1" ht="12">
      <c r="B240" s="146" t="s">
        <v>419</v>
      </c>
    </row>
    <row r="241" spans="2:2" s="53" customFormat="1" ht="12">
      <c r="B241" s="146" t="s">
        <v>420</v>
      </c>
    </row>
    <row r="242" spans="2:2" s="53" customFormat="1" ht="12">
      <c r="B242" s="146"/>
    </row>
    <row r="243" spans="2:2" s="53" customFormat="1" ht="12">
      <c r="B243" s="145" t="s">
        <v>421</v>
      </c>
    </row>
    <row r="244" spans="2:2" s="53" customFormat="1" ht="12">
      <c r="B244" s="53" t="s">
        <v>422</v>
      </c>
    </row>
    <row r="245" spans="2:2" s="53" customFormat="1" ht="12">
      <c r="B245" s="53" t="s">
        <v>423</v>
      </c>
    </row>
    <row r="246" spans="2:2" s="53" customFormat="1" ht="12">
      <c r="B246" s="145"/>
    </row>
    <row r="247" spans="2:2" s="53" customFormat="1" ht="12">
      <c r="B247" s="53" t="s">
        <v>424</v>
      </c>
    </row>
    <row r="248" spans="2:2" s="53" customFormat="1" ht="12">
      <c r="B248" s="150" t="s">
        <v>425</v>
      </c>
    </row>
    <row r="249" spans="2:2" s="10" customFormat="1" ht="12"/>
    <row r="254" spans="2:2">
      <c r="B254" s="7" t="s">
        <v>383</v>
      </c>
    </row>
  </sheetData>
  <pageMargins left="0.70866141732283472" right="0.70866141732283472" top="0.74803149606299213" bottom="0.74803149606299213" header="0.31496062992125984" footer="0.31496062992125984"/>
  <pageSetup scale="46" fitToHeight="2" orientation="portrait" verticalDpi="300"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05D7-CF43-4F0D-98BE-0CBB73AE488C}">
  <sheetPr>
    <pageSetUpPr fitToPage="1"/>
  </sheetPr>
  <dimension ref="B1:O126"/>
  <sheetViews>
    <sheetView showGridLines="0" zoomScaleNormal="100" zoomScaleSheetLayoutView="115" workbookViewId="0">
      <pane ySplit="3" topLeftCell="A4" activePane="bottomLeft" state="frozen"/>
      <selection pane="bottomLeft" activeCell="A4" sqref="A4"/>
      <selection activeCell="A4" sqref="A4"/>
    </sheetView>
  </sheetViews>
  <sheetFormatPr defaultColWidth="10.5703125" defaultRowHeight="15"/>
  <cols>
    <col min="1" max="1" width="2.85546875" style="187" customWidth="1"/>
    <col min="2" max="2" width="10.5703125" style="187" customWidth="1"/>
    <col min="3" max="9" width="10.5703125" style="187"/>
    <col min="10" max="10" width="10.5703125" style="188"/>
    <col min="11" max="11" width="10.5703125" style="187" customWidth="1"/>
    <col min="12" max="12" width="11.5703125" style="189" customWidth="1"/>
    <col min="13" max="13" width="10.5703125" style="190" customWidth="1"/>
    <col min="14" max="15" width="10.5703125" style="187" customWidth="1"/>
    <col min="16" max="16384" width="10.5703125" style="187"/>
  </cols>
  <sheetData>
    <row r="1" spans="2:13" s="8" customFormat="1" ht="15" customHeight="1">
      <c r="J1" s="20"/>
      <c r="L1" s="151"/>
      <c r="M1" s="152"/>
    </row>
    <row r="2" spans="2:13" s="8" customFormat="1" ht="27" customHeight="1">
      <c r="B2" s="139" t="s">
        <v>426</v>
      </c>
      <c r="C2" s="46"/>
      <c r="D2" s="46"/>
      <c r="J2" s="20"/>
      <c r="L2" s="153"/>
      <c r="M2" s="154"/>
    </row>
    <row r="3" spans="2:13" s="8" customFormat="1" ht="15" customHeight="1">
      <c r="B3" s="46"/>
      <c r="C3" s="46"/>
      <c r="D3" s="46"/>
      <c r="J3" s="20"/>
      <c r="L3" s="153"/>
      <c r="M3" s="154"/>
    </row>
    <row r="4" spans="2:13" s="21" customFormat="1" ht="9.6" customHeight="1">
      <c r="J4" s="22"/>
      <c r="L4" s="155"/>
      <c r="M4" s="156"/>
    </row>
    <row r="5" spans="2:13" s="21" customFormat="1" ht="12" customHeight="1">
      <c r="B5" s="157" t="s">
        <v>427</v>
      </c>
      <c r="C5" s="28"/>
      <c r="D5" s="28"/>
      <c r="E5" s="28"/>
      <c r="F5" s="28"/>
      <c r="G5" s="28"/>
      <c r="H5" s="28"/>
      <c r="J5" s="22"/>
      <c r="L5" s="155"/>
      <c r="M5" s="156"/>
    </row>
    <row r="6" spans="2:13" s="21" customFormat="1" ht="12" customHeight="1">
      <c r="B6" s="158" t="s">
        <v>428</v>
      </c>
      <c r="C6" s="28"/>
      <c r="D6" s="28"/>
      <c r="E6" s="28"/>
      <c r="F6" s="28"/>
      <c r="G6" s="28"/>
      <c r="H6" s="28"/>
      <c r="J6" s="22"/>
      <c r="L6" s="159" t="s">
        <v>429</v>
      </c>
      <c r="M6" s="156"/>
    </row>
    <row r="7" spans="2:13" s="21" customFormat="1" ht="12" customHeight="1">
      <c r="B7" s="160" t="s">
        <v>430</v>
      </c>
      <c r="C7" s="28"/>
      <c r="D7" s="28"/>
      <c r="E7" s="28"/>
      <c r="F7" s="28"/>
      <c r="G7" s="28"/>
      <c r="H7" s="28"/>
      <c r="J7" s="22"/>
      <c r="L7" s="155"/>
      <c r="M7" s="156"/>
    </row>
    <row r="8" spans="2:13" s="21" customFormat="1" ht="12" customHeight="1">
      <c r="B8" s="158" t="s">
        <v>431</v>
      </c>
      <c r="C8" s="28"/>
      <c r="D8" s="28"/>
      <c r="E8" s="28"/>
      <c r="F8" s="28"/>
      <c r="G8" s="28"/>
      <c r="H8" s="28"/>
      <c r="J8" s="22"/>
      <c r="L8" s="155"/>
      <c r="M8" s="156"/>
    </row>
    <row r="9" spans="2:13" s="21" customFormat="1" ht="12" customHeight="1">
      <c r="B9" s="161"/>
      <c r="J9" s="22"/>
      <c r="L9" s="155"/>
      <c r="M9" s="156"/>
    </row>
    <row r="10" spans="2:13" s="21" customFormat="1" ht="12" customHeight="1">
      <c r="B10" s="161" t="s">
        <v>432</v>
      </c>
      <c r="J10" s="22"/>
      <c r="L10" s="155"/>
      <c r="M10" s="156"/>
    </row>
    <row r="11" spans="2:13" s="21" customFormat="1" ht="12" customHeight="1">
      <c r="B11" s="15" t="s">
        <v>433</v>
      </c>
      <c r="J11" s="29"/>
      <c r="L11" s="29">
        <v>75</v>
      </c>
      <c r="M11" s="156" t="s">
        <v>434</v>
      </c>
    </row>
    <row r="12" spans="2:13" s="21" customFormat="1" ht="12" customHeight="1">
      <c r="B12" s="15" t="s">
        <v>435</v>
      </c>
      <c r="E12" s="15"/>
      <c r="J12" s="29"/>
      <c r="K12" s="15"/>
      <c r="L12" s="29">
        <v>62</v>
      </c>
      <c r="M12" s="162" t="s">
        <v>434</v>
      </c>
    </row>
    <row r="13" spans="2:13" s="21" customFormat="1" ht="12" customHeight="1">
      <c r="B13" s="163" t="s">
        <v>436</v>
      </c>
      <c r="J13" s="29"/>
      <c r="L13" s="29">
        <v>42</v>
      </c>
      <c r="M13" s="156" t="s">
        <v>434</v>
      </c>
    </row>
    <row r="14" spans="2:13" s="21" customFormat="1" ht="12" customHeight="1">
      <c r="B14" s="163" t="s">
        <v>437</v>
      </c>
      <c r="J14" s="29"/>
      <c r="L14" s="29">
        <v>27</v>
      </c>
      <c r="M14" s="156" t="s">
        <v>434</v>
      </c>
    </row>
    <row r="15" spans="2:13" s="21" customFormat="1" ht="12" customHeight="1">
      <c r="B15" s="163"/>
      <c r="J15" s="29"/>
      <c r="L15" s="156"/>
      <c r="M15" s="156"/>
    </row>
    <row r="16" spans="2:13" s="21" customFormat="1" ht="12" customHeight="1">
      <c r="B16" s="163" t="s">
        <v>438</v>
      </c>
      <c r="J16" s="29"/>
      <c r="L16" s="156" t="s">
        <v>439</v>
      </c>
      <c r="M16" s="155"/>
    </row>
    <row r="17" spans="2:13" s="21" customFormat="1" ht="12" customHeight="1">
      <c r="B17" s="21" t="s">
        <v>440</v>
      </c>
      <c r="J17" s="22"/>
      <c r="L17" s="156"/>
      <c r="M17" s="156"/>
    </row>
    <row r="18" spans="2:13" s="21" customFormat="1" ht="12" customHeight="1">
      <c r="J18" s="22"/>
      <c r="L18" s="156"/>
      <c r="M18" s="156"/>
    </row>
    <row r="19" spans="2:13" s="21" customFormat="1" ht="12" customHeight="1">
      <c r="B19" s="161" t="s">
        <v>269</v>
      </c>
      <c r="J19" s="22"/>
      <c r="L19" s="156"/>
      <c r="M19" s="156"/>
    </row>
    <row r="20" spans="2:13" s="149" customFormat="1" ht="12" customHeight="1">
      <c r="B20" s="10" t="s">
        <v>441</v>
      </c>
      <c r="C20" s="10"/>
      <c r="D20" s="10"/>
      <c r="E20" s="10"/>
      <c r="F20" s="10"/>
      <c r="G20" s="10"/>
      <c r="H20" s="10"/>
      <c r="I20" s="10"/>
      <c r="J20" s="164"/>
      <c r="L20" s="164">
        <v>60</v>
      </c>
      <c r="M20" s="165" t="s">
        <v>442</v>
      </c>
    </row>
    <row r="21" spans="2:13" s="149" customFormat="1" ht="12" customHeight="1">
      <c r="B21" s="10" t="s">
        <v>443</v>
      </c>
      <c r="J21" s="164"/>
      <c r="L21" s="164">
        <v>650</v>
      </c>
      <c r="M21" s="165" t="s">
        <v>444</v>
      </c>
    </row>
    <row r="22" spans="2:13" s="149" customFormat="1" ht="12" customHeight="1">
      <c r="B22" s="166" t="s">
        <v>445</v>
      </c>
      <c r="J22" s="164"/>
      <c r="L22" s="164">
        <v>100</v>
      </c>
      <c r="M22" s="165" t="s">
        <v>446</v>
      </c>
    </row>
    <row r="23" spans="2:13" s="21" customFormat="1" ht="12" customHeight="1">
      <c r="B23" s="149"/>
      <c r="J23" s="22"/>
      <c r="L23" s="167"/>
      <c r="M23" s="156"/>
    </row>
    <row r="24" spans="2:13" s="21" customFormat="1" ht="12" customHeight="1">
      <c r="B24" s="161" t="s">
        <v>447</v>
      </c>
      <c r="J24" s="22"/>
      <c r="L24" s="156"/>
      <c r="M24" s="156"/>
    </row>
    <row r="25" spans="2:13" s="21" customFormat="1" ht="12" customHeight="1">
      <c r="B25" s="21" t="s">
        <v>448</v>
      </c>
      <c r="J25" s="22"/>
      <c r="L25" s="156"/>
      <c r="M25" s="156"/>
    </row>
    <row r="26" spans="2:13" s="21" customFormat="1" ht="12" customHeight="1">
      <c r="B26" s="21" t="s">
        <v>449</v>
      </c>
      <c r="J26" s="22"/>
      <c r="L26" s="156"/>
      <c r="M26" s="156"/>
    </row>
    <row r="27" spans="2:13" s="10" customFormat="1" ht="12" customHeight="1">
      <c r="B27" s="10" t="s">
        <v>450</v>
      </c>
      <c r="J27" s="30"/>
      <c r="L27" s="168">
        <v>0.75</v>
      </c>
      <c r="M27" s="169" t="s">
        <v>451</v>
      </c>
    </row>
    <row r="28" spans="2:13" s="10" customFormat="1" ht="12" customHeight="1">
      <c r="B28" s="10" t="s">
        <v>452</v>
      </c>
      <c r="J28" s="30"/>
      <c r="L28" s="168">
        <v>1</v>
      </c>
      <c r="M28" s="169" t="s">
        <v>451</v>
      </c>
    </row>
    <row r="29" spans="2:13" s="21" customFormat="1" ht="12" customHeight="1">
      <c r="J29" s="22"/>
      <c r="L29" s="156"/>
      <c r="M29" s="156"/>
    </row>
    <row r="30" spans="2:13" s="21" customFormat="1" ht="12" customHeight="1">
      <c r="B30" s="161" t="s">
        <v>453</v>
      </c>
      <c r="J30" s="22"/>
      <c r="L30" s="156"/>
      <c r="M30" s="156"/>
    </row>
    <row r="31" spans="2:13" s="21" customFormat="1" ht="12" customHeight="1">
      <c r="B31" s="21" t="s">
        <v>454</v>
      </c>
      <c r="J31" s="22"/>
      <c r="L31" s="22" t="s">
        <v>439</v>
      </c>
      <c r="M31" s="22" t="s">
        <v>455</v>
      </c>
    </row>
    <row r="32" spans="2:13" s="21" customFormat="1" ht="12" customHeight="1">
      <c r="J32" s="22"/>
      <c r="L32" s="22"/>
      <c r="M32" s="22"/>
    </row>
    <row r="33" spans="2:15" s="21" customFormat="1" ht="12" customHeight="1">
      <c r="B33" s="161" t="s">
        <v>456</v>
      </c>
      <c r="J33" s="22"/>
      <c r="L33" s="156"/>
      <c r="M33" s="156"/>
    </row>
    <row r="34" spans="2:15" s="21" customFormat="1" ht="12" customHeight="1">
      <c r="B34" s="21" t="s">
        <v>457</v>
      </c>
      <c r="J34" s="22"/>
      <c r="L34" s="22" t="s">
        <v>439</v>
      </c>
      <c r="M34" s="22" t="s">
        <v>455</v>
      </c>
    </row>
    <row r="35" spans="2:15" s="21" customFormat="1" ht="12" customHeight="1">
      <c r="J35" s="22"/>
      <c r="L35" s="33"/>
      <c r="M35" s="22"/>
    </row>
    <row r="36" spans="2:15" s="21" customFormat="1" ht="12" customHeight="1">
      <c r="B36" s="161" t="s">
        <v>458</v>
      </c>
      <c r="J36" s="22"/>
      <c r="L36" s="33"/>
      <c r="M36" s="22"/>
    </row>
    <row r="37" spans="2:15" s="21" customFormat="1" ht="12" customHeight="1">
      <c r="B37" s="170" t="s">
        <v>459</v>
      </c>
      <c r="C37" s="149"/>
      <c r="D37" s="149"/>
      <c r="E37" s="149"/>
      <c r="F37" s="149"/>
      <c r="G37" s="149"/>
      <c r="H37" s="149"/>
      <c r="I37" s="149"/>
      <c r="J37" s="164"/>
      <c r="K37" s="149"/>
      <c r="L37" s="22" t="s">
        <v>439</v>
      </c>
      <c r="M37" s="22" t="s">
        <v>460</v>
      </c>
    </row>
    <row r="38" spans="2:15" s="21" customFormat="1" ht="12" customHeight="1">
      <c r="J38" s="22"/>
      <c r="L38" s="33"/>
      <c r="M38" s="22"/>
    </row>
    <row r="39" spans="2:15" s="21" customFormat="1" ht="12" customHeight="1">
      <c r="B39" s="15" t="s">
        <v>461</v>
      </c>
      <c r="C39" s="56"/>
      <c r="D39" s="56"/>
      <c r="E39" s="56"/>
      <c r="F39" s="56"/>
      <c r="G39" s="56"/>
      <c r="H39" s="56"/>
      <c r="I39" s="56"/>
      <c r="J39" s="57"/>
      <c r="K39" s="56"/>
      <c r="L39" s="59" t="s">
        <v>462</v>
      </c>
      <c r="M39" s="59"/>
      <c r="N39" s="60"/>
      <c r="O39" s="59"/>
    </row>
    <row r="40" spans="2:15" s="54" customFormat="1" ht="12" customHeight="1">
      <c r="B40" s="56"/>
      <c r="J40" s="55"/>
      <c r="L40" s="59"/>
      <c r="M40" s="59"/>
      <c r="N40" s="59"/>
      <c r="O40" s="58"/>
    </row>
    <row r="41" spans="2:15" s="54" customFormat="1" ht="12" customHeight="1">
      <c r="B41" s="171" t="s">
        <v>409</v>
      </c>
      <c r="J41" s="55"/>
      <c r="L41" s="58"/>
      <c r="M41" s="58"/>
      <c r="N41" s="58"/>
      <c r="O41" s="58"/>
    </row>
    <row r="42" spans="2:15" s="21" customFormat="1" ht="12" customHeight="1">
      <c r="B42" s="54" t="s">
        <v>463</v>
      </c>
      <c r="C42" s="56"/>
      <c r="D42" s="56"/>
      <c r="E42" s="56"/>
      <c r="F42" s="56"/>
      <c r="G42" s="56"/>
      <c r="H42" s="56"/>
      <c r="I42" s="56"/>
      <c r="J42" s="57"/>
      <c r="K42" s="56"/>
      <c r="L42" s="55">
        <v>50</v>
      </c>
      <c r="M42" s="172" t="s">
        <v>434</v>
      </c>
      <c r="O42" s="59"/>
    </row>
    <row r="43" spans="2:15" s="21" customFormat="1" ht="12" customHeight="1">
      <c r="B43" s="56"/>
      <c r="J43" s="22"/>
      <c r="L43" s="59"/>
      <c r="M43" s="59"/>
    </row>
    <row r="44" spans="2:15" s="21" customFormat="1" ht="12" customHeight="1">
      <c r="B44" s="161" t="s">
        <v>464</v>
      </c>
      <c r="J44" s="22"/>
      <c r="L44" s="156"/>
      <c r="M44" s="156"/>
    </row>
    <row r="45" spans="2:15" s="21" customFormat="1" ht="12" customHeight="1">
      <c r="B45" s="21" t="s">
        <v>465</v>
      </c>
      <c r="J45" s="22"/>
      <c r="L45" s="22" t="s">
        <v>439</v>
      </c>
      <c r="M45" s="22" t="s">
        <v>455</v>
      </c>
    </row>
    <row r="46" spans="2:15" s="21" customFormat="1" ht="12" customHeight="1">
      <c r="J46" s="22"/>
      <c r="L46" s="156"/>
      <c r="M46" s="156"/>
    </row>
    <row r="47" spans="2:15" s="21" customFormat="1" ht="12" customHeight="1">
      <c r="B47" s="161" t="s">
        <v>466</v>
      </c>
      <c r="J47" s="22"/>
      <c r="L47" s="156"/>
      <c r="M47" s="156"/>
    </row>
    <row r="48" spans="2:15" s="21" customFormat="1" ht="12" customHeight="1">
      <c r="B48" s="21" t="s">
        <v>467</v>
      </c>
      <c r="J48" s="22"/>
      <c r="L48" s="156"/>
      <c r="M48" s="156"/>
    </row>
    <row r="49" spans="2:14" s="21" customFormat="1" ht="12" customHeight="1">
      <c r="B49" s="21" t="s">
        <v>468</v>
      </c>
      <c r="J49" s="22"/>
      <c r="L49" s="22">
        <v>13</v>
      </c>
      <c r="M49" s="156" t="s">
        <v>469</v>
      </c>
    </row>
    <row r="50" spans="2:14" s="21" customFormat="1" ht="12" customHeight="1">
      <c r="B50" s="21" t="s">
        <v>470</v>
      </c>
      <c r="E50" s="23"/>
      <c r="J50" s="22"/>
      <c r="L50" s="22">
        <v>25</v>
      </c>
      <c r="M50" s="156" t="s">
        <v>469</v>
      </c>
    </row>
    <row r="51" spans="2:14" s="21" customFormat="1" ht="12" customHeight="1">
      <c r="E51" s="23"/>
      <c r="J51" s="22"/>
      <c r="L51" s="22"/>
      <c r="M51" s="156"/>
    </row>
    <row r="52" spans="2:14" s="21" customFormat="1" ht="12" customHeight="1">
      <c r="B52" s="173" t="s">
        <v>471</v>
      </c>
      <c r="C52" s="149"/>
      <c r="D52" s="149"/>
      <c r="E52" s="174"/>
      <c r="F52" s="149"/>
      <c r="G52" s="149"/>
      <c r="H52" s="149"/>
      <c r="I52" s="149"/>
      <c r="J52" s="164"/>
      <c r="K52" s="149"/>
      <c r="L52" s="164"/>
      <c r="M52" s="165"/>
      <c r="N52" s="149"/>
    </row>
    <row r="53" spans="2:14" s="21" customFormat="1" ht="12" customHeight="1">
      <c r="B53" s="149" t="s">
        <v>472</v>
      </c>
      <c r="C53" s="149"/>
      <c r="D53" s="149"/>
      <c r="E53" s="174"/>
      <c r="F53" s="149"/>
      <c r="G53" s="149"/>
      <c r="H53" s="149"/>
      <c r="I53" s="149"/>
      <c r="J53" s="164"/>
      <c r="K53" s="149"/>
      <c r="L53" s="164">
        <v>10</v>
      </c>
      <c r="M53" s="165" t="s">
        <v>473</v>
      </c>
      <c r="N53" s="149"/>
    </row>
    <row r="54" spans="2:14" s="21" customFormat="1" ht="12" customHeight="1">
      <c r="B54" s="149"/>
      <c r="C54" s="149"/>
      <c r="D54" s="149"/>
      <c r="E54" s="174"/>
      <c r="F54" s="149"/>
      <c r="G54" s="149"/>
      <c r="H54" s="149"/>
      <c r="I54" s="149"/>
      <c r="J54" s="164"/>
      <c r="K54" s="149"/>
      <c r="L54" s="164"/>
      <c r="M54" s="165"/>
      <c r="N54" s="149"/>
    </row>
    <row r="55" spans="2:14" s="21" customFormat="1" ht="10.5" customHeight="1">
      <c r="B55" s="173" t="s">
        <v>474</v>
      </c>
      <c r="C55" s="149"/>
      <c r="D55" s="149"/>
      <c r="E55" s="174"/>
      <c r="F55" s="149"/>
      <c r="G55" s="149"/>
      <c r="H55" s="149"/>
      <c r="I55" s="149"/>
      <c r="J55" s="164"/>
      <c r="K55" s="149"/>
      <c r="L55" s="164"/>
      <c r="M55" s="165"/>
      <c r="N55" s="149"/>
    </row>
    <row r="56" spans="2:14" s="21" customFormat="1" ht="10.5" customHeight="1">
      <c r="B56" s="149" t="s">
        <v>475</v>
      </c>
      <c r="C56" s="149"/>
      <c r="D56" s="149"/>
      <c r="E56" s="174"/>
      <c r="F56" s="149"/>
      <c r="G56" s="149"/>
      <c r="H56" s="149"/>
      <c r="I56" s="149"/>
      <c r="J56" s="164"/>
      <c r="K56" s="149"/>
      <c r="L56" s="164" t="s">
        <v>439</v>
      </c>
      <c r="M56" s="165"/>
      <c r="N56" s="149"/>
    </row>
    <row r="57" spans="2:14" s="21" customFormat="1" ht="10.5" customHeight="1">
      <c r="B57" s="173"/>
      <c r="C57" s="149"/>
      <c r="D57" s="149"/>
      <c r="E57" s="174"/>
      <c r="F57" s="149"/>
      <c r="G57" s="149"/>
      <c r="H57" s="149"/>
      <c r="I57" s="149"/>
      <c r="J57" s="164"/>
      <c r="K57" s="149"/>
      <c r="L57" s="164"/>
      <c r="M57" s="165"/>
      <c r="N57" s="149"/>
    </row>
    <row r="58" spans="2:14" s="21" customFormat="1" ht="10.5" customHeight="1">
      <c r="B58" s="173" t="s">
        <v>476</v>
      </c>
      <c r="C58" s="149"/>
      <c r="D58" s="149"/>
      <c r="E58" s="174"/>
      <c r="F58" s="149"/>
      <c r="G58" s="149"/>
      <c r="H58" s="149"/>
      <c r="I58" s="149"/>
      <c r="J58" s="164"/>
      <c r="K58" s="149"/>
      <c r="L58" s="164"/>
      <c r="M58" s="165"/>
      <c r="N58" s="149"/>
    </row>
    <row r="59" spans="2:14" s="21" customFormat="1" ht="10.5" customHeight="1">
      <c r="B59" s="149" t="s">
        <v>477</v>
      </c>
      <c r="C59" s="149"/>
      <c r="D59" s="149"/>
      <c r="E59" s="174"/>
      <c r="F59" s="149"/>
      <c r="G59" s="149"/>
      <c r="H59" s="149"/>
      <c r="I59" s="149"/>
      <c r="J59" s="164"/>
      <c r="K59" s="149"/>
      <c r="L59" s="164"/>
      <c r="M59" s="165"/>
      <c r="N59" s="149"/>
    </row>
    <row r="60" spans="2:14" s="21" customFormat="1" ht="10.5" customHeight="1">
      <c r="B60" s="173"/>
      <c r="C60" s="149"/>
      <c r="D60" s="149"/>
      <c r="E60" s="174"/>
      <c r="F60" s="149"/>
      <c r="G60" s="149"/>
      <c r="H60" s="149"/>
      <c r="I60" s="149"/>
      <c r="J60" s="164"/>
      <c r="K60" s="149"/>
      <c r="L60" s="164" t="s">
        <v>439</v>
      </c>
      <c r="M60" s="165"/>
      <c r="N60" s="149"/>
    </row>
    <row r="61" spans="2:14" s="21" customFormat="1" ht="12" customHeight="1">
      <c r="B61" s="173" t="s">
        <v>478</v>
      </c>
      <c r="C61" s="149"/>
      <c r="D61" s="149"/>
      <c r="E61" s="149"/>
      <c r="F61" s="149"/>
      <c r="G61" s="149"/>
      <c r="H61" s="149"/>
      <c r="I61" s="149"/>
      <c r="J61" s="164"/>
      <c r="K61" s="149"/>
      <c r="L61" s="164"/>
      <c r="M61" s="165"/>
      <c r="N61" s="149"/>
    </row>
    <row r="62" spans="2:14" s="15" customFormat="1" ht="12" customHeight="1">
      <c r="B62" s="10" t="s">
        <v>479</v>
      </c>
      <c r="C62" s="10"/>
      <c r="D62" s="10"/>
      <c r="E62" s="10"/>
      <c r="F62" s="10"/>
      <c r="G62" s="10"/>
      <c r="H62" s="10"/>
      <c r="I62" s="10"/>
      <c r="J62" s="169"/>
      <c r="K62" s="10"/>
      <c r="L62" s="169">
        <v>10</v>
      </c>
      <c r="M62" s="175" t="s">
        <v>473</v>
      </c>
      <c r="N62" s="10"/>
    </row>
    <row r="63" spans="2:14" s="15" customFormat="1" ht="12" customHeight="1">
      <c r="B63" s="176"/>
      <c r="C63" s="10"/>
      <c r="D63" s="10"/>
      <c r="E63" s="10"/>
      <c r="F63" s="10"/>
      <c r="G63" s="10"/>
      <c r="H63" s="10"/>
      <c r="I63" s="10"/>
      <c r="J63" s="169"/>
      <c r="K63" s="10"/>
      <c r="L63" s="175"/>
      <c r="M63" s="175"/>
      <c r="N63" s="10"/>
    </row>
    <row r="64" spans="2:14" s="15" customFormat="1" ht="12" customHeight="1">
      <c r="B64" s="19" t="s">
        <v>480</v>
      </c>
      <c r="C64" s="10"/>
      <c r="D64" s="10"/>
      <c r="E64" s="10"/>
      <c r="F64" s="10"/>
      <c r="G64" s="10"/>
      <c r="H64" s="10"/>
      <c r="I64" s="10"/>
      <c r="J64" s="169"/>
      <c r="K64" s="10"/>
      <c r="L64" s="175"/>
      <c r="M64" s="175"/>
      <c r="N64" s="10"/>
    </row>
    <row r="65" spans="2:14" s="15" customFormat="1" ht="12" customHeight="1">
      <c r="B65" s="149" t="s">
        <v>481</v>
      </c>
      <c r="C65" s="10"/>
      <c r="D65" s="10"/>
      <c r="E65" s="10"/>
      <c r="F65" s="10"/>
      <c r="G65" s="10"/>
      <c r="H65" s="10"/>
      <c r="I65" s="10"/>
      <c r="J65" s="169"/>
      <c r="K65" s="10"/>
      <c r="L65" s="175" t="s">
        <v>439</v>
      </c>
      <c r="M65" s="175"/>
      <c r="N65" s="10"/>
    </row>
    <row r="66" spans="2:14" s="15" customFormat="1" ht="12" customHeight="1">
      <c r="B66" s="140"/>
      <c r="C66" s="10"/>
      <c r="D66" s="10"/>
      <c r="E66" s="10"/>
      <c r="F66" s="10"/>
      <c r="G66" s="10"/>
      <c r="H66" s="10"/>
      <c r="I66" s="10"/>
      <c r="J66" s="169"/>
      <c r="K66" s="10"/>
      <c r="L66" s="175"/>
      <c r="M66" s="175"/>
      <c r="N66" s="10"/>
    </row>
    <row r="67" spans="2:14" s="15" customFormat="1" ht="18" customHeight="1">
      <c r="B67" s="177" t="s">
        <v>482</v>
      </c>
      <c r="E67" s="178"/>
      <c r="J67" s="29"/>
      <c r="L67" s="162"/>
      <c r="M67" s="162"/>
    </row>
    <row r="68" spans="2:14" s="37" customFormat="1" ht="12" customHeight="1">
      <c r="B68" s="15" t="s">
        <v>483</v>
      </c>
      <c r="J68" s="29"/>
      <c r="K68" s="29"/>
      <c r="L68" s="29">
        <v>62</v>
      </c>
      <c r="M68" s="162" t="s">
        <v>469</v>
      </c>
    </row>
    <row r="69" spans="2:14" s="37" customFormat="1" ht="12" customHeight="1">
      <c r="B69" s="37" t="s">
        <v>484</v>
      </c>
      <c r="J69" s="29"/>
      <c r="K69" s="29"/>
      <c r="L69" s="29">
        <v>11</v>
      </c>
      <c r="M69" s="162" t="s">
        <v>485</v>
      </c>
    </row>
    <row r="70" spans="2:14" s="37" customFormat="1" ht="12" customHeight="1">
      <c r="B70" s="37" t="s">
        <v>486</v>
      </c>
      <c r="J70" s="29"/>
      <c r="K70" s="29"/>
      <c r="L70" s="29">
        <v>15</v>
      </c>
      <c r="M70" s="162" t="s">
        <v>469</v>
      </c>
    </row>
    <row r="71" spans="2:14" s="15" customFormat="1" ht="12" customHeight="1">
      <c r="B71" s="37" t="s">
        <v>487</v>
      </c>
      <c r="E71" s="178"/>
      <c r="J71" s="29"/>
      <c r="L71" s="29">
        <v>25</v>
      </c>
      <c r="M71" s="162" t="s">
        <v>488</v>
      </c>
    </row>
    <row r="72" spans="2:14" s="37" customFormat="1" ht="12" customHeight="1">
      <c r="B72" s="15"/>
      <c r="J72" s="38"/>
      <c r="L72" s="162"/>
      <c r="M72" s="162"/>
    </row>
    <row r="73" spans="2:14" s="37" customFormat="1" ht="12" customHeight="1">
      <c r="B73" s="37" t="s">
        <v>489</v>
      </c>
      <c r="J73" s="38"/>
      <c r="L73" s="38"/>
      <c r="M73" s="38"/>
    </row>
    <row r="74" spans="2:14" s="37" customFormat="1" ht="12" customHeight="1">
      <c r="B74" s="37" t="s">
        <v>490</v>
      </c>
      <c r="J74" s="38"/>
      <c r="L74" s="38"/>
      <c r="M74" s="38"/>
    </row>
    <row r="75" spans="2:14" s="15" customFormat="1" ht="12" customHeight="1">
      <c r="B75" s="37" t="s">
        <v>491</v>
      </c>
      <c r="J75" s="29"/>
      <c r="L75" s="38"/>
      <c r="M75" s="38"/>
    </row>
    <row r="76" spans="2:14" s="18" customFormat="1" ht="12" customHeight="1">
      <c r="B76" s="170" t="s">
        <v>492</v>
      </c>
      <c r="C76" s="179"/>
      <c r="D76" s="179"/>
      <c r="E76" s="179"/>
      <c r="F76" s="179"/>
      <c r="G76" s="179"/>
      <c r="H76" s="179"/>
      <c r="I76" s="179"/>
      <c r="J76" s="180"/>
      <c r="K76" s="179"/>
      <c r="L76" s="181">
        <v>62</v>
      </c>
      <c r="M76" s="175" t="s">
        <v>469</v>
      </c>
    </row>
    <row r="77" spans="2:14" s="18" customFormat="1" ht="12" customHeight="1">
      <c r="B77" s="170" t="s">
        <v>493</v>
      </c>
      <c r="C77" s="179"/>
      <c r="D77" s="179"/>
      <c r="E77" s="179"/>
      <c r="F77" s="179"/>
      <c r="G77" s="179"/>
      <c r="H77" s="179"/>
      <c r="I77" s="179"/>
      <c r="J77" s="181"/>
      <c r="K77" s="181"/>
      <c r="L77" s="181">
        <v>90</v>
      </c>
      <c r="M77" s="175" t="s">
        <v>469</v>
      </c>
    </row>
    <row r="78" spans="2:14" s="18" customFormat="1" ht="12" customHeight="1">
      <c r="B78" s="179" t="s">
        <v>494</v>
      </c>
      <c r="C78" s="179"/>
      <c r="D78" s="179"/>
      <c r="E78" s="179"/>
      <c r="F78" s="179"/>
      <c r="G78" s="179"/>
      <c r="H78" s="179"/>
      <c r="I78" s="179"/>
      <c r="J78" s="180"/>
      <c r="K78" s="179"/>
      <c r="L78" s="181">
        <v>11</v>
      </c>
      <c r="M78" s="175" t="s">
        <v>485</v>
      </c>
    </row>
    <row r="79" spans="2:14" s="18" customFormat="1" ht="12" customHeight="1">
      <c r="J79" s="182"/>
      <c r="L79" s="182"/>
      <c r="M79" s="182"/>
    </row>
    <row r="80" spans="2:14" s="18" customFormat="1" ht="12" customHeight="1">
      <c r="B80" s="18" t="s">
        <v>495</v>
      </c>
      <c r="J80" s="182"/>
      <c r="L80" s="182"/>
      <c r="M80" s="182"/>
    </row>
    <row r="81" spans="2:13" s="18" customFormat="1" ht="12" customHeight="1">
      <c r="B81" s="18" t="s">
        <v>490</v>
      </c>
      <c r="J81" s="182"/>
      <c r="L81" s="182"/>
      <c r="M81" s="182"/>
    </row>
    <row r="82" spans="2:13" s="10" customFormat="1" ht="12" customHeight="1">
      <c r="B82" s="18" t="s">
        <v>491</v>
      </c>
      <c r="J82" s="169"/>
      <c r="L82" s="182"/>
      <c r="M82" s="182"/>
    </row>
    <row r="83" spans="2:13" s="18" customFormat="1" ht="12" customHeight="1">
      <c r="B83" s="170" t="s">
        <v>492</v>
      </c>
      <c r="C83" s="179"/>
      <c r="D83" s="179"/>
      <c r="E83" s="179"/>
      <c r="F83" s="179"/>
      <c r="G83" s="179"/>
      <c r="H83" s="179"/>
      <c r="I83" s="179"/>
      <c r="J83" s="180"/>
      <c r="K83" s="179"/>
      <c r="L83" s="181">
        <v>62</v>
      </c>
      <c r="M83" s="175" t="s">
        <v>469</v>
      </c>
    </row>
    <row r="84" spans="2:13" s="18" customFormat="1" ht="12" customHeight="1">
      <c r="B84" s="170" t="s">
        <v>493</v>
      </c>
      <c r="C84" s="179"/>
      <c r="D84" s="179"/>
      <c r="E84" s="179"/>
      <c r="F84" s="179"/>
      <c r="G84" s="179"/>
      <c r="H84" s="179"/>
      <c r="I84" s="179" t="s">
        <v>383</v>
      </c>
      <c r="J84" s="181"/>
      <c r="K84" s="181"/>
      <c r="L84" s="181">
        <v>62</v>
      </c>
      <c r="M84" s="175" t="s">
        <v>469</v>
      </c>
    </row>
    <row r="85" spans="2:13" s="18" customFormat="1" ht="12" customHeight="1">
      <c r="B85" s="183" t="s">
        <v>496</v>
      </c>
      <c r="C85" s="183"/>
      <c r="D85" s="183"/>
      <c r="E85" s="183"/>
      <c r="F85" s="179"/>
      <c r="G85" s="179"/>
      <c r="H85" s="179"/>
      <c r="I85" s="179"/>
      <c r="J85" s="181"/>
      <c r="K85" s="181"/>
      <c r="L85" s="181">
        <v>11</v>
      </c>
      <c r="M85" s="175" t="s">
        <v>485</v>
      </c>
    </row>
    <row r="86" spans="2:13" s="18" customFormat="1" ht="12" customHeight="1">
      <c r="J86" s="182"/>
      <c r="L86" s="169"/>
      <c r="M86" s="175"/>
    </row>
    <row r="87" spans="2:13" s="18" customFormat="1" ht="12" customHeight="1">
      <c r="B87" s="18" t="s">
        <v>497</v>
      </c>
      <c r="J87" s="182"/>
      <c r="L87" s="182"/>
      <c r="M87" s="182"/>
    </row>
    <row r="88" spans="2:13" s="18" customFormat="1" ht="12" customHeight="1">
      <c r="B88" s="18" t="s">
        <v>490</v>
      </c>
      <c r="J88" s="182"/>
      <c r="L88" s="182"/>
      <c r="M88" s="182"/>
    </row>
    <row r="89" spans="2:13" s="18" customFormat="1" ht="12" customHeight="1">
      <c r="B89" s="18" t="s">
        <v>491</v>
      </c>
      <c r="J89" s="182"/>
      <c r="L89" s="182"/>
      <c r="M89" s="182"/>
    </row>
    <row r="90" spans="2:13" s="18" customFormat="1" ht="12" customHeight="1">
      <c r="B90" s="184" t="s">
        <v>498</v>
      </c>
      <c r="C90" s="10"/>
      <c r="D90" s="10"/>
      <c r="E90" s="10"/>
      <c r="F90" s="10"/>
      <c r="G90" s="10"/>
      <c r="H90" s="10"/>
      <c r="I90" s="10"/>
      <c r="J90" s="169"/>
      <c r="K90" s="10"/>
      <c r="L90" s="182"/>
      <c r="M90" s="175"/>
    </row>
    <row r="91" spans="2:13" s="18" customFormat="1" ht="12" customHeight="1">
      <c r="B91" s="170" t="s">
        <v>499</v>
      </c>
      <c r="C91" s="179"/>
      <c r="D91" s="179"/>
      <c r="E91" s="179"/>
      <c r="F91" s="179"/>
      <c r="G91" s="179"/>
      <c r="H91" s="179"/>
      <c r="I91" s="179"/>
      <c r="J91" s="180"/>
      <c r="K91" s="179"/>
      <c r="L91" s="181">
        <v>65</v>
      </c>
      <c r="M91" s="175" t="s">
        <v>469</v>
      </c>
    </row>
    <row r="92" spans="2:13" s="18" customFormat="1" ht="12" customHeight="1">
      <c r="B92" s="170" t="s">
        <v>500</v>
      </c>
      <c r="C92" s="179"/>
      <c r="D92" s="179"/>
      <c r="E92" s="179"/>
      <c r="F92" s="179"/>
      <c r="G92" s="179"/>
      <c r="H92" s="179"/>
      <c r="I92" s="179"/>
      <c r="J92" s="180"/>
      <c r="K92" s="179"/>
      <c r="L92" s="181">
        <v>77.5</v>
      </c>
      <c r="M92" s="175" t="s">
        <v>469</v>
      </c>
    </row>
    <row r="93" spans="2:13" s="18" customFormat="1" ht="12" customHeight="1">
      <c r="B93" s="184" t="s">
        <v>501</v>
      </c>
      <c r="C93" s="10"/>
      <c r="D93" s="10"/>
      <c r="E93" s="10"/>
      <c r="F93" s="10"/>
      <c r="G93" s="10"/>
      <c r="H93" s="10"/>
      <c r="I93" s="10"/>
      <c r="J93" s="169"/>
      <c r="K93" s="10"/>
      <c r="L93" s="169"/>
      <c r="M93" s="175"/>
    </row>
    <row r="94" spans="2:13" s="18" customFormat="1" ht="12" customHeight="1">
      <c r="B94" s="170" t="s">
        <v>499</v>
      </c>
      <c r="C94" s="179"/>
      <c r="D94" s="179"/>
      <c r="E94" s="179"/>
      <c r="F94" s="179"/>
      <c r="G94" s="179"/>
      <c r="H94" s="179"/>
      <c r="I94" s="179"/>
      <c r="J94" s="180"/>
      <c r="K94" s="179"/>
      <c r="L94" s="181">
        <v>77.5</v>
      </c>
      <c r="M94" s="175" t="s">
        <v>469</v>
      </c>
    </row>
    <row r="95" spans="2:13" s="18" customFormat="1" ht="12" customHeight="1">
      <c r="B95" s="170" t="s">
        <v>500</v>
      </c>
      <c r="C95" s="179"/>
      <c r="D95" s="179"/>
      <c r="E95" s="179"/>
      <c r="F95" s="179"/>
      <c r="G95" s="179"/>
      <c r="H95" s="179"/>
      <c r="I95" s="179"/>
      <c r="J95" s="180"/>
      <c r="K95" s="179"/>
      <c r="L95" s="181">
        <v>77.5</v>
      </c>
      <c r="M95" s="175" t="s">
        <v>469</v>
      </c>
    </row>
    <row r="96" spans="2:13" s="18" customFormat="1" ht="12" customHeight="1">
      <c r="B96" s="10"/>
      <c r="J96" s="169"/>
      <c r="K96" s="169"/>
      <c r="L96" s="169"/>
      <c r="M96" s="175"/>
    </row>
    <row r="97" spans="2:14" s="18" customFormat="1" ht="12" customHeight="1">
      <c r="B97" s="18" t="s">
        <v>502</v>
      </c>
      <c r="J97" s="169"/>
      <c r="K97" s="169"/>
      <c r="L97" s="169">
        <v>12.5</v>
      </c>
      <c r="M97" s="175" t="s">
        <v>485</v>
      </c>
    </row>
    <row r="98" spans="2:14" s="18" customFormat="1" ht="12" customHeight="1">
      <c r="B98" s="18" t="s">
        <v>503</v>
      </c>
      <c r="J98" s="169"/>
      <c r="K98" s="169"/>
      <c r="L98" s="169">
        <v>12.5</v>
      </c>
      <c r="M98" s="175" t="s">
        <v>485</v>
      </c>
    </row>
    <row r="99" spans="2:14" s="18" customFormat="1" ht="12" customHeight="1">
      <c r="J99" s="169"/>
      <c r="K99" s="169"/>
      <c r="L99" s="169"/>
      <c r="M99" s="175"/>
    </row>
    <row r="100" spans="2:14" s="18" customFormat="1" ht="12" customHeight="1">
      <c r="B100" s="18" t="s">
        <v>504</v>
      </c>
      <c r="J100" s="169"/>
      <c r="K100" s="169"/>
      <c r="L100" s="169">
        <v>19.5</v>
      </c>
      <c r="M100" s="175" t="s">
        <v>505</v>
      </c>
    </row>
    <row r="101" spans="2:14" s="18" customFormat="1" ht="12" customHeight="1">
      <c r="B101" s="18" t="s">
        <v>506</v>
      </c>
      <c r="J101" s="169"/>
      <c r="K101" s="169"/>
      <c r="L101" s="169">
        <v>19.5</v>
      </c>
      <c r="M101" s="175" t="s">
        <v>505</v>
      </c>
    </row>
    <row r="102" spans="2:14" s="18" customFormat="1" ht="12" customHeight="1">
      <c r="J102" s="169"/>
      <c r="K102" s="169"/>
      <c r="L102" s="169"/>
      <c r="M102" s="175"/>
      <c r="N102" s="10"/>
    </row>
    <row r="103" spans="2:14" s="18" customFormat="1" ht="12" customHeight="1">
      <c r="B103" s="18" t="s">
        <v>507</v>
      </c>
      <c r="J103" s="182"/>
      <c r="L103" s="169"/>
      <c r="M103" s="169"/>
      <c r="N103" s="10"/>
    </row>
    <row r="104" spans="2:14" s="10" customFormat="1" ht="12" customHeight="1">
      <c r="B104" s="18" t="s">
        <v>490</v>
      </c>
      <c r="J104" s="169"/>
      <c r="L104" s="182"/>
      <c r="M104" s="182"/>
      <c r="N104" s="18"/>
    </row>
    <row r="105" spans="2:14" s="18" customFormat="1" ht="12" customHeight="1">
      <c r="B105" s="170" t="s">
        <v>492</v>
      </c>
      <c r="C105" s="179"/>
      <c r="D105" s="179"/>
      <c r="E105" s="179"/>
      <c r="F105" s="179"/>
      <c r="G105" s="179"/>
      <c r="H105" s="179"/>
      <c r="I105" s="179"/>
      <c r="J105" s="180"/>
      <c r="K105" s="179"/>
      <c r="L105" s="181">
        <v>62</v>
      </c>
      <c r="M105" s="175" t="s">
        <v>469</v>
      </c>
    </row>
    <row r="106" spans="2:14" s="18" customFormat="1" ht="12" customHeight="1">
      <c r="B106" s="10" t="s">
        <v>508</v>
      </c>
      <c r="J106" s="169"/>
      <c r="K106" s="169"/>
      <c r="L106" s="169">
        <v>62</v>
      </c>
      <c r="M106" s="175" t="s">
        <v>469</v>
      </c>
    </row>
    <row r="107" spans="2:14" s="18" customFormat="1" ht="12" customHeight="1">
      <c r="B107" s="179" t="s">
        <v>496</v>
      </c>
      <c r="C107" s="179"/>
      <c r="D107" s="179"/>
      <c r="E107" s="179"/>
      <c r="F107" s="179"/>
      <c r="G107" s="179"/>
      <c r="H107" s="179"/>
      <c r="I107" s="179"/>
      <c r="J107" s="180"/>
      <c r="K107" s="179"/>
      <c r="L107" s="181">
        <v>11</v>
      </c>
      <c r="M107" s="175" t="s">
        <v>485</v>
      </c>
    </row>
    <row r="108" spans="2:14" s="18" customFormat="1" ht="12" customHeight="1">
      <c r="B108" s="18" t="s">
        <v>509</v>
      </c>
      <c r="J108" s="182"/>
      <c r="L108" s="169">
        <v>37</v>
      </c>
      <c r="M108" s="175" t="s">
        <v>469</v>
      </c>
    </row>
    <row r="109" spans="2:14" s="18" customFormat="1" ht="12" customHeight="1">
      <c r="J109" s="182"/>
      <c r="L109" s="169"/>
      <c r="M109" s="175"/>
    </row>
    <row r="110" spans="2:14" s="18" customFormat="1" ht="12" customHeight="1">
      <c r="B110" s="185" t="s">
        <v>510</v>
      </c>
      <c r="J110" s="182"/>
      <c r="L110" s="182"/>
      <c r="M110" s="182"/>
    </row>
    <row r="111" spans="2:14" s="18" customFormat="1" ht="12" customHeight="1">
      <c r="B111" s="18" t="s">
        <v>511</v>
      </c>
      <c r="J111" s="182"/>
      <c r="L111" s="182" t="s">
        <v>439</v>
      </c>
      <c r="M111" s="182"/>
    </row>
    <row r="112" spans="2:14" s="10" customFormat="1" ht="12" customHeight="1">
      <c r="B112" s="18"/>
      <c r="J112" s="169"/>
      <c r="L112" s="182"/>
      <c r="M112" s="182"/>
    </row>
    <row r="113" spans="2:14" s="10" customFormat="1" ht="12" customHeight="1">
      <c r="B113" s="10" t="s">
        <v>512</v>
      </c>
      <c r="J113" s="169"/>
      <c r="L113" s="175"/>
      <c r="M113" s="175"/>
    </row>
    <row r="114" spans="2:14" s="149" customFormat="1" ht="12" customHeight="1">
      <c r="B114" s="149" t="s">
        <v>513</v>
      </c>
      <c r="J114" s="169"/>
      <c r="L114" s="186"/>
      <c r="M114" s="165"/>
    </row>
    <row r="115" spans="2:14" s="21" customFormat="1" ht="12" customHeight="1">
      <c r="J115" s="22"/>
      <c r="L115" s="155"/>
      <c r="M115" s="156"/>
    </row>
    <row r="116" spans="2:14" s="21" customFormat="1" ht="12" customHeight="1">
      <c r="B116" s="150" t="s">
        <v>514</v>
      </c>
      <c r="J116" s="22"/>
      <c r="L116" s="155"/>
      <c r="M116" s="156"/>
    </row>
    <row r="117" spans="2:14" s="21" customFormat="1" ht="12">
      <c r="J117" s="22"/>
      <c r="L117" s="155"/>
      <c r="M117" s="156"/>
    </row>
    <row r="118" spans="2:14" s="21" customFormat="1" ht="12">
      <c r="J118" s="22"/>
      <c r="L118" s="155"/>
      <c r="M118" s="156"/>
    </row>
    <row r="119" spans="2:14" s="21" customFormat="1" ht="12">
      <c r="E119" s="21" t="s">
        <v>383</v>
      </c>
      <c r="F119" s="21" t="s">
        <v>383</v>
      </c>
      <c r="J119" s="22"/>
      <c r="L119" s="155"/>
      <c r="M119" s="156"/>
    </row>
    <row r="120" spans="2:14" s="21" customFormat="1" ht="12">
      <c r="J120" s="22"/>
      <c r="L120" s="155"/>
      <c r="M120" s="156"/>
    </row>
    <row r="121" spans="2:14">
      <c r="B121" s="23"/>
      <c r="C121" s="21"/>
      <c r="D121" s="21"/>
      <c r="E121" s="21"/>
      <c r="F121" s="21"/>
      <c r="G121" s="21"/>
      <c r="H121" s="21"/>
      <c r="I121" s="21"/>
      <c r="J121" s="22"/>
      <c r="K121" s="21"/>
      <c r="L121" s="155"/>
      <c r="M121" s="156"/>
      <c r="N121" s="21"/>
    </row>
    <row r="122" spans="2:14">
      <c r="B122" s="21"/>
      <c r="C122" s="21"/>
      <c r="D122" s="21"/>
      <c r="E122" s="21"/>
      <c r="F122" s="21"/>
      <c r="G122" s="21"/>
      <c r="H122" s="21"/>
      <c r="I122" s="21"/>
      <c r="J122" s="22"/>
      <c r="K122" s="21"/>
      <c r="L122" s="155"/>
      <c r="M122" s="156"/>
    </row>
    <row r="123" spans="2:14">
      <c r="B123" s="21"/>
      <c r="C123" s="21"/>
      <c r="D123" s="21"/>
      <c r="E123" s="21"/>
      <c r="F123" s="21"/>
      <c r="G123" s="21"/>
      <c r="H123" s="21"/>
      <c r="I123" s="21"/>
      <c r="J123" s="22"/>
      <c r="K123" s="21"/>
      <c r="L123" s="155"/>
      <c r="M123" s="156"/>
    </row>
    <row r="124" spans="2:14">
      <c r="B124" s="21"/>
      <c r="C124" s="21"/>
      <c r="D124" s="21"/>
      <c r="E124" s="21"/>
      <c r="F124" s="21"/>
      <c r="G124" s="21"/>
      <c r="H124" s="21"/>
      <c r="I124" s="21"/>
      <c r="J124" s="22"/>
      <c r="K124" s="21"/>
      <c r="L124" s="155"/>
      <c r="M124" s="156"/>
    </row>
    <row r="125" spans="2:14">
      <c r="B125" s="21"/>
      <c r="C125" s="21"/>
      <c r="D125" s="21"/>
      <c r="E125" s="21"/>
      <c r="F125" s="21"/>
      <c r="G125" s="21"/>
      <c r="H125" s="21"/>
      <c r="I125" s="21"/>
      <c r="J125" s="22"/>
      <c r="K125" s="21"/>
      <c r="L125" s="155"/>
      <c r="M125" s="156"/>
    </row>
    <row r="126" spans="2:14">
      <c r="B126" s="21"/>
      <c r="C126" s="21"/>
      <c r="D126" s="21"/>
      <c r="E126" s="21"/>
      <c r="F126" s="21"/>
      <c r="G126" s="21"/>
      <c r="H126" s="21"/>
      <c r="I126" s="21"/>
      <c r="J126" s="22"/>
      <c r="K126" s="21"/>
      <c r="L126" s="155"/>
      <c r="M126" s="156"/>
    </row>
  </sheetData>
  <pageMargins left="0.23622047244094491" right="0.23622047244094491" top="0.35433070866141736" bottom="0.35433070866141736" header="0.31496062992125984" footer="0.31496062992125984"/>
  <pageSetup paperSize="9" scale="44"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B840F-9375-46E3-ADB4-5F6C1296ED46}">
  <sheetPr>
    <pageSetUpPr fitToPage="1"/>
  </sheetPr>
  <dimension ref="B1:N115"/>
  <sheetViews>
    <sheetView showGridLines="0" zoomScaleNormal="100" workbookViewId="0">
      <pane ySplit="3" topLeftCell="A4" activePane="bottomLeft" state="frozen"/>
      <selection pane="bottomLeft" activeCell="A4" sqref="A4"/>
      <selection activeCell="A4" sqref="A4"/>
    </sheetView>
  </sheetViews>
  <sheetFormatPr defaultColWidth="10.5703125" defaultRowHeight="15"/>
  <cols>
    <col min="1" max="1" width="2.85546875" style="187" customWidth="1"/>
    <col min="2" max="5" width="10.5703125" style="187"/>
    <col min="6" max="6" width="10.5703125" style="22"/>
    <col min="7" max="7" width="10.5703125" style="187"/>
    <col min="8" max="8" width="10.5703125" style="187" customWidth="1"/>
    <col min="9" max="9" width="10.5703125" style="187"/>
    <col min="10" max="10" width="10.5703125" style="187" customWidth="1"/>
    <col min="11" max="16384" width="10.5703125" style="187"/>
  </cols>
  <sheetData>
    <row r="1" spans="2:14" s="8" customFormat="1" ht="15" customHeight="1">
      <c r="F1" s="191"/>
      <c r="L1" s="7"/>
    </row>
    <row r="2" spans="2:14" s="8" customFormat="1" ht="27" customHeight="1">
      <c r="B2" s="192" t="s">
        <v>515</v>
      </c>
      <c r="C2" s="46"/>
      <c r="D2" s="46"/>
      <c r="F2" s="191"/>
    </row>
    <row r="3" spans="2:14" s="8" customFormat="1" ht="15" customHeight="1">
      <c r="B3" s="46"/>
      <c r="C3" s="46"/>
      <c r="D3" s="46"/>
      <c r="F3" s="191"/>
    </row>
    <row r="4" spans="2:14" s="21" customFormat="1" ht="12" customHeight="1">
      <c r="F4" s="22"/>
    </row>
    <row r="5" spans="2:14" s="21" customFormat="1" ht="12" customHeight="1">
      <c r="B5" s="157" t="s">
        <v>2</v>
      </c>
      <c r="C5" s="28"/>
      <c r="D5" s="28"/>
      <c r="F5" s="22"/>
    </row>
    <row r="6" spans="2:14" s="21" customFormat="1" ht="12" customHeight="1">
      <c r="B6" s="158" t="s">
        <v>4</v>
      </c>
      <c r="C6" s="28"/>
      <c r="D6" s="28"/>
      <c r="F6" s="22"/>
      <c r="H6" s="193"/>
    </row>
    <row r="7" spans="2:14" s="21" customFormat="1" ht="12" customHeight="1">
      <c r="B7" s="160" t="s">
        <v>6</v>
      </c>
      <c r="C7" s="28"/>
      <c r="D7" s="28"/>
      <c r="F7" s="22"/>
      <c r="H7" s="194"/>
    </row>
    <row r="8" spans="2:14" s="21" customFormat="1" ht="12" customHeight="1">
      <c r="B8" s="158" t="s">
        <v>516</v>
      </c>
      <c r="C8" s="28"/>
      <c r="D8" s="28"/>
      <c r="H8" s="161" t="s">
        <v>517</v>
      </c>
      <c r="L8" s="195" t="s">
        <v>518</v>
      </c>
    </row>
    <row r="9" spans="2:14" s="21" customFormat="1" ht="12" customHeight="1" thickBot="1">
      <c r="B9" s="161"/>
      <c r="F9" s="22"/>
    </row>
    <row r="10" spans="2:14" s="21" customFormat="1" ht="12" customHeight="1" thickBot="1">
      <c r="B10" s="138" t="s">
        <v>519</v>
      </c>
      <c r="C10" s="196"/>
      <c r="D10" s="196"/>
      <c r="E10" s="196"/>
      <c r="F10" s="196"/>
      <c r="G10" s="196"/>
      <c r="H10" s="196" t="s">
        <v>520</v>
      </c>
      <c r="I10" s="196"/>
      <c r="J10" s="196"/>
      <c r="K10" s="196"/>
      <c r="L10" s="196" t="s">
        <v>521</v>
      </c>
      <c r="M10" s="196"/>
      <c r="N10" s="197"/>
    </row>
    <row r="11" spans="2:14" s="21" customFormat="1" ht="12" customHeight="1">
      <c r="B11" s="13" t="s">
        <v>522</v>
      </c>
      <c r="H11" s="198" t="s">
        <v>9</v>
      </c>
      <c r="J11" s="199"/>
      <c r="L11" s="21" t="s">
        <v>523</v>
      </c>
      <c r="N11" s="134"/>
    </row>
    <row r="12" spans="2:14" s="21" customFormat="1" ht="12" customHeight="1">
      <c r="B12" s="13" t="s">
        <v>524</v>
      </c>
      <c r="H12" s="198" t="s">
        <v>525</v>
      </c>
      <c r="I12" s="15"/>
      <c r="J12" s="199"/>
      <c r="L12" s="15" t="s">
        <v>526</v>
      </c>
      <c r="N12" s="134"/>
    </row>
    <row r="13" spans="2:14" s="21" customFormat="1" ht="12" customHeight="1" thickBot="1">
      <c r="B13" s="135" t="s">
        <v>527</v>
      </c>
      <c r="H13" s="198" t="s">
        <v>528</v>
      </c>
      <c r="J13" s="199"/>
      <c r="L13" s="21" t="s">
        <v>529</v>
      </c>
      <c r="N13" s="134"/>
    </row>
    <row r="14" spans="2:14" s="21" customFormat="1" ht="12" customHeight="1" thickBot="1">
      <c r="B14" s="138" t="s">
        <v>530</v>
      </c>
      <c r="C14" s="196"/>
      <c r="D14" s="196"/>
      <c r="E14" s="196"/>
      <c r="F14" s="196"/>
      <c r="G14" s="196"/>
      <c r="H14" s="196" t="s">
        <v>520</v>
      </c>
      <c r="I14" s="196"/>
      <c r="J14" s="196"/>
      <c r="K14" s="196"/>
      <c r="L14" s="196" t="s">
        <v>521</v>
      </c>
      <c r="M14" s="196"/>
      <c r="N14" s="197"/>
    </row>
    <row r="15" spans="2:14" s="21" customFormat="1" ht="12" customHeight="1">
      <c r="B15" s="133" t="s">
        <v>531</v>
      </c>
      <c r="H15" s="198" t="s">
        <v>532</v>
      </c>
      <c r="J15" s="200"/>
      <c r="L15" s="21" t="s">
        <v>533</v>
      </c>
      <c r="N15" s="134"/>
    </row>
    <row r="16" spans="2:14" s="21" customFormat="1" ht="12" customHeight="1">
      <c r="B16" s="133" t="s">
        <v>534</v>
      </c>
      <c r="H16" s="198" t="s">
        <v>535</v>
      </c>
      <c r="J16" s="200"/>
      <c r="L16" s="21" t="s">
        <v>536</v>
      </c>
      <c r="N16" s="134"/>
    </row>
    <row r="17" spans="2:14" s="21" customFormat="1" ht="12" customHeight="1">
      <c r="B17" s="135" t="s">
        <v>537</v>
      </c>
      <c r="H17" s="198" t="s">
        <v>538</v>
      </c>
      <c r="J17" s="200"/>
      <c r="L17" s="21" t="s">
        <v>539</v>
      </c>
      <c r="N17" s="134"/>
    </row>
    <row r="18" spans="2:14" s="21" customFormat="1" ht="12" customHeight="1">
      <c r="B18" s="133" t="s">
        <v>540</v>
      </c>
      <c r="H18" s="198" t="s">
        <v>541</v>
      </c>
      <c r="J18" s="200"/>
      <c r="L18" s="21" t="s">
        <v>533</v>
      </c>
      <c r="N18" s="134"/>
    </row>
    <row r="19" spans="2:14" s="21" customFormat="1" ht="12" customHeight="1">
      <c r="B19" s="13" t="s">
        <v>542</v>
      </c>
      <c r="C19" s="15"/>
      <c r="D19" s="15"/>
      <c r="E19" s="15"/>
      <c r="F19" s="15"/>
      <c r="G19" s="15"/>
      <c r="H19" s="198" t="s">
        <v>543</v>
      </c>
      <c r="J19" s="201"/>
      <c r="K19" s="15"/>
      <c r="L19" s="21" t="s">
        <v>533</v>
      </c>
      <c r="N19" s="134"/>
    </row>
    <row r="20" spans="2:14" s="21" customFormat="1" ht="12" customHeight="1">
      <c r="B20" s="13" t="s">
        <v>544</v>
      </c>
      <c r="C20" s="15"/>
      <c r="D20" s="15"/>
      <c r="E20" s="15"/>
      <c r="F20" s="15"/>
      <c r="G20" s="15"/>
      <c r="H20" s="198" t="s">
        <v>545</v>
      </c>
      <c r="J20" s="201"/>
      <c r="K20" s="15"/>
      <c r="L20" s="21" t="s">
        <v>546</v>
      </c>
      <c r="N20" s="134"/>
    </row>
    <row r="21" spans="2:14" s="21" customFormat="1" ht="12" customHeight="1">
      <c r="B21" s="13" t="s">
        <v>547</v>
      </c>
      <c r="C21" s="15"/>
      <c r="D21" s="15"/>
      <c r="E21" s="15"/>
      <c r="F21" s="15"/>
      <c r="G21" s="15"/>
      <c r="H21" s="198" t="s">
        <v>548</v>
      </c>
      <c r="J21" s="201"/>
      <c r="K21" s="15"/>
      <c r="L21" s="21" t="s">
        <v>549</v>
      </c>
      <c r="N21" s="134"/>
    </row>
    <row r="22" spans="2:14" s="21" customFormat="1" ht="12" customHeight="1">
      <c r="B22" s="13" t="s">
        <v>550</v>
      </c>
      <c r="H22" s="198" t="s">
        <v>551</v>
      </c>
      <c r="J22" s="200"/>
      <c r="L22" s="21" t="s">
        <v>552</v>
      </c>
      <c r="N22" s="134"/>
    </row>
    <row r="23" spans="2:14" s="21" customFormat="1" ht="12" customHeight="1">
      <c r="B23" s="133" t="s">
        <v>553</v>
      </c>
      <c r="H23" s="198" t="s">
        <v>554</v>
      </c>
      <c r="J23" s="200"/>
      <c r="L23" s="21" t="s">
        <v>555</v>
      </c>
      <c r="N23" s="134"/>
    </row>
    <row r="24" spans="2:14" s="21" customFormat="1" ht="12" customHeight="1">
      <c r="B24" s="133" t="s">
        <v>556</v>
      </c>
      <c r="H24" s="198" t="s">
        <v>557</v>
      </c>
      <c r="J24" s="200"/>
      <c r="L24" s="21" t="s">
        <v>558</v>
      </c>
      <c r="N24" s="134"/>
    </row>
    <row r="25" spans="2:14" s="21" customFormat="1" ht="12" customHeight="1">
      <c r="B25" s="133" t="s">
        <v>123</v>
      </c>
      <c r="H25" s="198" t="s">
        <v>559</v>
      </c>
      <c r="J25" s="200"/>
      <c r="L25" s="21" t="s">
        <v>546</v>
      </c>
      <c r="N25" s="134"/>
    </row>
    <row r="26" spans="2:14" s="10" customFormat="1" ht="12" customHeight="1">
      <c r="B26" s="11" t="s">
        <v>560</v>
      </c>
      <c r="H26" s="202" t="s">
        <v>561</v>
      </c>
      <c r="J26" s="203"/>
      <c r="L26" s="10" t="s">
        <v>562</v>
      </c>
      <c r="N26" s="12"/>
    </row>
    <row r="27" spans="2:14" s="10" customFormat="1" ht="12" customHeight="1">
      <c r="B27" s="11" t="s">
        <v>563</v>
      </c>
      <c r="H27" s="202" t="s">
        <v>564</v>
      </c>
      <c r="J27" s="203"/>
      <c r="L27" s="10" t="s">
        <v>565</v>
      </c>
      <c r="N27" s="12"/>
    </row>
    <row r="28" spans="2:14" s="21" customFormat="1" ht="12" customHeight="1">
      <c r="B28" s="133" t="s">
        <v>156</v>
      </c>
      <c r="H28" s="198" t="s">
        <v>566</v>
      </c>
      <c r="J28" s="200"/>
      <c r="L28" s="21" t="s">
        <v>567</v>
      </c>
      <c r="N28" s="134"/>
    </row>
    <row r="29" spans="2:14" s="21" customFormat="1" ht="12" customHeight="1">
      <c r="B29" s="133" t="s">
        <v>568</v>
      </c>
      <c r="H29" s="198" t="s">
        <v>569</v>
      </c>
      <c r="J29" s="200"/>
      <c r="L29" s="21" t="s">
        <v>558</v>
      </c>
      <c r="N29" s="134"/>
    </row>
    <row r="30" spans="2:14" s="21" customFormat="1" ht="12" customHeight="1">
      <c r="B30" s="133" t="s">
        <v>570</v>
      </c>
      <c r="H30" s="198" t="s">
        <v>571</v>
      </c>
      <c r="J30" s="201"/>
      <c r="L30" s="21" t="s">
        <v>572</v>
      </c>
      <c r="N30" s="134"/>
    </row>
    <row r="31" spans="2:14" s="21" customFormat="1" ht="12" customHeight="1">
      <c r="B31" s="133" t="s">
        <v>573</v>
      </c>
      <c r="H31" s="198" t="s">
        <v>574</v>
      </c>
      <c r="J31" s="201"/>
      <c r="L31" s="21" t="s">
        <v>536</v>
      </c>
      <c r="N31" s="134"/>
    </row>
    <row r="32" spans="2:14" s="21" customFormat="1" ht="12" customHeight="1" thickBot="1">
      <c r="B32" s="133" t="s">
        <v>182</v>
      </c>
      <c r="H32" s="204" t="s">
        <v>575</v>
      </c>
      <c r="J32" s="200"/>
      <c r="L32" s="21" t="s">
        <v>539</v>
      </c>
      <c r="N32" s="134"/>
    </row>
    <row r="33" spans="2:14" s="21" customFormat="1" ht="12" customHeight="1" thickBot="1">
      <c r="B33" s="138" t="s">
        <v>576</v>
      </c>
      <c r="C33" s="196"/>
      <c r="D33" s="196"/>
      <c r="E33" s="196"/>
      <c r="F33" s="196"/>
      <c r="G33" s="196"/>
      <c r="H33" s="196" t="s">
        <v>520</v>
      </c>
      <c r="I33" s="196"/>
      <c r="J33" s="196"/>
      <c r="K33" s="196"/>
      <c r="L33" s="196" t="s">
        <v>521</v>
      </c>
      <c r="M33" s="196"/>
      <c r="N33" s="197"/>
    </row>
    <row r="34" spans="2:14" s="21" customFormat="1" ht="12" customHeight="1" thickBot="1">
      <c r="B34" s="133" t="s">
        <v>216</v>
      </c>
      <c r="H34" s="198" t="s">
        <v>577</v>
      </c>
      <c r="J34" s="200"/>
      <c r="L34" s="21" t="s">
        <v>578</v>
      </c>
      <c r="N34" s="134"/>
    </row>
    <row r="35" spans="2:14" s="21" customFormat="1" ht="12" customHeight="1" thickBot="1">
      <c r="B35" s="138" t="s">
        <v>579</v>
      </c>
      <c r="C35" s="196"/>
      <c r="D35" s="196"/>
      <c r="E35" s="196"/>
      <c r="F35" s="196"/>
      <c r="G35" s="196"/>
      <c r="H35" s="196" t="s">
        <v>520</v>
      </c>
      <c r="I35" s="196"/>
      <c r="J35" s="196"/>
      <c r="K35" s="196"/>
      <c r="L35" s="196" t="s">
        <v>521</v>
      </c>
      <c r="M35" s="196"/>
      <c r="N35" s="197"/>
    </row>
    <row r="36" spans="2:14" s="21" customFormat="1" ht="12" customHeight="1">
      <c r="B36" s="205" t="s">
        <v>580</v>
      </c>
      <c r="C36" s="206"/>
      <c r="D36" s="206"/>
      <c r="E36" s="206"/>
      <c r="F36" s="206"/>
      <c r="G36" s="206"/>
      <c r="H36" s="207" t="s">
        <v>581</v>
      </c>
      <c r="I36" s="206"/>
      <c r="J36" s="208"/>
      <c r="K36" s="206"/>
      <c r="L36" s="206" t="s">
        <v>582</v>
      </c>
      <c r="M36" s="206"/>
      <c r="N36" s="209"/>
    </row>
    <row r="37" spans="2:14" s="21" customFormat="1" ht="12" customHeight="1">
      <c r="B37" s="133" t="s">
        <v>583</v>
      </c>
      <c r="H37" s="198" t="s">
        <v>584</v>
      </c>
      <c r="J37" s="200"/>
      <c r="L37" s="21" t="s">
        <v>585</v>
      </c>
      <c r="N37" s="134"/>
    </row>
    <row r="38" spans="2:14" s="21" customFormat="1" ht="12" customHeight="1">
      <c r="B38" s="133" t="s">
        <v>583</v>
      </c>
      <c r="H38" s="210" t="s">
        <v>586</v>
      </c>
      <c r="J38" s="200"/>
      <c r="L38" s="21" t="s">
        <v>587</v>
      </c>
      <c r="N38" s="134"/>
    </row>
    <row r="39" spans="2:14" s="54" customFormat="1" ht="12" customHeight="1" thickBot="1">
      <c r="B39" s="211" t="s">
        <v>588</v>
      </c>
      <c r="C39" s="136"/>
      <c r="D39" s="136"/>
      <c r="E39" s="136"/>
      <c r="F39" s="136"/>
      <c r="G39" s="136"/>
      <c r="H39" s="212" t="s">
        <v>589</v>
      </c>
      <c r="I39" s="136"/>
      <c r="J39" s="213"/>
      <c r="K39" s="136"/>
      <c r="L39" s="136" t="s">
        <v>590</v>
      </c>
      <c r="M39" s="136"/>
      <c r="N39" s="137"/>
    </row>
    <row r="40" spans="2:14" s="54" customFormat="1" ht="12">
      <c r="F40" s="55"/>
      <c r="H40" s="55"/>
      <c r="I40" s="55"/>
      <c r="K40" s="58"/>
    </row>
    <row r="41" spans="2:14" s="21" customFormat="1" ht="7.5" customHeight="1">
      <c r="F41" s="22"/>
    </row>
    <row r="42" spans="2:14" s="21" customFormat="1" ht="12">
      <c r="B42" s="161"/>
      <c r="F42" s="22"/>
    </row>
    <row r="43" spans="2:14" s="21" customFormat="1" ht="12">
      <c r="F43" s="22"/>
    </row>
    <row r="44" spans="2:14" s="21" customFormat="1" ht="6" customHeight="1">
      <c r="F44" s="22"/>
    </row>
    <row r="45" spans="2:14" s="21" customFormat="1" ht="12">
      <c r="B45" s="214"/>
      <c r="C45" s="215"/>
      <c r="D45" s="215"/>
      <c r="E45" s="215"/>
      <c r="F45" s="216"/>
      <c r="G45" s="215"/>
      <c r="H45" s="215"/>
      <c r="I45" s="215"/>
    </row>
    <row r="46" spans="2:14" s="21" customFormat="1" ht="12">
      <c r="B46" s="215"/>
      <c r="C46" s="215"/>
      <c r="D46" s="215"/>
      <c r="E46" s="215"/>
      <c r="F46" s="216"/>
      <c r="G46" s="215"/>
      <c r="H46" s="216"/>
      <c r="I46" s="215"/>
    </row>
    <row r="47" spans="2:14" s="21" customFormat="1" ht="12">
      <c r="B47" s="215"/>
      <c r="C47" s="215"/>
      <c r="D47" s="215"/>
      <c r="E47" s="215"/>
      <c r="F47" s="216"/>
      <c r="G47" s="215"/>
      <c r="H47" s="217"/>
      <c r="I47" s="215"/>
    </row>
    <row r="48" spans="2:14" s="21" customFormat="1" ht="12">
      <c r="B48" s="215"/>
      <c r="C48" s="215"/>
      <c r="D48" s="215"/>
      <c r="E48" s="215"/>
      <c r="F48" s="216"/>
      <c r="G48" s="215"/>
      <c r="H48" s="217"/>
      <c r="I48" s="215"/>
    </row>
    <row r="49" spans="2:9" s="21" customFormat="1" ht="5.25" customHeight="1">
      <c r="B49" s="215"/>
      <c r="C49" s="215"/>
      <c r="D49" s="215"/>
      <c r="E49" s="215"/>
      <c r="F49" s="216"/>
      <c r="G49" s="215"/>
      <c r="H49" s="217"/>
      <c r="I49" s="215"/>
    </row>
    <row r="50" spans="2:9" s="21" customFormat="1" ht="12">
      <c r="B50" s="161"/>
      <c r="F50" s="22"/>
      <c r="H50" s="22"/>
    </row>
    <row r="51" spans="2:9" s="21" customFormat="1" ht="12">
      <c r="F51" s="22"/>
      <c r="H51" s="22"/>
    </row>
    <row r="52" spans="2:9" s="21" customFormat="1" ht="5.25" customHeight="1">
      <c r="F52" s="22"/>
      <c r="H52" s="22"/>
    </row>
    <row r="53" spans="2:9" s="21" customFormat="1" ht="12">
      <c r="B53" s="161"/>
      <c r="F53" s="22"/>
      <c r="H53" s="22"/>
    </row>
    <row r="54" spans="2:9" s="21" customFormat="1" ht="12">
      <c r="F54" s="22"/>
      <c r="H54" s="22"/>
    </row>
    <row r="55" spans="2:9" s="21" customFormat="1" ht="6.75" customHeight="1">
      <c r="F55" s="22"/>
    </row>
    <row r="56" spans="2:9" s="21" customFormat="1" ht="12">
      <c r="B56" s="161"/>
      <c r="F56" s="22"/>
    </row>
    <row r="57" spans="2:9" s="21" customFormat="1" ht="12">
      <c r="F57" s="22"/>
    </row>
    <row r="58" spans="2:9" s="21" customFormat="1" ht="5.25" customHeight="1">
      <c r="F58" s="22"/>
    </row>
    <row r="59" spans="2:9" s="21" customFormat="1" ht="12">
      <c r="B59" s="161"/>
      <c r="F59" s="22"/>
    </row>
    <row r="60" spans="2:9" s="21" customFormat="1" ht="12">
      <c r="F60" s="22"/>
    </row>
    <row r="61" spans="2:9" s="21" customFormat="1" ht="12">
      <c r="F61" s="22"/>
    </row>
    <row r="62" spans="2:9" s="21" customFormat="1" ht="16.5">
      <c r="B62" s="218"/>
      <c r="F62" s="22"/>
    </row>
    <row r="63" spans="2:9" s="21" customFormat="1" ht="12">
      <c r="F63" s="29"/>
      <c r="H63" s="29"/>
    </row>
    <row r="64" spans="2:9" s="24" customFormat="1" ht="12">
      <c r="F64" s="22"/>
      <c r="G64" s="22"/>
      <c r="H64" s="29"/>
      <c r="I64" s="21"/>
    </row>
    <row r="65" spans="2:9" s="24" customFormat="1" ht="12">
      <c r="F65" s="22"/>
      <c r="G65" s="22"/>
      <c r="H65" s="29"/>
      <c r="I65" s="21"/>
    </row>
    <row r="66" spans="2:9" s="24" customFormat="1" ht="12">
      <c r="F66" s="22"/>
      <c r="G66" s="22"/>
      <c r="H66" s="29"/>
      <c r="I66" s="21"/>
    </row>
    <row r="67" spans="2:9" s="21" customFormat="1" ht="12">
      <c r="F67" s="29"/>
    </row>
    <row r="68" spans="2:9" s="24" customFormat="1" ht="12">
      <c r="F68" s="31"/>
    </row>
    <row r="69" spans="2:9" s="24" customFormat="1" ht="12">
      <c r="F69" s="31"/>
    </row>
    <row r="70" spans="2:9" s="24" customFormat="1" ht="12">
      <c r="F70" s="31"/>
    </row>
    <row r="71" spans="2:9" s="21" customFormat="1" ht="12">
      <c r="F71" s="22"/>
      <c r="H71" s="22"/>
    </row>
    <row r="72" spans="2:9" s="24" customFormat="1" ht="12">
      <c r="B72" s="21"/>
      <c r="F72" s="31"/>
      <c r="H72" s="22"/>
      <c r="I72" s="21"/>
    </row>
    <row r="73" spans="2:9" s="24" customFormat="1" ht="12">
      <c r="F73" s="22"/>
      <c r="G73" s="22"/>
      <c r="H73" s="29"/>
      <c r="I73" s="21"/>
    </row>
    <row r="74" spans="2:9" s="24" customFormat="1" ht="12">
      <c r="F74" s="31"/>
    </row>
    <row r="75" spans="2:9" s="24" customFormat="1" ht="12">
      <c r="F75" s="31"/>
    </row>
    <row r="76" spans="2:9" s="24" customFormat="1" ht="12">
      <c r="F76" s="31"/>
    </row>
    <row r="77" spans="2:9" s="24" customFormat="1" ht="12">
      <c r="F77" s="31"/>
    </row>
    <row r="78" spans="2:9" s="21" customFormat="1" ht="12">
      <c r="F78" s="22"/>
      <c r="H78" s="22"/>
    </row>
    <row r="79" spans="2:9" s="24" customFormat="1" ht="12">
      <c r="B79" s="21"/>
      <c r="F79" s="31"/>
      <c r="H79" s="22"/>
      <c r="I79" s="21"/>
    </row>
    <row r="80" spans="2:9" s="24" customFormat="1" ht="12">
      <c r="F80" s="22"/>
      <c r="G80" s="22"/>
      <c r="H80" s="29"/>
      <c r="I80" s="21"/>
    </row>
    <row r="81" spans="2:9" s="24" customFormat="1" ht="12">
      <c r="F81" s="22"/>
      <c r="G81" s="22"/>
      <c r="H81" s="29"/>
      <c r="I81" s="21"/>
    </row>
    <row r="82" spans="2:9" s="24" customFormat="1" ht="12">
      <c r="F82" s="31"/>
    </row>
    <row r="83" spans="2:9" s="24" customFormat="1" ht="12">
      <c r="F83" s="31"/>
    </row>
    <row r="84" spans="2:9" s="24" customFormat="1" ht="12">
      <c r="F84" s="31"/>
    </row>
    <row r="85" spans="2:9" s="24" customFormat="1" ht="12">
      <c r="B85" s="219"/>
      <c r="F85" s="31"/>
    </row>
    <row r="86" spans="2:9" s="21" customFormat="1" ht="12">
      <c r="F86" s="22"/>
      <c r="H86" s="22"/>
    </row>
    <row r="87" spans="2:9" s="24" customFormat="1" ht="12">
      <c r="B87" s="21"/>
      <c r="F87" s="31"/>
      <c r="H87" s="22"/>
      <c r="I87" s="21"/>
    </row>
    <row r="88" spans="2:9" s="24" customFormat="1" ht="12">
      <c r="B88" s="219"/>
      <c r="F88" s="31"/>
      <c r="H88" s="22"/>
      <c r="I88" s="21"/>
    </row>
    <row r="89" spans="2:9" s="21" customFormat="1" ht="12">
      <c r="F89" s="22"/>
      <c r="H89" s="22"/>
    </row>
    <row r="90" spans="2:9" s="24" customFormat="1" ht="12">
      <c r="B90" s="21"/>
      <c r="F90" s="31"/>
      <c r="H90" s="22"/>
      <c r="I90" s="21"/>
    </row>
    <row r="91" spans="2:9" s="24" customFormat="1" ht="12">
      <c r="B91" s="21"/>
      <c r="F91" s="31"/>
      <c r="H91" s="22"/>
      <c r="I91" s="21"/>
    </row>
    <row r="92" spans="2:9" s="24" customFormat="1" ht="12">
      <c r="F92" s="22"/>
      <c r="G92" s="22"/>
      <c r="H92" s="29"/>
      <c r="I92" s="21"/>
    </row>
    <row r="93" spans="2:9" s="24" customFormat="1" ht="12">
      <c r="F93" s="22"/>
      <c r="G93" s="22"/>
      <c r="H93" s="29"/>
      <c r="I93" s="21"/>
    </row>
    <row r="94" spans="2:9" s="24" customFormat="1" ht="12">
      <c r="F94" s="31"/>
    </row>
    <row r="95" spans="2:9" s="24" customFormat="1" ht="12">
      <c r="F95" s="22"/>
      <c r="G95" s="22"/>
      <c r="H95" s="29"/>
      <c r="I95" s="21"/>
    </row>
    <row r="96" spans="2:9" s="24" customFormat="1" ht="12">
      <c r="F96" s="22"/>
      <c r="G96" s="22"/>
      <c r="H96" s="29"/>
      <c r="I96" s="21"/>
    </row>
    <row r="97" spans="2:9" s="24" customFormat="1" ht="12">
      <c r="F97" s="22"/>
      <c r="G97" s="22"/>
      <c r="H97" s="29"/>
      <c r="I97" s="21"/>
    </row>
    <row r="98" spans="2:9" s="24" customFormat="1" ht="12">
      <c r="F98" s="31"/>
      <c r="H98" s="29"/>
      <c r="I98" s="21"/>
    </row>
    <row r="99" spans="2:9" s="24" customFormat="1" ht="12">
      <c r="F99" s="31"/>
    </row>
    <row r="100" spans="2:9" s="21" customFormat="1" ht="12">
      <c r="F100" s="22"/>
      <c r="H100" s="22"/>
    </row>
    <row r="101" spans="2:9" s="24" customFormat="1" ht="12">
      <c r="B101" s="21"/>
      <c r="F101" s="31"/>
      <c r="H101" s="22"/>
      <c r="I101" s="21"/>
    </row>
    <row r="102" spans="2:9" s="24" customFormat="1" ht="12">
      <c r="F102" s="22"/>
      <c r="G102" s="22"/>
      <c r="H102" s="29"/>
      <c r="I102" s="21"/>
    </row>
    <row r="103" spans="2:9" s="24" customFormat="1" ht="12">
      <c r="F103" s="31"/>
      <c r="H103" s="22"/>
      <c r="I103" s="21"/>
    </row>
    <row r="104" spans="2:9" s="24" customFormat="1" ht="12">
      <c r="B104" s="220"/>
      <c r="F104" s="31"/>
      <c r="H104" s="22"/>
      <c r="I104" s="21"/>
    </row>
    <row r="105" spans="2:9" s="24" customFormat="1" ht="12">
      <c r="F105" s="31"/>
    </row>
    <row r="106" spans="2:9" s="24" customFormat="1" ht="12">
      <c r="F106" s="31"/>
    </row>
    <row r="107" spans="2:9" s="21" customFormat="1" ht="12">
      <c r="F107" s="22"/>
    </row>
    <row r="108" spans="2:9" s="21" customFormat="1" ht="12">
      <c r="F108" s="22"/>
    </row>
    <row r="109" spans="2:9" s="21" customFormat="1" ht="12">
      <c r="B109" s="23"/>
      <c r="F109" s="22"/>
    </row>
    <row r="110" spans="2:9" s="21" customFormat="1" ht="12">
      <c r="B110" s="221"/>
      <c r="F110" s="22"/>
    </row>
    <row r="111" spans="2:9" s="21" customFormat="1" ht="12">
      <c r="F111" s="22"/>
    </row>
    <row r="112" spans="2:9" s="21" customFormat="1" ht="12">
      <c r="F112" s="22"/>
    </row>
    <row r="113" spans="2:6" s="21" customFormat="1" ht="12">
      <c r="F113" s="22"/>
    </row>
    <row r="114" spans="2:6" s="21" customFormat="1" ht="12">
      <c r="F114" s="22"/>
    </row>
    <row r="115" spans="2:6" s="21" customFormat="1" ht="12">
      <c r="B115" s="23"/>
      <c r="F115" s="22"/>
    </row>
  </sheetData>
  <hyperlinks>
    <hyperlink ref="H39" r:id="rId1" xr:uid="{BC92E44B-AB77-46E5-BD27-439CD1BB7895}"/>
    <hyperlink ref="H38" r:id="rId2" xr:uid="{3F27C3CB-9861-462D-8355-4C712B43D70B}"/>
    <hyperlink ref="H37" r:id="rId3" xr:uid="{4A9520ED-4F75-49CE-B4B0-8F9EAC5F2939}"/>
    <hyperlink ref="H36" r:id="rId4" xr:uid="{F34EE11E-941D-4B5C-9E74-A70DAE7034A2}"/>
    <hyperlink ref="H34" r:id="rId5" xr:uid="{BF2B445E-B2CE-4733-A988-5764E6404ECB}"/>
    <hyperlink ref="H32" r:id="rId6" xr:uid="{E159AB4C-767B-48BD-9E16-13D41A68EC8E}"/>
    <hyperlink ref="H31" r:id="rId7" xr:uid="{BBC61C1F-D12F-4349-8182-DB1FDADCD22F}"/>
    <hyperlink ref="H30" r:id="rId8" xr:uid="{CDA4E409-815B-428D-B635-FB917D4B53D1}"/>
    <hyperlink ref="H29" r:id="rId9" xr:uid="{FE6711E0-8DC3-476D-B6D3-85BA082D6831}"/>
    <hyperlink ref="H28" r:id="rId10" xr:uid="{BE56E126-ECED-4A67-BB2D-8D600C3B0ED5}"/>
    <hyperlink ref="H27" r:id="rId11" xr:uid="{195ABCF3-D570-4D1A-9472-FF06B2BA7D83}"/>
    <hyperlink ref="H26" r:id="rId12" xr:uid="{6E5DAF52-85D8-483A-ADC0-F579B2BF8D6F}"/>
    <hyperlink ref="H25" r:id="rId13" xr:uid="{F5BE6449-ABB8-4B06-8881-723581659CCE}"/>
    <hyperlink ref="H24" r:id="rId14" xr:uid="{1D75B036-7BC5-4372-BF91-5BCCED9A2A3F}"/>
    <hyperlink ref="H23" r:id="rId15" xr:uid="{EF23E2B3-D4B8-45F7-A063-C5084B05C573}"/>
    <hyperlink ref="H22" r:id="rId16" xr:uid="{E48BA877-2850-468F-A17E-16FA42B92DD8}"/>
    <hyperlink ref="H21" r:id="rId17" xr:uid="{F00631CB-D931-40C0-8104-888A516B6872}"/>
    <hyperlink ref="H20" r:id="rId18" xr:uid="{0151F2D5-42E2-42DE-A18A-56E2F81A7E2E}"/>
    <hyperlink ref="H18" r:id="rId19" xr:uid="{62B0D2B1-D53B-4538-8E38-264EA275E4B6}"/>
    <hyperlink ref="H19" r:id="rId20" xr:uid="{493D0EB2-CDB7-4DC0-AB0A-19255222A998}"/>
    <hyperlink ref="H16" r:id="rId21" xr:uid="{62309B7F-E74E-4C05-B62D-C0B8737DEE71}"/>
    <hyperlink ref="H15" r:id="rId22" xr:uid="{3BC4B72A-BB4F-477E-B9A9-D1FC5CEFF210}"/>
    <hyperlink ref="H17" r:id="rId23" xr:uid="{E283A25E-A5E3-4631-A0EC-6EF9409B8517}"/>
    <hyperlink ref="H13" r:id="rId24" xr:uid="{BDB81BE3-DBE5-40FB-A352-0446C3E0D294}"/>
    <hyperlink ref="H12" r:id="rId25" xr:uid="{B9E12D1A-BACE-4D06-8E49-440B19C75D5A}"/>
    <hyperlink ref="H11" r:id="rId26" xr:uid="{558C23D9-6972-42BC-9B3A-8F420C502064}"/>
    <hyperlink ref="L8" r:id="rId27" xr:uid="{A5DD82E4-FF09-4CF8-B0D6-CBD4A0A25C25}"/>
  </hyperlinks>
  <pageMargins left="0.23622047244094491" right="0.23622047244094491" top="0.35433070866141736" bottom="0.35433070866141736" header="0.31496062992125984" footer="0.31496062992125984"/>
  <pageSetup paperSize="9" scale="53" orientation="portrait" r:id="rId28"/>
  <drawing r:id="rId2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itle0 xmlns="77d27fea-16e6-45b3-ae7e-e4968943766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67500B14923F4096C842CEB044FF45" ma:contentTypeVersion="5" ma:contentTypeDescription="Een nieuw document maken." ma:contentTypeScope="" ma:versionID="80fea5db3351b5ccc276adc761217229">
  <xsd:schema xmlns:xsd="http://www.w3.org/2001/XMLSchema" xmlns:xs="http://www.w3.org/2001/XMLSchema" xmlns:p="http://schemas.microsoft.com/office/2006/metadata/properties" xmlns:ns2="77d27fea-16e6-45b3-ae7e-e4968943766f" targetNamespace="http://schemas.microsoft.com/office/2006/metadata/properties" ma:root="true" ma:fieldsID="47ad7608c01ca93730f18b87c88c50ed" ns2:_="">
    <xsd:import namespace="77d27fea-16e6-45b3-ae7e-e4968943766f"/>
    <xsd:element name="properties">
      <xsd:complexType>
        <xsd:sequence>
          <xsd:element name="documentManagement">
            <xsd:complexType>
              <xsd:all>
                <xsd:element ref="ns2:Title0" minOccurs="0"/>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27fea-16e6-45b3-ae7e-e4968943766f" elementFormDefault="qualified">
    <xsd:import namespace="http://schemas.microsoft.com/office/2006/documentManagement/types"/>
    <xsd:import namespace="http://schemas.microsoft.com/office/infopath/2007/PartnerControls"/>
    <xsd:element name="Title0" ma:index="8" nillable="true" ma:displayName="Title" ma:description="" ma:internalName="Title0">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F0C737-20D9-4D03-B1E7-F048154C3F84}"/>
</file>

<file path=customXml/itemProps2.xml><?xml version="1.0" encoding="utf-8"?>
<ds:datastoreItem xmlns:ds="http://schemas.openxmlformats.org/officeDocument/2006/customXml" ds:itemID="{C88C4346-BC47-4D84-964B-0B56DE0731BA}"/>
</file>

<file path=customXml/itemProps3.xml><?xml version="1.0" encoding="utf-8"?>
<ds:datastoreItem xmlns:ds="http://schemas.openxmlformats.org/officeDocument/2006/customXml" ds:itemID="{A39D3414-27BF-41D2-96FC-462B1EF939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Wendy van Uden</dc:creator>
  <cp:keywords/>
  <dc:description/>
  <cp:lastModifiedBy>Stefan Ridder | Team Freight Forwarding B.V.</cp:lastModifiedBy>
  <cp:revision/>
  <dcterms:created xsi:type="dcterms:W3CDTF">2020-12-14T15:48:34Z</dcterms:created>
  <dcterms:modified xsi:type="dcterms:W3CDTF">2025-12-23T10:48:13Z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0x010100EA67500B14923F4096C842CEB044FF45</vt:lpwstr>
  </property>
</Properties>
</file>